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363" documentId="11_1A3CAAE0EE81980AE886C8AC59EAF3A67F286A16" xr6:coauthVersionLast="47" xr6:coauthVersionMax="47" xr10:uidLastSave="{7FBAC1AF-12E8-4742-ACC2-8F46BBBDFD79}"/>
  <bookViews>
    <workbookView xWindow="-108" yWindow="-108" windowWidth="23256" windowHeight="13896" firstSheet="1"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 i="6" l="1"/>
  <c r="N7" i="6" s="1"/>
  <c r="A8" i="6"/>
  <c r="A9" i="6"/>
  <c r="A10" i="6"/>
  <c r="A11" i="6"/>
  <c r="A12" i="6"/>
  <c r="M16" i="3"/>
  <c r="M17" i="3"/>
  <c r="M18" i="3"/>
  <c r="M19" i="3"/>
  <c r="M20" i="3"/>
  <c r="M21" i="3"/>
  <c r="M22" i="3"/>
  <c r="M23" i="3"/>
  <c r="M24" i="3"/>
  <c r="M25" i="3"/>
  <c r="M26" i="3"/>
  <c r="M27" i="3"/>
  <c r="M28" i="3"/>
  <c r="A28" i="3" s="1"/>
  <c r="M29" i="3"/>
  <c r="A29" i="3" s="1"/>
  <c r="N29" i="3"/>
  <c r="M30" i="3"/>
  <c r="N30" i="3"/>
  <c r="M31" i="3"/>
  <c r="N31" i="3" s="1"/>
  <c r="M32" i="3"/>
  <c r="N32" i="3" s="1"/>
  <c r="M33" i="3"/>
  <c r="A33" i="3" s="1"/>
  <c r="N33" i="3"/>
  <c r="M34" i="3"/>
  <c r="A34" i="3" s="1"/>
  <c r="N34" i="3"/>
  <c r="M35" i="3"/>
  <c r="A35" i="3" s="1"/>
  <c r="N35" i="3"/>
  <c r="M36" i="3"/>
  <c r="A36" i="3" s="1"/>
  <c r="M37" i="3"/>
  <c r="N37" i="3"/>
  <c r="M38" i="3"/>
  <c r="N38" i="3" s="1"/>
  <c r="A30" i="3"/>
  <c r="A37" i="3"/>
  <c r="A38"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9" i="5"/>
  <c r="N10" i="5"/>
  <c r="N11" i="5"/>
  <c r="N12" i="5"/>
  <c r="N13" i="5"/>
  <c r="N14" i="5"/>
  <c r="N15" i="5"/>
  <c r="N16" i="5"/>
  <c r="N17" i="5"/>
  <c r="N18" i="5"/>
  <c r="N19" i="5"/>
  <c r="N20" i="5"/>
  <c r="N21" i="5"/>
  <c r="N22" i="5"/>
  <c r="N23" i="5"/>
  <c r="N24" i="5"/>
  <c r="N25" i="5"/>
  <c r="N26" i="5"/>
  <c r="N27" i="5"/>
  <c r="N28" i="5"/>
  <c r="N29" i="5"/>
  <c r="M2" i="5"/>
  <c r="M3" i="5"/>
  <c r="M4" i="5"/>
  <c r="M5" i="5"/>
  <c r="M6" i="5"/>
  <c r="M7" i="5"/>
  <c r="M8" i="5"/>
  <c r="M9" i="5"/>
  <c r="M10" i="5"/>
  <c r="M11" i="5"/>
  <c r="M12" i="5"/>
  <c r="M13" i="5"/>
  <c r="M14" i="5"/>
  <c r="M15" i="5"/>
  <c r="M16" i="5"/>
  <c r="M17" i="5"/>
  <c r="M18" i="5"/>
  <c r="M19" i="5"/>
  <c r="M20" i="5"/>
  <c r="M21" i="5"/>
  <c r="M22" i="5"/>
  <c r="A7" i="6" l="1"/>
  <c r="N36" i="3"/>
  <c r="A32" i="3"/>
  <c r="N28" i="3"/>
  <c r="A31" i="3"/>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13" i="5"/>
  <c r="A17" i="5"/>
  <c r="A18" i="5"/>
  <c r="A19" i="5"/>
  <c r="A23" i="5"/>
  <c r="A31" i="5"/>
  <c r="A32" i="5"/>
  <c r="A33" i="5"/>
  <c r="A4" i="5"/>
  <c r="A5" i="5"/>
  <c r="H3" i="6"/>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9" i="5"/>
  <c r="A10" i="5"/>
  <c r="A11" i="5"/>
  <c r="A15" i="5"/>
  <c r="A16" i="5"/>
  <c r="A20"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M3" i="4"/>
  <c r="A3" i="4" s="1"/>
  <c r="M4" i="4"/>
  <c r="A4" i="4" s="1"/>
  <c r="N4" i="4"/>
  <c r="M5" i="4"/>
  <c r="A5" i="4" s="1"/>
  <c r="N5" i="4"/>
  <c r="M6" i="4"/>
  <c r="A6" i="4" s="1"/>
  <c r="N6" i="4"/>
  <c r="M7" i="4"/>
  <c r="N7" i="4" s="1"/>
  <c r="A8" i="4"/>
  <c r="M8" i="4"/>
  <c r="N8" i="4"/>
  <c r="M9" i="4"/>
  <c r="A9" i="4" s="1"/>
  <c r="N9" i="4"/>
  <c r="M10" i="4"/>
  <c r="A10" i="4" s="1"/>
  <c r="N10" i="4"/>
  <c r="M11" i="4"/>
  <c r="A11" i="4" s="1"/>
  <c r="N11" i="4"/>
  <c r="A12" i="4"/>
  <c r="M12" i="4"/>
  <c r="N12" i="4"/>
  <c r="M13" i="4"/>
  <c r="A13" i="4" s="1"/>
  <c r="N13" i="4"/>
  <c r="M14" i="4"/>
  <c r="A14" i="4" s="1"/>
  <c r="N14" i="4"/>
  <c r="M15" i="4"/>
  <c r="A15" i="4" s="1"/>
  <c r="N15" i="4"/>
  <c r="M16" i="4"/>
  <c r="A16" i="4" s="1"/>
  <c r="N16" i="4"/>
  <c r="M17" i="4"/>
  <c r="A17" i="4" s="1"/>
  <c r="M18" i="4"/>
  <c r="A18" i="4" s="1"/>
  <c r="N18" i="4"/>
  <c r="M19" i="4"/>
  <c r="A19" i="4" s="1"/>
  <c r="N19" i="4"/>
  <c r="M20" i="4"/>
  <c r="A20" i="4" s="1"/>
  <c r="N20" i="4"/>
  <c r="M21" i="4"/>
  <c r="N21" i="4" s="1"/>
  <c r="A22" i="4"/>
  <c r="M22" i="4"/>
  <c r="N22" i="4"/>
  <c r="M23" i="4"/>
  <c r="A23" i="4" s="1"/>
  <c r="N23" i="4"/>
  <c r="M24" i="4"/>
  <c r="A24" i="4" s="1"/>
  <c r="N24" i="4"/>
  <c r="M25" i="4"/>
  <c r="A25" i="4" s="1"/>
  <c r="N25" i="4"/>
  <c r="A26" i="4"/>
  <c r="M26" i="4"/>
  <c r="N26" i="4"/>
  <c r="M27" i="4"/>
  <c r="A27" i="4" s="1"/>
  <c r="N27" i="4"/>
  <c r="M28" i="4"/>
  <c r="A28" i="4" s="1"/>
  <c r="N28" i="4"/>
  <c r="M29" i="4"/>
  <c r="A29" i="4" s="1"/>
  <c r="N29" i="4"/>
  <c r="M30" i="4"/>
  <c r="A30" i="4" s="1"/>
  <c r="N30" i="4"/>
  <c r="M31" i="4"/>
  <c r="A31" i="4" s="1"/>
  <c r="M32" i="4"/>
  <c r="A32" i="4" s="1"/>
  <c r="N32" i="4"/>
  <c r="M33" i="4"/>
  <c r="A33" i="4" s="1"/>
  <c r="N33" i="4"/>
  <c r="M34" i="4"/>
  <c r="A34" i="4" s="1"/>
  <c r="N34" i="4"/>
  <c r="M35" i="4"/>
  <c r="N35" i="4" s="1"/>
  <c r="A36" i="4"/>
  <c r="M36" i="4"/>
  <c r="N36" i="4"/>
  <c r="M37" i="4"/>
  <c r="A37" i="4" s="1"/>
  <c r="N37" i="4"/>
  <c r="M38" i="4"/>
  <c r="A38" i="4" s="1"/>
  <c r="N38" i="4"/>
  <c r="M39" i="4"/>
  <c r="A39" i="4" s="1"/>
  <c r="N39" i="4"/>
  <c r="A40" i="4"/>
  <c r="M40" i="4"/>
  <c r="N40" i="4"/>
  <c r="M41" i="4"/>
  <c r="A41" i="4" s="1"/>
  <c r="N41" i="4"/>
  <c r="M42" i="4"/>
  <c r="A42" i="4" s="1"/>
  <c r="N42" i="4"/>
  <c r="M43" i="4"/>
  <c r="A43" i="4" s="1"/>
  <c r="N43" i="4"/>
  <c r="M44" i="4"/>
  <c r="A44" i="4" s="1"/>
  <c r="N44" i="4"/>
  <c r="M45" i="4"/>
  <c r="A45" i="4" s="1"/>
  <c r="M46" i="4"/>
  <c r="A46" i="4" s="1"/>
  <c r="N46" i="4"/>
  <c r="M47" i="4"/>
  <c r="A47" i="4" s="1"/>
  <c r="N47" i="4"/>
  <c r="M48" i="4"/>
  <c r="A48" i="4" s="1"/>
  <c r="N48" i="4"/>
  <c r="M49" i="4"/>
  <c r="N49" i="4" s="1"/>
  <c r="A50" i="4"/>
  <c r="M50" i="4"/>
  <c r="N50" i="4"/>
  <c r="M51" i="4"/>
  <c r="A51" i="4" s="1"/>
  <c r="N51" i="4"/>
  <c r="M52" i="4"/>
  <c r="A52" i="4" s="1"/>
  <c r="N52" i="4"/>
  <c r="M53" i="4"/>
  <c r="A53" i="4" s="1"/>
  <c r="N53" i="4"/>
  <c r="A54" i="4"/>
  <c r="M54" i="4"/>
  <c r="N54" i="4"/>
  <c r="M55" i="4"/>
  <c r="A55" i="4" s="1"/>
  <c r="N55" i="4"/>
  <c r="M56" i="4"/>
  <c r="A56" i="4" s="1"/>
  <c r="N56" i="4"/>
  <c r="M57" i="4"/>
  <c r="A57" i="4" s="1"/>
  <c r="N57" i="4"/>
  <c r="M58" i="4"/>
  <c r="A58" i="4" s="1"/>
  <c r="N58" i="4"/>
  <c r="M59" i="4"/>
  <c r="A59" i="4" s="1"/>
  <c r="M60" i="4"/>
  <c r="A60" i="4" s="1"/>
  <c r="N60" i="4"/>
  <c r="M61" i="4"/>
  <c r="A61" i="4" s="1"/>
  <c r="N61" i="4"/>
  <c r="M62" i="4"/>
  <c r="A62" i="4" s="1"/>
  <c r="N62" i="4"/>
  <c r="M63" i="4"/>
  <c r="N63" i="4" s="1"/>
  <c r="A64" i="4"/>
  <c r="M64" i="4"/>
  <c r="N64" i="4"/>
  <c r="M65" i="4"/>
  <c r="A65" i="4" s="1"/>
  <c r="N65" i="4"/>
  <c r="M66" i="4"/>
  <c r="A66" i="4" s="1"/>
  <c r="N66" i="4"/>
  <c r="M67" i="4"/>
  <c r="A67" i="4" s="1"/>
  <c r="N67" i="4"/>
  <c r="A68" i="4"/>
  <c r="M68" i="4"/>
  <c r="N68" i="4"/>
  <c r="M69" i="4"/>
  <c r="A69" i="4" s="1"/>
  <c r="N69" i="4"/>
  <c r="M70" i="4"/>
  <c r="A70" i="4" s="1"/>
  <c r="N70" i="4"/>
  <c r="M71" i="4"/>
  <c r="A71" i="4" s="1"/>
  <c r="N71" i="4"/>
  <c r="M72" i="4"/>
  <c r="A72" i="4" s="1"/>
  <c r="N72" i="4"/>
  <c r="M73" i="4"/>
  <c r="A73" i="4" s="1"/>
  <c r="M74" i="4"/>
  <c r="A74" i="4" s="1"/>
  <c r="N74" i="4"/>
  <c r="M75" i="4"/>
  <c r="A75" i="4" s="1"/>
  <c r="N75" i="4"/>
  <c r="M76" i="4"/>
  <c r="A76" i="4" s="1"/>
  <c r="N76" i="4"/>
  <c r="M77" i="4"/>
  <c r="N77" i="4" s="1"/>
  <c r="A78" i="4"/>
  <c r="M78" i="4"/>
  <c r="N78" i="4"/>
  <c r="M79" i="4"/>
  <c r="A79" i="4" s="1"/>
  <c r="N79" i="4"/>
  <c r="M80" i="4"/>
  <c r="A80" i="4" s="1"/>
  <c r="N80" i="4"/>
  <c r="M81" i="4"/>
  <c r="A81" i="4" s="1"/>
  <c r="N81" i="4"/>
  <c r="A82" i="4"/>
  <c r="M82" i="4"/>
  <c r="N82" i="4"/>
  <c r="M83" i="4"/>
  <c r="A83" i="4" s="1"/>
  <c r="N83" i="4"/>
  <c r="M84" i="4"/>
  <c r="A84" i="4" s="1"/>
  <c r="N84" i="4"/>
  <c r="M85" i="4"/>
  <c r="A85" i="4" s="1"/>
  <c r="N85" i="4"/>
  <c r="M86" i="4"/>
  <c r="A86" i="4" s="1"/>
  <c r="N86" i="4"/>
  <c r="M87" i="4"/>
  <c r="A87" i="4" s="1"/>
  <c r="M88" i="4"/>
  <c r="A88" i="4" s="1"/>
  <c r="N88" i="4"/>
  <c r="M89" i="4"/>
  <c r="A89" i="4" s="1"/>
  <c r="N89" i="4"/>
  <c r="M90" i="4"/>
  <c r="A90" i="4" s="1"/>
  <c r="N90" i="4"/>
  <c r="M91" i="4"/>
  <c r="N91" i="4" s="1"/>
  <c r="A92" i="4"/>
  <c r="M92" i="4"/>
  <c r="N92" i="4"/>
  <c r="M93" i="4"/>
  <c r="A93" i="4" s="1"/>
  <c r="N93" i="4"/>
  <c r="M94" i="4"/>
  <c r="A94" i="4" s="1"/>
  <c r="N94" i="4"/>
  <c r="M95" i="4"/>
  <c r="A95" i="4" s="1"/>
  <c r="N95" i="4"/>
  <c r="A96" i="4"/>
  <c r="M96" i="4"/>
  <c r="N96" i="4"/>
  <c r="M97" i="4"/>
  <c r="A97" i="4" s="1"/>
  <c r="N97" i="4"/>
  <c r="M98" i="4"/>
  <c r="A98" i="4" s="1"/>
  <c r="N98" i="4"/>
  <c r="M99" i="4"/>
  <c r="A99" i="4" s="1"/>
  <c r="N99" i="4"/>
  <c r="M100" i="4"/>
  <c r="A100" i="4" s="1"/>
  <c r="N100" i="4"/>
  <c r="M101" i="4"/>
  <c r="A101" i="4" s="1"/>
  <c r="M102" i="4"/>
  <c r="A102" i="4" s="1"/>
  <c r="N102" i="4"/>
  <c r="M103" i="4"/>
  <c r="A103" i="4" s="1"/>
  <c r="N103" i="4"/>
  <c r="M104" i="4"/>
  <c r="A104" i="4" s="1"/>
  <c r="N104" i="4"/>
  <c r="M105" i="4"/>
  <c r="N105" i="4" s="1"/>
  <c r="A106" i="4"/>
  <c r="M106" i="4"/>
  <c r="N106" i="4"/>
  <c r="M107" i="4"/>
  <c r="A107" i="4" s="1"/>
  <c r="N107" i="4"/>
  <c r="M108" i="4"/>
  <c r="A108" i="4" s="1"/>
  <c r="N108" i="4"/>
  <c r="M109" i="4"/>
  <c r="A109" i="4" s="1"/>
  <c r="N109" i="4"/>
  <c r="A110" i="4"/>
  <c r="M110" i="4"/>
  <c r="N110" i="4"/>
  <c r="M111" i="4"/>
  <c r="A111" i="4" s="1"/>
  <c r="N111" i="4"/>
  <c r="M112" i="4"/>
  <c r="A112" i="4" s="1"/>
  <c r="N112" i="4"/>
  <c r="M113" i="4"/>
  <c r="A113" i="4" s="1"/>
  <c r="N113" i="4"/>
  <c r="M114" i="4"/>
  <c r="A114" i="4" s="1"/>
  <c r="N114" i="4"/>
  <c r="M115" i="4"/>
  <c r="A115" i="4" s="1"/>
  <c r="M116" i="4"/>
  <c r="A116" i="4" s="1"/>
  <c r="N116" i="4"/>
  <c r="M117" i="4"/>
  <c r="A117" i="4" s="1"/>
  <c r="N117" i="4"/>
  <c r="M118" i="4"/>
  <c r="A118" i="4" s="1"/>
  <c r="N118" i="4"/>
  <c r="M119" i="4"/>
  <c r="N119" i="4" s="1"/>
  <c r="A120" i="4"/>
  <c r="M120" i="4"/>
  <c r="N120" i="4"/>
  <c r="M121" i="4"/>
  <c r="A121" i="4" s="1"/>
  <c r="N121" i="4"/>
  <c r="M122" i="4"/>
  <c r="A122" i="4" s="1"/>
  <c r="N122" i="4"/>
  <c r="M123" i="4"/>
  <c r="A123" i="4" s="1"/>
  <c r="N123" i="4"/>
  <c r="A124" i="4"/>
  <c r="M124" i="4"/>
  <c r="N124" i="4"/>
  <c r="M125" i="4"/>
  <c r="A125" i="4" s="1"/>
  <c r="N125" i="4"/>
  <c r="M126" i="4"/>
  <c r="A126" i="4" s="1"/>
  <c r="N126" i="4"/>
  <c r="M127" i="4"/>
  <c r="A127" i="4" s="1"/>
  <c r="N127" i="4"/>
  <c r="M128" i="4"/>
  <c r="A128" i="4" s="1"/>
  <c r="N128" i="4"/>
  <c r="M129" i="4"/>
  <c r="A129" i="4" s="1"/>
  <c r="M130" i="4"/>
  <c r="A130" i="4" s="1"/>
  <c r="N130" i="4"/>
  <c r="M131" i="4"/>
  <c r="A131" i="4" s="1"/>
  <c r="N131" i="4"/>
  <c r="M132" i="4"/>
  <c r="A132" i="4" s="1"/>
  <c r="N132" i="4"/>
  <c r="M133" i="4"/>
  <c r="N133" i="4" s="1"/>
  <c r="A134" i="4"/>
  <c r="M134" i="4"/>
  <c r="N134" i="4"/>
  <c r="M135" i="4"/>
  <c r="A135" i="4" s="1"/>
  <c r="N135" i="4"/>
  <c r="M136" i="4"/>
  <c r="A136" i="4" s="1"/>
  <c r="N136" i="4"/>
  <c r="M137" i="4"/>
  <c r="A137" i="4" s="1"/>
  <c r="N137" i="4"/>
  <c r="A138" i="4"/>
  <c r="M138" i="4"/>
  <c r="N138" i="4"/>
  <c r="M139" i="4"/>
  <c r="A139" i="4" s="1"/>
  <c r="N139" i="4"/>
  <c r="M140" i="4"/>
  <c r="A140" i="4" s="1"/>
  <c r="N140" i="4"/>
  <c r="M141" i="4"/>
  <c r="A141" i="4" s="1"/>
  <c r="N141" i="4"/>
  <c r="M142" i="4"/>
  <c r="A142" i="4" s="1"/>
  <c r="N142" i="4"/>
  <c r="M143" i="4"/>
  <c r="A143" i="4" s="1"/>
  <c r="M144" i="4"/>
  <c r="A144" i="4" s="1"/>
  <c r="N144" i="4"/>
  <c r="M145" i="4"/>
  <c r="A145" i="4" s="1"/>
  <c r="N145" i="4"/>
  <c r="M146" i="4"/>
  <c r="A146" i="4" s="1"/>
  <c r="N146" i="4"/>
  <c r="M147" i="4"/>
  <c r="N147" i="4" s="1"/>
  <c r="A148" i="4"/>
  <c r="M148" i="4"/>
  <c r="N148" i="4"/>
  <c r="M149" i="4"/>
  <c r="A149" i="4" s="1"/>
  <c r="N149" i="4"/>
  <c r="M150" i="4"/>
  <c r="A150" i="4" s="1"/>
  <c r="N150" i="4"/>
  <c r="M151" i="4"/>
  <c r="A151" i="4" s="1"/>
  <c r="N151" i="4"/>
  <c r="A152" i="4"/>
  <c r="M152" i="4"/>
  <c r="N152" i="4"/>
  <c r="M153" i="4"/>
  <c r="A153" i="4" s="1"/>
  <c r="N153" i="4"/>
  <c r="M154" i="4"/>
  <c r="A154" i="4" s="1"/>
  <c r="N154" i="4"/>
  <c r="M155" i="4"/>
  <c r="A155" i="4" s="1"/>
  <c r="N155" i="4"/>
  <c r="M156" i="4"/>
  <c r="A156" i="4" s="1"/>
  <c r="N156" i="4"/>
  <c r="M157" i="4"/>
  <c r="A157" i="4" s="1"/>
  <c r="M158" i="4"/>
  <c r="A158" i="4" s="1"/>
  <c r="N158" i="4"/>
  <c r="M159" i="4"/>
  <c r="A159" i="4" s="1"/>
  <c r="N159" i="4"/>
  <c r="M160" i="4"/>
  <c r="A160" i="4" s="1"/>
  <c r="N160" i="4"/>
  <c r="M161" i="4"/>
  <c r="N161" i="4" s="1"/>
  <c r="A162" i="4"/>
  <c r="M162" i="4"/>
  <c r="N162" i="4"/>
  <c r="M163" i="4"/>
  <c r="A163" i="4" s="1"/>
  <c r="N163" i="4"/>
  <c r="M164" i="4"/>
  <c r="A164" i="4" s="1"/>
  <c r="N164" i="4"/>
  <c r="M165" i="4"/>
  <c r="A165" i="4" s="1"/>
  <c r="N165" i="4"/>
  <c r="A166" i="4"/>
  <c r="M166" i="4"/>
  <c r="N166" i="4"/>
  <c r="M167" i="4"/>
  <c r="A167" i="4" s="1"/>
  <c r="N167" i="4"/>
  <c r="M168" i="4"/>
  <c r="A168" i="4" s="1"/>
  <c r="N168" i="4"/>
  <c r="M169" i="4"/>
  <c r="A169" i="4" s="1"/>
  <c r="N169" i="4"/>
  <c r="M3" i="3"/>
  <c r="M39" i="3"/>
  <c r="A39" i="3" s="1"/>
  <c r="M40" i="3"/>
  <c r="A40" i="3" s="1"/>
  <c r="M41" i="3"/>
  <c r="A41" i="3" s="1"/>
  <c r="M42" i="3"/>
  <c r="M43" i="3"/>
  <c r="A43" i="3" s="1"/>
  <c r="M44" i="3"/>
  <c r="A44" i="3" s="1"/>
  <c r="M45" i="3"/>
  <c r="A45" i="3" s="1"/>
  <c r="M46" i="3"/>
  <c r="A46" i="3" s="1"/>
  <c r="M47" i="3"/>
  <c r="M48" i="3"/>
  <c r="A48" i="3" s="1"/>
  <c r="M49" i="3"/>
  <c r="N49" i="3" s="1"/>
  <c r="M50" i="3"/>
  <c r="M51" i="3"/>
  <c r="N51" i="3" s="1"/>
  <c r="A51" i="3" s="1"/>
  <c r="M52" i="3"/>
  <c r="M53" i="3"/>
  <c r="M54" i="3"/>
  <c r="M55" i="3"/>
  <c r="M56" i="3"/>
  <c r="N56" i="3" s="1"/>
  <c r="A56" i="3" s="1"/>
  <c r="M57" i="3"/>
  <c r="M58" i="3"/>
  <c r="M59" i="3"/>
  <c r="A59" i="3" s="1"/>
  <c r="M60" i="3"/>
  <c r="M61" i="3"/>
  <c r="N61" i="3" s="1"/>
  <c r="A61" i="3" s="1"/>
  <c r="M62" i="3"/>
  <c r="M63" i="3"/>
  <c r="N63" i="3" s="1"/>
  <c r="M64" i="3"/>
  <c r="M65" i="3"/>
  <c r="N65" i="3" s="1"/>
  <c r="A65" i="3" s="1"/>
  <c r="M66" i="3"/>
  <c r="M67" i="3"/>
  <c r="M68" i="3"/>
  <c r="M69" i="3"/>
  <c r="M70" i="3"/>
  <c r="N70" i="3" s="1"/>
  <c r="A70" i="3" s="1"/>
  <c r="M71" i="3"/>
  <c r="M72" i="3"/>
  <c r="M73" i="3"/>
  <c r="A73" i="3" s="1"/>
  <c r="N73" i="3"/>
  <c r="M74" i="3"/>
  <c r="M75" i="3"/>
  <c r="N75" i="3" s="1"/>
  <c r="A75" i="3" s="1"/>
  <c r="M76" i="3"/>
  <c r="M77" i="3"/>
  <c r="N77" i="3" s="1"/>
  <c r="M78" i="3"/>
  <c r="M79" i="3"/>
  <c r="N79" i="3" s="1"/>
  <c r="A79" i="3" s="1"/>
  <c r="M80" i="3"/>
  <c r="M81" i="3"/>
  <c r="M82" i="3"/>
  <c r="M83" i="3"/>
  <c r="M84" i="3"/>
  <c r="N84" i="3" s="1"/>
  <c r="A84" i="3" s="1"/>
  <c r="M85" i="3"/>
  <c r="M86" i="3"/>
  <c r="M87" i="3"/>
  <c r="A87" i="3" s="1"/>
  <c r="M88" i="3"/>
  <c r="M89" i="3"/>
  <c r="N89" i="3" s="1"/>
  <c r="A89" i="3" s="1"/>
  <c r="M90" i="3"/>
  <c r="M91" i="3"/>
  <c r="N91" i="3" s="1"/>
  <c r="M92" i="3"/>
  <c r="M93" i="3"/>
  <c r="N93" i="3" s="1"/>
  <c r="A93" i="3" s="1"/>
  <c r="M94" i="3"/>
  <c r="M95" i="3"/>
  <c r="M96" i="3"/>
  <c r="M97" i="3"/>
  <c r="M98" i="3"/>
  <c r="N98" i="3" s="1"/>
  <c r="A98" i="3" s="1"/>
  <c r="M99" i="3"/>
  <c r="M100" i="3"/>
  <c r="M101" i="3"/>
  <c r="A101" i="3" s="1"/>
  <c r="M102" i="3"/>
  <c r="M103" i="3"/>
  <c r="N103" i="3" s="1"/>
  <c r="A103" i="3" s="1"/>
  <c r="M104" i="3"/>
  <c r="M105" i="3"/>
  <c r="N105" i="3" s="1"/>
  <c r="M106" i="3"/>
  <c r="M107" i="3"/>
  <c r="N107" i="3" s="1"/>
  <c r="A107" i="3" s="1"/>
  <c r="M108" i="3"/>
  <c r="M109" i="3"/>
  <c r="M110" i="3"/>
  <c r="M111" i="3"/>
  <c r="M112" i="3"/>
  <c r="N112" i="3" s="1"/>
  <c r="A112" i="3" s="1"/>
  <c r="M113" i="3"/>
  <c r="M114" i="3"/>
  <c r="M115" i="3"/>
  <c r="A115" i="3" s="1"/>
  <c r="N115" i="3"/>
  <c r="M116" i="3"/>
  <c r="M117" i="3"/>
  <c r="N117" i="3" s="1"/>
  <c r="A117" i="3" s="1"/>
  <c r="M118" i="3"/>
  <c r="M119" i="3"/>
  <c r="N119" i="3" s="1"/>
  <c r="M120" i="3"/>
  <c r="N120" i="3" s="1"/>
  <c r="M121" i="3"/>
  <c r="N121" i="3" s="1"/>
  <c r="A121" i="3" s="1"/>
  <c r="M122" i="3"/>
  <c r="M123" i="3"/>
  <c r="M124" i="3"/>
  <c r="M125" i="3"/>
  <c r="M126" i="3"/>
  <c r="N126" i="3" s="1"/>
  <c r="A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4"/>
  <c r="N2" i="4" s="1"/>
  <c r="M2" i="3"/>
  <c r="N2" i="3" l="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N12" i="3"/>
  <c r="A12" i="3" s="1"/>
  <c r="N24" i="3"/>
  <c r="A24" i="3" s="1"/>
  <c r="N26" i="3"/>
  <c r="A26" i="3" s="1"/>
  <c r="N11" i="3"/>
  <c r="A11" i="3" s="1"/>
  <c r="N19" i="3"/>
  <c r="A19" i="3" s="1"/>
  <c r="N17" i="3"/>
  <c r="A17" i="3" s="1"/>
  <c r="N22" i="3"/>
  <c r="A22" i="3" s="1"/>
  <c r="N25" i="3"/>
  <c r="A25" i="3" s="1"/>
  <c r="N6" i="3"/>
  <c r="A6" i="3" s="1"/>
  <c r="N23" i="3"/>
  <c r="A23" i="3" s="1"/>
  <c r="N42" i="3"/>
  <c r="A42" i="3"/>
  <c r="N87" i="3"/>
  <c r="N47" i="3"/>
  <c r="A47" i="3"/>
  <c r="N45" i="3"/>
  <c r="N143" i="3"/>
  <c r="N101" i="3"/>
  <c r="N59" i="3"/>
  <c r="A30" i="5"/>
  <c r="N146" i="5"/>
  <c r="N132" i="5"/>
  <c r="N118" i="5"/>
  <c r="N104" i="5"/>
  <c r="N90" i="5"/>
  <c r="N76" i="5"/>
  <c r="N62" i="5"/>
  <c r="N40" i="5"/>
  <c r="N192" i="6"/>
  <c r="N162" i="6"/>
  <c r="N140" i="6"/>
  <c r="N98" i="6"/>
  <c r="A29" i="5"/>
  <c r="A14" i="5"/>
  <c r="A12"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21" i="4"/>
  <c r="A147" i="4"/>
  <c r="A7" i="4"/>
  <c r="N157" i="4"/>
  <c r="N143" i="4"/>
  <c r="N129" i="4"/>
  <c r="N115" i="4"/>
  <c r="N101" i="4"/>
  <c r="N87" i="4"/>
  <c r="N73" i="4"/>
  <c r="N59" i="4"/>
  <c r="N45" i="4"/>
  <c r="N31" i="4"/>
  <c r="N17" i="4"/>
  <c r="N3" i="4"/>
  <c r="A161" i="4"/>
  <c r="A133" i="4"/>
  <c r="A105" i="4"/>
  <c r="A119" i="4"/>
  <c r="A91" i="4"/>
  <c r="A63" i="4"/>
  <c r="A49" i="4"/>
  <c r="A35" i="4"/>
  <c r="N3" i="3"/>
  <c r="A3" i="3" s="1"/>
  <c r="A127" i="3"/>
  <c r="A74" i="3"/>
  <c r="A113" i="3"/>
  <c r="A60" i="3"/>
  <c r="A85" i="3"/>
  <c r="A50" i="3"/>
  <c r="A88" i="3"/>
  <c r="A95" i="3"/>
  <c r="N138" i="3"/>
  <c r="A138" i="3" s="1"/>
  <c r="A134" i="3"/>
  <c r="N124" i="3"/>
  <c r="A124" i="3" s="1"/>
  <c r="A120" i="3"/>
  <c r="N110" i="3"/>
  <c r="A110" i="3" s="1"/>
  <c r="N142" i="3"/>
  <c r="A142" i="3" s="1"/>
  <c r="N128" i="3"/>
  <c r="A128" i="3" s="1"/>
  <c r="N114" i="3"/>
  <c r="A114" i="3" s="1"/>
  <c r="N100" i="3"/>
  <c r="A100" i="3" s="1"/>
  <c r="N86" i="3"/>
  <c r="A86" i="3" s="1"/>
  <c r="N72" i="3"/>
  <c r="A72" i="3" s="1"/>
  <c r="N58" i="3"/>
  <c r="A58" i="3" s="1"/>
  <c r="N44" i="3"/>
  <c r="N137" i="3"/>
  <c r="A137" i="3" s="1"/>
  <c r="A133" i="3"/>
  <c r="N123" i="3"/>
  <c r="A123" i="3" s="1"/>
  <c r="A119" i="3"/>
  <c r="N109" i="3"/>
  <c r="A109" i="3" s="1"/>
  <c r="A105" i="3"/>
  <c r="N95" i="3"/>
  <c r="A91" i="3"/>
  <c r="N81" i="3"/>
  <c r="A81" i="3" s="1"/>
  <c r="A77" i="3"/>
  <c r="N67" i="3"/>
  <c r="A67" i="3" s="1"/>
  <c r="A63" i="3"/>
  <c r="N53" i="3"/>
  <c r="A53" i="3" s="1"/>
  <c r="A49" i="3"/>
  <c r="N39" i="3"/>
  <c r="N76" i="3"/>
  <c r="A76" i="3" s="1"/>
  <c r="N62" i="3"/>
  <c r="A62" i="3" s="1"/>
  <c r="N48" i="3"/>
  <c r="N141" i="3"/>
  <c r="A141" i="3" s="1"/>
  <c r="N127" i="3"/>
  <c r="N113" i="3"/>
  <c r="N99" i="3"/>
  <c r="A99" i="3" s="1"/>
  <c r="N85" i="3"/>
  <c r="N71" i="3"/>
  <c r="A71" i="3" s="1"/>
  <c r="N57" i="3"/>
  <c r="A57" i="3" s="1"/>
  <c r="N43" i="3"/>
  <c r="N90" i="3"/>
  <c r="A90" i="3" s="1"/>
  <c r="N136" i="3"/>
  <c r="A136" i="3" s="1"/>
  <c r="N122" i="3"/>
  <c r="A122" i="3" s="1"/>
  <c r="N66" i="3"/>
  <c r="A66" i="3" s="1"/>
  <c r="A5" i="3"/>
  <c r="N132" i="3"/>
  <c r="A132" i="3" s="1"/>
  <c r="N104" i="3"/>
  <c r="A104" i="3" s="1"/>
  <c r="N108" i="3"/>
  <c r="A108" i="3" s="1"/>
  <c r="N94" i="3"/>
  <c r="A94" i="3" s="1"/>
  <c r="N80" i="3"/>
  <c r="A80" i="3" s="1"/>
  <c r="N52" i="3"/>
  <c r="A52" i="3" s="1"/>
  <c r="N118" i="3"/>
  <c r="A118" i="3" s="1"/>
  <c r="N144" i="3"/>
  <c r="A144" i="3" s="1"/>
  <c r="N130" i="3"/>
  <c r="A130" i="3" s="1"/>
  <c r="N116" i="3"/>
  <c r="A116" i="3" s="1"/>
  <c r="N102" i="3"/>
  <c r="A102" i="3" s="1"/>
  <c r="N88" i="3"/>
  <c r="N74" i="3"/>
  <c r="N60" i="3"/>
  <c r="N46" i="3"/>
  <c r="N125" i="3"/>
  <c r="A125" i="3" s="1"/>
  <c r="N111" i="3"/>
  <c r="A111" i="3" s="1"/>
  <c r="N97" i="3"/>
  <c r="A97" i="3" s="1"/>
  <c r="N83" i="3"/>
  <c r="A83" i="3" s="1"/>
  <c r="N69" i="3"/>
  <c r="A69" i="3" s="1"/>
  <c r="N55" i="3"/>
  <c r="A55" i="3" s="1"/>
  <c r="N41" i="3"/>
  <c r="N106" i="3"/>
  <c r="A106" i="3" s="1"/>
  <c r="N92" i="3"/>
  <c r="A92" i="3" s="1"/>
  <c r="N78" i="3"/>
  <c r="A78" i="3" s="1"/>
  <c r="N64" i="3"/>
  <c r="A64" i="3" s="1"/>
  <c r="N50" i="3"/>
  <c r="A8" i="3"/>
  <c r="N96" i="3"/>
  <c r="A96" i="3" s="1"/>
  <c r="N82" i="3"/>
  <c r="A82" i="3" s="1"/>
  <c r="N68" i="3"/>
  <c r="A68" i="3" s="1"/>
  <c r="N54" i="3"/>
  <c r="A54" i="3" s="1"/>
  <c r="N40" i="3"/>
  <c r="A2" i="3"/>
  <c r="A2" i="4"/>
  <c r="A2" i="5"/>
  <c r="A2" i="6"/>
  <c r="N2" i="7" l="1"/>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s="1"/>
  <c r="A250" i="7" l="1"/>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<sst xmlns="http://schemas.openxmlformats.org/spreadsheetml/2006/main" count="1854" uniqueCount="396">
  <si>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</si>
  <si>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</si>
  <si>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</si>
  <si>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</si>
  <si>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</si>
  <si>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</si>
  <si>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</si>
  <si>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</si>
  <si>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</si>
  <si>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</si>
  <si>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</si>
  <si>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</si>
  <si>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</si>
  <si>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</si>
  <si>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</si>
  <si>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</si>
  <si>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</si>
  <si>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</si>
  <si>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</si>
  <si>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</si>
  <si>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</si>
  <si>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</si>
  <si>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</si>
  <si>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</si>
  <si>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</si>
  <si>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</si>
  <si>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</si>
  <si>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</si>
  <si>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</si>
  <si>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</si>
  <si>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</si>
  <si>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</si>
  <si>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</si>
  <si>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</si>
  <si>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</si>
  <si>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</si>
  <si>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</si>
  <si>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</si>
  <si>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</si>
  <si>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</si>
  <si>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</si>
  <si>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</si>
  <si>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</si>
  <si>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</si>
  <si>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</si>
  <si>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</si>
  <si>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</si>
  <si>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</si>
  <si>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</si>
  <si>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</si>
  <si>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</si>
  <si>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</si>
  <si>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</si>
  <si>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</si>
  <si>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</si>
  <si>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</si>
  <si>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</si>
  <si>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</si>
  <si>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</si>
  <si>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</si>
  <si>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</si>
  <si>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</si>
  <si>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</si>
  <si>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</si>
  <si>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</si>
  <si>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</si>
  <si>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</si>
  <si>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</si>
  <si>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</si>
  <si>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</si>
  <si>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</si>
  <si>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</si>
  <si>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</si>
  <si>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</si>
  <si>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</si>
  <si>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</si>
  <si>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</si>
  <si>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</si>
  <si>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</si>
  <si>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</si>
  <si>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</si>
  <si>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</si>
  <si>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</si>
  <si>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</si>
  <si>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</si>
  <si>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</si>
  <si>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</si>
  <si>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</si>
  <si>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</si>
  <si>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</si>
  <si>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</si>
  <si>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</si>
  <si>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</si>
  <si>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</si>
  <si>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</si>
  <si>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</si>
  <si>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</si>
  <si>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</si>
  <si>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</si>
  <si>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</si>
  <si>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</si>
  <si>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</si>
  <si>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</si>
  <si>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</si>
  <si>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</si>
  <si>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</si>
  <si>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</si>
  <si>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</si>
  <si>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</si>
  <si>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</si>
  <si>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</si>
  <si>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</si>
  <si>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</si>
  <si>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</si>
  <si>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</si>
  <si>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</si>
  <si>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</si>
  <si>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</si>
  <si>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</si>
  <si>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</si>
  <si>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medium</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</si>
  <si>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</si>
  <si>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</si>
  <si>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</si>
  <si>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</si>
  <si>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</si>
  <si>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</si>
  <si>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</si>
  <si>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</si>
  <si>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</si>
  <si>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</si>
  <si>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</si>
  <si>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</si>
  <si>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</si>
  <si>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</si>
  <si>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</si>
  <si>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</si>
  <si>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</si>
  <si>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</si>
  <si>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</si>
  <si>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</si>
  <si>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</si>
  <si>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</si>
  <si>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</si>
  <si>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</si>
  <si>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</si>
  <si>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</si>
  <si>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</si>
  <si>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</si>
  <si>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</si>
  <si>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</si>
  <si>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</si>
  <si>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</si>
  <si>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</si>
  <si>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</si>
  <si>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</si>
  <si>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</si>
  <si>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</si>
  <si>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</si>
  <si>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</si>
  <si>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</si>
  <si>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PF_CGA_REQ_EIS__001</t>
  </si>
  <si>
    <t>PF_CGA_REQ_EIS_</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</si>
  <si>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</si>
  <si>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</si>
  <si>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</si>
  <si>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</si>
  <si>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</si>
  <si>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</si>
  <si>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</si>
  <si>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</si>
  <si>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</si>
  <si>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</si>
  <si>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</si>
  <si>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</si>
  <si>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</si>
  <si>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</si>
  <si>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</si>
  <si>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</si>
  <si>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</si>
  <si>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</si>
  <si>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</si>
  <si>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</si>
  <si>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</si>
  <si>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</si>
  <si>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</si>
  <si>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</si>
  <si>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</si>
  <si>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</si>
  <si>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</si>
  <si>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</si>
  <si>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</si>
  <si>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</si>
  <si>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</si>
  <si>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</si>
  <si>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</si>
  <si>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</si>
  <si>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</si>
  <si>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</si>
  <si>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</si>
  <si>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</si>
  <si>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</si>
  <si>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</si>
  <si>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</si>
  <si>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</si>
  <si>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</si>
  <si>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</si>
  <si>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</si>
  <si>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</si>
  <si>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</si>
  <si>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</si>
  <si>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</si>
  <si>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</si>
  <si>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</si>
  <si>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</si>
  <si>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</si>
  <si>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</si>
  <si>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</si>
  <si>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</si>
  <si>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</si>
  <si>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</si>
  <si>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</si>
  <si>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</si>
  <si>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</si>
  <si>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</si>
  <si>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</si>
  <si>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</si>
  <si>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</si>
  <si>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</si>
  <si>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</si>
  <si>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</si>
  <si>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</si>
  <si>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</si>
  <si>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</si>
  <si>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</si>
  <si>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</si>
  <si>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</si>
  <si>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</si>
  <si>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</si>
  <si>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</si>
  <si>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</si>
  <si>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</si>
  <si>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</si>
  <si>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</si>
  <si>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</si>
  <si>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</si>
  <si>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</si>
  <si>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</si>
  <si>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</si>
  <si>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</si>
  <si>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</si>
  <si>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</si>
  <si>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</si>
  <si>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</si>
  <si>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</si>
  <si>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</si>
  <si>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</si>
  <si>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</si>
  <si>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</si>
  <si>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</si>
  <si>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</si>
  <si>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</si>
  <si>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</si>
  <si>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</si>
  <si>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</si>
  <si>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</si>
  <si>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</si>
  <si>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</si>
  <si>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</si>
  <si>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</si>
  <si>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</si>
  <si>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</si>
  <si>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</si>
  <si>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</si>
  <si>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</si>
  <si>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</si>
  <si>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</si>
  <si>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</si>
  <si>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</si>
  <si>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</si>
  <si>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</si>
  <si>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</si>
  <si>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</si>
  <si>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</si>
  <si>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</si>
  <si>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</si>
  <si>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</si>
  <si>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</si>
  <si>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</si>
  <si>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</si>
  <si>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</si>
  <si>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</si>
  <si>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</si>
  <si>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</si>
  <si>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</si>
  <si>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</si>
  <si>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</si>
  <si>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</si>
  <si>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</si>
  <si>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</si>
  <si>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</si>
  <si>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</si>
  <si>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</si>
  <si>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</si>
  <si>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</si>
  <si>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</si>
  <si>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</si>
  <si>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</si>
  <si>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</si>
  <si>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</si>
  <si>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</si>
  <si>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</si>
  <si>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</si>
  <si>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</si>
  <si>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</si>
  <si>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</si>
  <si>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</si>
  <si>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</si>
  <si>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</si>
  <si>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</si>
  <si>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</si>
  <si>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</si>
  <si>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</si>
  <si>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</si>
  <si>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</si>
  <si>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</si>
  <si>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</si>
  <si>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</si>
  <si>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</si>
  <si>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</si>
  <si>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</si>
  <si>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</si>
  <si>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</si>
  <si>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</si>
  <si>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</si>
  <si>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</si>
  <si>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</si>
  <si>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</si>
  <si>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</si>
  <si>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</si>
  <si>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</si>
  <si>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</si>
  <si>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</si>
  <si>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</si>
  <si>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</si>
  <si>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</si>
  <si>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</si>
  <si>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</si>
  <si>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</si>
  <si>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</si>
  <si>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</si>
  <si>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</si>
  <si>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</si>
  <si>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</si>
  <si>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</si>
  <si>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</si>
  <si>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</si>
  <si>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</si>
  <si>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</si>
  <si>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</si>
  <si>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</si>
  <si>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</si>
  <si>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</si>
  <si>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</si>
  <si>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</si>
  <si>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</si>
  <si>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</si>
  <si>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</si>
  <si>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</si>
  <si>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</si>
  <si>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</si>
  <si>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</si>
  <si>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</si>
  <si>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</si>
  <si>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</si>
  <si>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</si>
  <si>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</si>
  <si>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</si>
  <si>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</si>
  <si>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</si>
  <si>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</si>
  <si>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</si>
  <si>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</si>
  <si>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</si>
  <si>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</si>
  <si>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</si>
  <si>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</si>
  <si>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</si>
  <si>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</si>
  <si>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</si>
  <si>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["S1","S2","S3","S4","S5","S6","S7","S8","S9","S10","S11","S12","S13","S14","S15","S16","S17","S18","S19","S20","S21","S22","S23","S24","S25","S26","S27","S28","S29","S30","S31"]</t>
  </si>
  <si>
    <t>C. If shares were issued at a discount to market value at grant and company is listed</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</si>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</sst>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topLeftCell="L1" workbookViewId="0">
      <pane ySplit="1" topLeftCell="A13" activePane="bottomLeft" state="frozen"/>
      <selection pane="bottomLeft" activeCell="R16" sqref="R16"/>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260</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261</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137</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262</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263</v>
      </c>
      <c r="V6" s="3" t="s">
        <v>111</v>
      </c>
    </row>
    <row r="7" spans="1:22" ht="72" x14ac:dyDescent="0.3">
      <c r="A7" s="3" t="str">
        <f t="shared" si="0"/>
        <v>MCQ_ITNIC_REQ_EIS_001</v>
      </c>
      <c r="B7" s="3" t="s">
        <v>21</v>
      </c>
      <c r="C7" s="6" t="s">
        <v>22</v>
      </c>
      <c r="D7" s="6" t="s">
        <v>118</v>
      </c>
      <c r="E7" s="3" t="s">
        <v>18</v>
      </c>
      <c r="F7" s="3">
        <v>3</v>
      </c>
      <c r="G7" s="3" t="s">
        <v>16</v>
      </c>
      <c r="H7" s="3" t="s">
        <v>17</v>
      </c>
      <c r="I7" s="3" t="s">
        <v>128</v>
      </c>
      <c r="J7" s="3" t="s">
        <v>129</v>
      </c>
      <c r="K7" s="3">
        <v>1</v>
      </c>
      <c r="L7" s="3" t="s">
        <v>130</v>
      </c>
      <c r="M7" s="3" t="str">
        <f>IF(B7="","","MCQ"&amp;"_"&amp;IFERROR(VLOOKUP(B7,LOOKUPS!$K$2:$L$9,2,FALSE),"UNK")&amp;"_"&amp;IFERROR(VLOOKUP(C7,LOOKUPS!$N$2:$O$8,2,FALSE),"UNK")&amp;"_"&amp;UPPER(L7))</f>
        <v>MCQ_ITNIC_REQ_EIS</v>
      </c>
      <c r="N7" s="3">
        <f>IF(M7="","",COUNTIF($M$2:M7,M7))</f>
        <v>1</v>
      </c>
      <c r="O7" s="3" t="s">
        <v>131</v>
      </c>
      <c r="P7" s="3" t="s">
        <v>132</v>
      </c>
      <c r="Q7" s="3" t="s">
        <v>133</v>
      </c>
      <c r="R7" s="3" t="s">
        <v>134</v>
      </c>
      <c r="S7" s="3" t="s">
        <v>135</v>
      </c>
      <c r="T7" s="3" t="s">
        <v>136</v>
      </c>
      <c r="U7" s="3" t="s">
        <v>137</v>
      </c>
      <c r="V7" s="3" t="s">
        <v>138</v>
      </c>
    </row>
    <row r="8" spans="1:22" ht="72" x14ac:dyDescent="0.3">
      <c r="A8" s="3" t="str">
        <f t="shared" si="0"/>
        <v>MCQ_ITNIC_CALC_EIS_001</v>
      </c>
      <c r="B8" s="3" t="s">
        <v>21</v>
      </c>
      <c r="C8" s="6" t="s">
        <v>40</v>
      </c>
      <c r="D8" s="6" t="s">
        <v>118</v>
      </c>
      <c r="E8" s="3" t="s">
        <v>18</v>
      </c>
      <c r="F8" s="3">
        <v>3</v>
      </c>
      <c r="G8" s="3" t="s">
        <v>16</v>
      </c>
      <c r="H8" s="3" t="s">
        <v>17</v>
      </c>
      <c r="I8" s="3" t="s">
        <v>128</v>
      </c>
      <c r="J8" s="3" t="s">
        <v>129</v>
      </c>
      <c r="K8" s="3">
        <v>1</v>
      </c>
      <c r="L8" s="3" t="s">
        <v>130</v>
      </c>
      <c r="M8" s="3" t="str">
        <f>IF(B8="","","MCQ"&amp;"_"&amp;IFERROR(VLOOKUP(B8,LOOKUPS!$K$2:$L$9,2,FALSE),"UNK")&amp;"_"&amp;IFERROR(VLOOKUP(C8,LOOKUPS!$N$2:$O$8,2,FALSE),"UNK")&amp;"_"&amp;UPPER(L8))</f>
        <v>MCQ_ITNIC_CALC_EIS</v>
      </c>
      <c r="N8" s="3">
        <f>IF(M8="","",COUNTIF($M$2:M8,M8))</f>
        <v>1</v>
      </c>
      <c r="O8" s="3" t="s">
        <v>139</v>
      </c>
      <c r="P8" s="3" t="s">
        <v>271</v>
      </c>
      <c r="Q8" s="3" t="s">
        <v>140</v>
      </c>
      <c r="R8" s="3" t="s">
        <v>141</v>
      </c>
      <c r="S8" s="3" t="s">
        <v>272</v>
      </c>
      <c r="T8" s="3" t="s">
        <v>142</v>
      </c>
      <c r="U8" s="3" t="s">
        <v>263</v>
      </c>
      <c r="V8" s="3" t="s">
        <v>143</v>
      </c>
    </row>
    <row r="9" spans="1:22" ht="100.8" x14ac:dyDescent="0.3">
      <c r="A9" s="3" t="str">
        <f t="shared" si="0"/>
        <v>MCQ_ITNIC_DEF_EIS_001</v>
      </c>
      <c r="B9" s="3" t="s">
        <v>21</v>
      </c>
      <c r="C9" s="6" t="s">
        <v>15</v>
      </c>
      <c r="D9" s="6" t="s">
        <v>118</v>
      </c>
      <c r="E9" s="3" t="s">
        <v>18</v>
      </c>
      <c r="F9" s="3">
        <v>3</v>
      </c>
      <c r="G9" s="3" t="s">
        <v>16</v>
      </c>
      <c r="H9" s="3" t="s">
        <v>17</v>
      </c>
      <c r="I9" s="3" t="s">
        <v>128</v>
      </c>
      <c r="J9" s="3" t="s">
        <v>129</v>
      </c>
      <c r="K9" s="3">
        <v>1</v>
      </c>
      <c r="L9" s="3" t="s">
        <v>130</v>
      </c>
      <c r="M9" s="3" t="str">
        <f>IF(B9="","","MCQ"&amp;"_"&amp;IFERROR(VLOOKUP(B9,LOOKUPS!$K$2:$L$9,2,FALSE),"UNK")&amp;"_"&amp;IFERROR(VLOOKUP(C9,LOOKUPS!$N$2:$O$8,2,FALSE),"UNK")&amp;"_"&amp;UPPER(L9))</f>
        <v>MCQ_ITNIC_DEF_EIS</v>
      </c>
      <c r="N9" s="3">
        <f>IF(M9="","",COUNTIF($M$2:M9,M9))</f>
        <v>1</v>
      </c>
      <c r="O9" s="3" t="s">
        <v>144</v>
      </c>
      <c r="P9" s="3" t="s">
        <v>273</v>
      </c>
      <c r="Q9" s="3" t="s">
        <v>145</v>
      </c>
      <c r="R9" s="3" t="s">
        <v>146</v>
      </c>
      <c r="S9" s="3" t="s">
        <v>147</v>
      </c>
      <c r="T9" s="3" t="s">
        <v>274</v>
      </c>
      <c r="U9" s="3" t="s">
        <v>261</v>
      </c>
      <c r="V9" s="3" t="s">
        <v>148</v>
      </c>
    </row>
    <row r="10" spans="1:22" ht="100.8" x14ac:dyDescent="0.3">
      <c r="A10" s="3" t="str">
        <f t="shared" si="0"/>
        <v>MCQ_ITNIC_DEF_PSC_001</v>
      </c>
      <c r="B10" s="3" t="s">
        <v>21</v>
      </c>
      <c r="C10" s="3" t="s">
        <v>15</v>
      </c>
      <c r="D10" s="3" t="s">
        <v>170</v>
      </c>
      <c r="E10" s="3" t="s">
        <v>18</v>
      </c>
      <c r="F10" s="3">
        <v>3</v>
      </c>
      <c r="G10" s="3" t="s">
        <v>16</v>
      </c>
      <c r="H10" s="3" t="s">
        <v>17</v>
      </c>
      <c r="I10" s="3" t="s">
        <v>171</v>
      </c>
      <c r="J10" s="3" t="s">
        <v>129</v>
      </c>
      <c r="K10" s="3">
        <v>1</v>
      </c>
      <c r="L10" s="3" t="s">
        <v>172</v>
      </c>
      <c r="M10" s="3" t="str">
        <f>IF(B10="","","MCQ"&amp;"_"&amp;IFERROR(VLOOKUP(B10,LOOKUPS!$K$2:$L$9,2,FALSE),"UNK")&amp;"_"&amp;IFERROR(VLOOKUP(C10,LOOKUPS!$N$2:$O$8,2,FALSE),"UNK")&amp;"_"&amp;UPPER(L10))</f>
        <v>MCQ_ITNIC_DEF_PSC</v>
      </c>
      <c r="N10" s="3">
        <f>IF(M10="","",COUNTIF($M$2:M10,M10))</f>
        <v>1</v>
      </c>
      <c r="O10" s="3" t="s">
        <v>173</v>
      </c>
      <c r="P10" s="3" t="s">
        <v>174</v>
      </c>
      <c r="Q10" s="3" t="s">
        <v>175</v>
      </c>
      <c r="R10" s="3" t="s">
        <v>176</v>
      </c>
      <c r="S10" s="3" t="s">
        <v>177</v>
      </c>
      <c r="T10" s="3" t="s">
        <v>178</v>
      </c>
      <c r="U10" s="3" t="s">
        <v>260</v>
      </c>
      <c r="V10" s="3" t="s">
        <v>179</v>
      </c>
    </row>
    <row r="11" spans="1:22" ht="100.8" x14ac:dyDescent="0.3">
      <c r="A11" s="3" t="str">
        <f t="shared" si="0"/>
        <v>MCQ_ITNIC_REQ_PSC_001</v>
      </c>
      <c r="B11" s="3" t="s">
        <v>21</v>
      </c>
      <c r="C11" s="3" t="s">
        <v>22</v>
      </c>
      <c r="D11" s="3" t="s">
        <v>170</v>
      </c>
      <c r="E11" s="3" t="s">
        <v>18</v>
      </c>
      <c r="F11" s="3">
        <v>3</v>
      </c>
      <c r="G11" s="3" t="s">
        <v>16</v>
      </c>
      <c r="H11" s="3" t="s">
        <v>17</v>
      </c>
      <c r="I11" s="3" t="s">
        <v>180</v>
      </c>
      <c r="J11" s="3" t="s">
        <v>129</v>
      </c>
      <c r="K11" s="3">
        <v>1</v>
      </c>
      <c r="L11" s="3" t="s">
        <v>172</v>
      </c>
      <c r="M11" s="3" t="str">
        <f>IF(B11="","","MCQ"&amp;"_"&amp;IFERROR(VLOOKUP(B11,LOOKUPS!$K$2:$L$9,2,FALSE),"UNK")&amp;"_"&amp;IFERROR(VLOOKUP(C11,LOOKUPS!$N$2:$O$8,2,FALSE),"UNK")&amp;"_"&amp;UPPER(L11))</f>
        <v>MCQ_ITNIC_REQ_PSC</v>
      </c>
      <c r="N11" s="3">
        <f>IF(M11="","",COUNTIF($M$2:M11,M11))</f>
        <v>1</v>
      </c>
      <c r="O11" s="3" t="s">
        <v>181</v>
      </c>
      <c r="P11" s="3" t="s">
        <v>275</v>
      </c>
      <c r="Q11" s="3" t="s">
        <v>276</v>
      </c>
      <c r="R11" s="3" t="s">
        <v>182</v>
      </c>
      <c r="S11" s="3" t="s">
        <v>183</v>
      </c>
      <c r="T11" s="3" t="s">
        <v>184</v>
      </c>
      <c r="U11" s="3" t="s">
        <v>262</v>
      </c>
      <c r="V11" s="3" t="s">
        <v>185</v>
      </c>
    </row>
    <row r="12" spans="1:22" ht="86.4" x14ac:dyDescent="0.3">
      <c r="A12" s="3" t="str">
        <f t="shared" si="0"/>
        <v>MCQ_ITNIC_REQ_PSC_002</v>
      </c>
      <c r="B12" s="3" t="s">
        <v>21</v>
      </c>
      <c r="C12" s="3" t="s">
        <v>22</v>
      </c>
      <c r="D12" s="3" t="s">
        <v>170</v>
      </c>
      <c r="E12" s="3" t="s">
        <v>18</v>
      </c>
      <c r="F12" s="3">
        <v>3</v>
      </c>
      <c r="G12" s="3" t="s">
        <v>16</v>
      </c>
      <c r="H12" s="3" t="s">
        <v>17</v>
      </c>
      <c r="I12" s="3" t="s">
        <v>186</v>
      </c>
      <c r="J12" s="3" t="s">
        <v>129</v>
      </c>
      <c r="K12" s="3">
        <v>1</v>
      </c>
      <c r="L12" s="3" t="s">
        <v>172</v>
      </c>
      <c r="M12" s="3" t="str">
        <f>IF(B12="","","MCQ"&amp;"_"&amp;IFERROR(VLOOKUP(B12,LOOKUPS!$K$2:$L$9,2,FALSE),"UNK")&amp;"_"&amp;IFERROR(VLOOKUP(C12,LOOKUPS!$N$2:$O$8,2,FALSE),"UNK")&amp;"_"&amp;UPPER(L12))</f>
        <v>MCQ_ITNIC_REQ_PSC</v>
      </c>
      <c r="N12" s="3">
        <f>IF(M12="","",COUNTIF($M$2:M12,M12))</f>
        <v>2</v>
      </c>
      <c r="O12" s="3" t="s">
        <v>187</v>
      </c>
      <c r="P12" s="3" t="s">
        <v>277</v>
      </c>
      <c r="Q12" s="3" t="s">
        <v>188</v>
      </c>
      <c r="R12" s="3" t="s">
        <v>189</v>
      </c>
      <c r="S12" s="3" t="s">
        <v>278</v>
      </c>
      <c r="T12" s="3" t="s">
        <v>190</v>
      </c>
      <c r="U12" s="3" t="s">
        <v>263</v>
      </c>
      <c r="V12" s="3" t="s">
        <v>191</v>
      </c>
    </row>
    <row r="13" spans="1:22" ht="100.8" x14ac:dyDescent="0.3">
      <c r="A13" s="3" t="str">
        <f t="shared" si="0"/>
        <v>MCQ_ITNIC_DEF_SHS_001</v>
      </c>
      <c r="B13" s="3" t="s">
        <v>21</v>
      </c>
      <c r="C13" s="3" t="s">
        <v>15</v>
      </c>
      <c r="D13" s="3" t="s">
        <v>221</v>
      </c>
      <c r="E13" s="3" t="s">
        <v>18</v>
      </c>
      <c r="F13" s="3">
        <v>3</v>
      </c>
      <c r="G13" s="3" t="s">
        <v>16</v>
      </c>
      <c r="H13" s="3" t="s">
        <v>17</v>
      </c>
      <c r="I13" s="3" t="s">
        <v>222</v>
      </c>
      <c r="J13" s="3" t="s">
        <v>129</v>
      </c>
      <c r="K13" s="3">
        <v>1</v>
      </c>
      <c r="L13" s="3" t="s">
        <v>223</v>
      </c>
      <c r="M13" s="3" t="str">
        <f>IF(B13="","","MCQ"&amp;"_"&amp;IFERROR(VLOOKUP(B13,LOOKUPS!$K$2:$L$9,2,FALSE),"UNK")&amp;"_"&amp;IFERROR(VLOOKUP(C13,LOOKUPS!$N$2:$O$8,2,FALSE),"UNK")&amp;"_"&amp;UPPER(L13))</f>
        <v>MCQ_ITNIC_DEF_SHS</v>
      </c>
      <c r="N13" s="3">
        <f>IF(M13="","",COUNTIF($M$2:M13,M13))</f>
        <v>1</v>
      </c>
      <c r="O13" s="3" t="s">
        <v>224</v>
      </c>
      <c r="P13" s="3" t="s">
        <v>225</v>
      </c>
      <c r="Q13" s="3" t="s">
        <v>226</v>
      </c>
      <c r="R13" s="3" t="s">
        <v>227</v>
      </c>
      <c r="S13" s="3" t="s">
        <v>228</v>
      </c>
      <c r="T13" s="3" t="s">
        <v>229</v>
      </c>
      <c r="U13" s="3" t="s">
        <v>137</v>
      </c>
      <c r="V13" s="3" t="s">
        <v>230</v>
      </c>
    </row>
    <row r="14" spans="1:22" ht="115.2" x14ac:dyDescent="0.3">
      <c r="A14" s="3" t="str">
        <f t="shared" si="0"/>
        <v>MCQ_ITNIC_DEF_SHS_002</v>
      </c>
      <c r="B14" s="3" t="s">
        <v>21</v>
      </c>
      <c r="C14" s="3" t="s">
        <v>15</v>
      </c>
      <c r="D14" s="3" t="s">
        <v>221</v>
      </c>
      <c r="E14" s="3" t="s">
        <v>18</v>
      </c>
      <c r="F14" s="3">
        <v>3</v>
      </c>
      <c r="G14" s="3" t="s">
        <v>16</v>
      </c>
      <c r="H14" s="3" t="s">
        <v>17</v>
      </c>
      <c r="I14" s="3" t="s">
        <v>231</v>
      </c>
      <c r="J14" s="3" t="s">
        <v>129</v>
      </c>
      <c r="K14" s="3">
        <v>1</v>
      </c>
      <c r="L14" s="3" t="s">
        <v>223</v>
      </c>
      <c r="M14" s="3" t="str">
        <f>IF(B14="","","MCQ"&amp;"_"&amp;IFERROR(VLOOKUP(B14,LOOKUPS!$K$2:$L$9,2,FALSE),"UNK")&amp;"_"&amp;IFERROR(VLOOKUP(C14,LOOKUPS!$N$2:$O$8,2,FALSE),"UNK")&amp;"_"&amp;UPPER(L14))</f>
        <v>MCQ_ITNIC_DEF_SHS</v>
      </c>
      <c r="N14" s="3">
        <f>IF(M14="","",COUNTIF($M$2:M14,M14))</f>
        <v>2</v>
      </c>
      <c r="O14" s="3" t="s">
        <v>232</v>
      </c>
      <c r="P14" s="3" t="s">
        <v>279</v>
      </c>
      <c r="Q14" s="3" t="s">
        <v>233</v>
      </c>
      <c r="R14" s="3" t="s">
        <v>234</v>
      </c>
      <c r="S14" s="3" t="s">
        <v>235</v>
      </c>
      <c r="T14" s="3" t="s">
        <v>280</v>
      </c>
      <c r="U14" s="3" t="s">
        <v>261</v>
      </c>
      <c r="V14" s="3" t="s">
        <v>236</v>
      </c>
    </row>
    <row r="15" spans="1:22" ht="100.8" x14ac:dyDescent="0.3">
      <c r="A15" s="3" t="str">
        <f t="shared" si="0"/>
        <v>MCQ_ITNIC_DEF_SHS_003</v>
      </c>
      <c r="B15" s="3" t="s">
        <v>21</v>
      </c>
      <c r="C15" s="3" t="s">
        <v>15</v>
      </c>
      <c r="D15" s="3" t="s">
        <v>221</v>
      </c>
      <c r="E15" s="3" t="s">
        <v>18</v>
      </c>
      <c r="F15" s="3">
        <v>3</v>
      </c>
      <c r="G15" s="3" t="s">
        <v>16</v>
      </c>
      <c r="H15" s="3" t="s">
        <v>17</v>
      </c>
      <c r="I15" s="3" t="s">
        <v>237</v>
      </c>
      <c r="J15" s="3" t="s">
        <v>129</v>
      </c>
      <c r="K15" s="3">
        <v>1</v>
      </c>
      <c r="L15" s="3" t="s">
        <v>223</v>
      </c>
      <c r="M15" s="3" t="str">
        <f>IF(B15="","","MCQ"&amp;"_"&amp;IFERROR(VLOOKUP(B15,LOOKUPS!$K$2:$L$9,2,FALSE),"UNK")&amp;"_"&amp;IFERROR(VLOOKUP(C15,LOOKUPS!$N$2:$O$8,2,FALSE),"UNK")&amp;"_"&amp;UPPER(L15))</f>
        <v>MCQ_ITNIC_DEF_SHS</v>
      </c>
      <c r="N15" s="3">
        <f>IF(M15="","",COUNTIF($M$2:M15,M15))</f>
        <v>3</v>
      </c>
      <c r="O15" s="3" t="s">
        <v>238</v>
      </c>
      <c r="P15" s="3" t="s">
        <v>281</v>
      </c>
      <c r="Q15" s="3" t="s">
        <v>239</v>
      </c>
      <c r="R15" s="3" t="s">
        <v>391</v>
      </c>
      <c r="S15" s="3" t="s">
        <v>240</v>
      </c>
      <c r="T15" s="3" t="s">
        <v>241</v>
      </c>
      <c r="U15" s="3" t="s">
        <v>260</v>
      </c>
      <c r="V15" s="3" t="s">
        <v>242</v>
      </c>
    </row>
    <row r="16" spans="1:22" ht="57.6" x14ac:dyDescent="0.3">
      <c r="A16" s="3" t="str">
        <f t="shared" si="0"/>
        <v>MCQ_ITNIC_REQ_EMI_001</v>
      </c>
      <c r="B16" s="6" t="s">
        <v>21</v>
      </c>
      <c r="C16" s="6" t="s">
        <v>22</v>
      </c>
      <c r="D16" s="6" t="s">
        <v>292</v>
      </c>
      <c r="E16" s="6" t="s">
        <v>18</v>
      </c>
      <c r="F16" s="6">
        <v>3</v>
      </c>
      <c r="G16" s="6" t="s">
        <v>16</v>
      </c>
      <c r="H16" s="6" t="s">
        <v>17</v>
      </c>
      <c r="I16" s="6" t="s">
        <v>293</v>
      </c>
      <c r="J16" s="6" t="s">
        <v>129</v>
      </c>
      <c r="K16" s="6">
        <v>1</v>
      </c>
      <c r="L16" s="6" t="s">
        <v>294</v>
      </c>
      <c r="M16" s="3" t="str">
        <f>IF(B16="","","MCQ"&amp;"_"&amp;IFERROR(VLOOKUP(B16,LOOKUPS!$K$2:$L$9,2,FALSE),"UNK")&amp;"_"&amp;IFERROR(VLOOKUP(C16,LOOKUPS!$N$2:$O$8,2,FALSE),"UNK")&amp;"_"&amp;UPPER(L16))</f>
        <v>MCQ_ITNIC_REQ_EMI</v>
      </c>
      <c r="N16" s="3">
        <f>IF(M16="","",COUNTIF($M$2:M16,M16))</f>
        <v>1</v>
      </c>
      <c r="O16" s="6" t="s">
        <v>295</v>
      </c>
      <c r="P16" s="6" t="s">
        <v>296</v>
      </c>
      <c r="Q16" s="3" t="s">
        <v>297</v>
      </c>
      <c r="R16" s="3" t="s">
        <v>298</v>
      </c>
      <c r="S16" s="3" t="s">
        <v>299</v>
      </c>
      <c r="T16" s="3" t="s">
        <v>300</v>
      </c>
      <c r="U16" s="3" t="s">
        <v>137</v>
      </c>
      <c r="V16" s="3" t="s">
        <v>301</v>
      </c>
    </row>
    <row r="17" spans="1:22" ht="72" x14ac:dyDescent="0.3">
      <c r="A17" s="3" t="str">
        <f t="shared" si="0"/>
        <v>MCQ_ITNIC_REQ_EMI_002</v>
      </c>
      <c r="B17" s="6" t="s">
        <v>21</v>
      </c>
      <c r="C17" s="6" t="s">
        <v>22</v>
      </c>
      <c r="D17" s="6" t="s">
        <v>292</v>
      </c>
      <c r="E17" s="6" t="s">
        <v>18</v>
      </c>
      <c r="F17" s="6">
        <v>3</v>
      </c>
      <c r="G17" s="6" t="s">
        <v>16</v>
      </c>
      <c r="H17" s="6" t="s">
        <v>17</v>
      </c>
      <c r="I17" s="6" t="s">
        <v>293</v>
      </c>
      <c r="J17" s="6" t="s">
        <v>129</v>
      </c>
      <c r="K17" s="6">
        <v>1</v>
      </c>
      <c r="L17" s="6" t="s">
        <v>294</v>
      </c>
      <c r="M17" s="3" t="str">
        <f>IF(B17="","","MCQ"&amp;"_"&amp;IFERROR(VLOOKUP(B17,LOOKUPS!$K$2:$L$9,2,FALSE),"UNK")&amp;"_"&amp;IFERROR(VLOOKUP(C17,LOOKUPS!$N$2:$O$8,2,FALSE),"UNK")&amp;"_"&amp;UPPER(L17))</f>
        <v>MCQ_ITNIC_REQ_EMI</v>
      </c>
      <c r="N17" s="3">
        <f>IF(M17="","",COUNTIF($M$2:M17,M17))</f>
        <v>2</v>
      </c>
      <c r="O17" s="6" t="s">
        <v>302</v>
      </c>
      <c r="P17" s="6" t="s">
        <v>303</v>
      </c>
      <c r="Q17" s="3" t="s">
        <v>304</v>
      </c>
      <c r="R17" s="3" t="s">
        <v>305</v>
      </c>
      <c r="S17" s="3" t="s">
        <v>306</v>
      </c>
      <c r="T17" s="3" t="s">
        <v>307</v>
      </c>
      <c r="U17" s="3" t="s">
        <v>262</v>
      </c>
      <c r="V17" s="3" t="s">
        <v>308</v>
      </c>
    </row>
    <row r="18" spans="1:22" ht="57.6" x14ac:dyDescent="0.3">
      <c r="A18" s="3" t="str">
        <f t="shared" si="0"/>
        <v>MCQ_ITNIC_REQ_EMI_003</v>
      </c>
      <c r="B18" s="6" t="s">
        <v>21</v>
      </c>
      <c r="C18" s="6" t="s">
        <v>22</v>
      </c>
      <c r="D18" s="6" t="s">
        <v>292</v>
      </c>
      <c r="E18" s="6" t="s">
        <v>18</v>
      </c>
      <c r="F18" s="6">
        <v>3</v>
      </c>
      <c r="G18" s="6" t="s">
        <v>16</v>
      </c>
      <c r="H18" s="6" t="s">
        <v>17</v>
      </c>
      <c r="I18" s="6" t="s">
        <v>293</v>
      </c>
      <c r="J18" s="6" t="s">
        <v>129</v>
      </c>
      <c r="K18" s="6">
        <v>1</v>
      </c>
      <c r="L18" s="6" t="s">
        <v>294</v>
      </c>
      <c r="M18" s="3" t="str">
        <f>IF(B18="","","MCQ"&amp;"_"&amp;IFERROR(VLOOKUP(B18,LOOKUPS!$K$2:$L$9,2,FALSE),"UNK")&amp;"_"&amp;IFERROR(VLOOKUP(C18,LOOKUPS!$N$2:$O$8,2,FALSE),"UNK")&amp;"_"&amp;UPPER(L18))</f>
        <v>MCQ_ITNIC_REQ_EMI</v>
      </c>
      <c r="N18" s="3">
        <f>IF(M18="","",COUNTIF($M$2:M18,M18))</f>
        <v>3</v>
      </c>
      <c r="O18" s="6" t="s">
        <v>309</v>
      </c>
      <c r="P18" s="6" t="s">
        <v>310</v>
      </c>
      <c r="Q18" s="3" t="s">
        <v>311</v>
      </c>
      <c r="R18" s="3" t="s">
        <v>312</v>
      </c>
      <c r="S18" s="3" t="s">
        <v>313</v>
      </c>
      <c r="T18" s="3" t="s">
        <v>314</v>
      </c>
      <c r="U18" s="3" t="s">
        <v>260</v>
      </c>
      <c r="V18" s="3" t="s">
        <v>315</v>
      </c>
    </row>
    <row r="19" spans="1:22" ht="57.6" x14ac:dyDescent="0.3">
      <c r="A19" s="3" t="str">
        <f t="shared" si="0"/>
        <v>MCQ_ITNIC_REQ_EMI_004</v>
      </c>
      <c r="B19" s="6" t="s">
        <v>21</v>
      </c>
      <c r="C19" s="6" t="s">
        <v>22</v>
      </c>
      <c r="D19" s="6" t="s">
        <v>292</v>
      </c>
      <c r="E19" s="6" t="s">
        <v>18</v>
      </c>
      <c r="F19" s="6">
        <v>3</v>
      </c>
      <c r="G19" s="6" t="s">
        <v>16</v>
      </c>
      <c r="H19" s="6" t="s">
        <v>17</v>
      </c>
      <c r="I19" s="6" t="s">
        <v>293</v>
      </c>
      <c r="J19" s="6" t="s">
        <v>129</v>
      </c>
      <c r="K19" s="6">
        <v>1</v>
      </c>
      <c r="L19" s="6" t="s">
        <v>294</v>
      </c>
      <c r="M19" s="3" t="str">
        <f>IF(B19="","","MCQ"&amp;"_"&amp;IFERROR(VLOOKUP(B19,LOOKUPS!$K$2:$L$9,2,FALSE),"UNK")&amp;"_"&amp;IFERROR(VLOOKUP(C19,LOOKUPS!$N$2:$O$8,2,FALSE),"UNK")&amp;"_"&amp;UPPER(L19))</f>
        <v>MCQ_ITNIC_REQ_EMI</v>
      </c>
      <c r="N19" s="3">
        <f>IF(M19="","",COUNTIF($M$2:M19,M19))</f>
        <v>4</v>
      </c>
      <c r="O19" s="6" t="s">
        <v>316</v>
      </c>
      <c r="P19" s="6" t="s">
        <v>317</v>
      </c>
      <c r="Q19" s="3" t="s">
        <v>318</v>
      </c>
      <c r="R19" s="3" t="s">
        <v>319</v>
      </c>
      <c r="S19" s="3" t="s">
        <v>320</v>
      </c>
      <c r="T19" s="3" t="s">
        <v>321</v>
      </c>
      <c r="U19" s="3" t="s">
        <v>263</v>
      </c>
      <c r="V19" s="3" t="s">
        <v>322</v>
      </c>
    </row>
    <row r="20" spans="1:22" ht="57.6" x14ac:dyDescent="0.3">
      <c r="A20" s="3" t="str">
        <f t="shared" si="0"/>
        <v>MCQ_ITNIC_REQ_EMI_005</v>
      </c>
      <c r="B20" s="6" t="s">
        <v>21</v>
      </c>
      <c r="C20" s="6" t="s">
        <v>22</v>
      </c>
      <c r="D20" s="6" t="s">
        <v>292</v>
      </c>
      <c r="E20" s="6" t="s">
        <v>18</v>
      </c>
      <c r="F20" s="6">
        <v>3</v>
      </c>
      <c r="G20" s="6" t="s">
        <v>16</v>
      </c>
      <c r="H20" s="6" t="s">
        <v>17</v>
      </c>
      <c r="I20" s="6" t="s">
        <v>293</v>
      </c>
      <c r="J20" s="6" t="s">
        <v>129</v>
      </c>
      <c r="K20" s="6">
        <v>1</v>
      </c>
      <c r="L20" s="6" t="s">
        <v>294</v>
      </c>
      <c r="M20" s="3" t="str">
        <f>IF(B20="","","MCQ"&amp;"_"&amp;IFERROR(VLOOKUP(B20,LOOKUPS!$K$2:$L$9,2,FALSE),"UNK")&amp;"_"&amp;IFERROR(VLOOKUP(C20,LOOKUPS!$N$2:$O$8,2,FALSE),"UNK")&amp;"_"&amp;UPPER(L20))</f>
        <v>MCQ_ITNIC_REQ_EMI</v>
      </c>
      <c r="N20" s="3">
        <f>IF(M20="","",COUNTIF($M$2:M20,M20))</f>
        <v>5</v>
      </c>
      <c r="O20" s="6" t="s">
        <v>323</v>
      </c>
      <c r="P20" s="6" t="s">
        <v>324</v>
      </c>
      <c r="Q20" s="3" t="s">
        <v>325</v>
      </c>
      <c r="R20" s="3" t="s">
        <v>326</v>
      </c>
      <c r="S20" s="3" t="s">
        <v>327</v>
      </c>
      <c r="T20" s="3" t="s">
        <v>328</v>
      </c>
      <c r="U20" s="3" t="s">
        <v>261</v>
      </c>
      <c r="V20" s="3" t="s">
        <v>329</v>
      </c>
    </row>
    <row r="21" spans="1:22" ht="72" x14ac:dyDescent="0.3">
      <c r="A21" s="3" t="str">
        <f t="shared" si="0"/>
        <v>MCQ_ITNIC_REQ_EMI_006</v>
      </c>
      <c r="B21" s="6" t="s">
        <v>21</v>
      </c>
      <c r="C21" s="6" t="s">
        <v>22</v>
      </c>
      <c r="D21" s="6" t="s">
        <v>330</v>
      </c>
      <c r="E21" s="6" t="s">
        <v>18</v>
      </c>
      <c r="F21" s="6">
        <v>3</v>
      </c>
      <c r="G21" s="6" t="s">
        <v>16</v>
      </c>
      <c r="H21" s="6" t="s">
        <v>17</v>
      </c>
      <c r="I21" s="6" t="s">
        <v>331</v>
      </c>
      <c r="J21" s="6" t="s">
        <v>129</v>
      </c>
      <c r="K21" s="6">
        <v>1</v>
      </c>
      <c r="L21" s="6" t="s">
        <v>294</v>
      </c>
      <c r="M21" s="3" t="str">
        <f>IF(B21="","","MCQ"&amp;"_"&amp;IFERROR(VLOOKUP(B21,LOOKUPS!$K$2:$L$9,2,FALSE),"UNK")&amp;"_"&amp;IFERROR(VLOOKUP(C21,LOOKUPS!$N$2:$O$8,2,FALSE),"UNK")&amp;"_"&amp;UPPER(L21))</f>
        <v>MCQ_ITNIC_REQ_EMI</v>
      </c>
      <c r="N21" s="3">
        <f>IF(M21="","",COUNTIF($M$2:M21,M21))</f>
        <v>6</v>
      </c>
      <c r="O21" s="6" t="s">
        <v>332</v>
      </c>
      <c r="P21" s="6" t="s">
        <v>333</v>
      </c>
      <c r="Q21" s="3" t="s">
        <v>334</v>
      </c>
      <c r="R21" s="3" t="s">
        <v>335</v>
      </c>
      <c r="S21" s="3" t="s">
        <v>336</v>
      </c>
      <c r="T21" s="3" t="s">
        <v>337</v>
      </c>
      <c r="U21" s="3" t="s">
        <v>261</v>
      </c>
      <c r="V21" s="3" t="s">
        <v>338</v>
      </c>
    </row>
    <row r="22" spans="1:22" ht="57.6" x14ac:dyDescent="0.3">
      <c r="A22" s="3" t="str">
        <f t="shared" si="0"/>
        <v>MCQ_ITNIC_REQ_EMI_007</v>
      </c>
      <c r="B22" s="6" t="s">
        <v>21</v>
      </c>
      <c r="C22" s="6" t="s">
        <v>22</v>
      </c>
      <c r="D22" s="6" t="s">
        <v>330</v>
      </c>
      <c r="E22" s="6" t="s">
        <v>18</v>
      </c>
      <c r="F22" s="6">
        <v>3</v>
      </c>
      <c r="G22" s="6" t="s">
        <v>16</v>
      </c>
      <c r="H22" s="6" t="s">
        <v>17</v>
      </c>
      <c r="I22" s="6" t="s">
        <v>331</v>
      </c>
      <c r="J22" s="6" t="s">
        <v>129</v>
      </c>
      <c r="K22" s="6">
        <v>1</v>
      </c>
      <c r="L22" s="6" t="s">
        <v>294</v>
      </c>
      <c r="M22" s="3" t="str">
        <f>IF(B22="","","MCQ"&amp;"_"&amp;IFERROR(VLOOKUP(B22,LOOKUPS!$K$2:$L$9,2,FALSE),"UNK")&amp;"_"&amp;IFERROR(VLOOKUP(C22,LOOKUPS!$N$2:$O$8,2,FALSE),"UNK")&amp;"_"&amp;UPPER(L22))</f>
        <v>MCQ_ITNIC_REQ_EMI</v>
      </c>
      <c r="N22" s="3">
        <f>IF(M22="","",COUNTIF($M$2:M22,M22))</f>
        <v>7</v>
      </c>
      <c r="O22" s="6" t="s">
        <v>339</v>
      </c>
      <c r="P22" s="6" t="s">
        <v>340</v>
      </c>
      <c r="Q22" s="3" t="s">
        <v>341</v>
      </c>
      <c r="R22" s="3" t="s">
        <v>342</v>
      </c>
      <c r="S22" s="3" t="s">
        <v>343</v>
      </c>
      <c r="T22" s="3" t="s">
        <v>344</v>
      </c>
      <c r="U22" s="3" t="s">
        <v>263</v>
      </c>
      <c r="V22" s="3" t="s">
        <v>345</v>
      </c>
    </row>
    <row r="23" spans="1:22" ht="86.4" x14ac:dyDescent="0.3">
      <c r="A23" s="3" t="str">
        <f t="shared" si="0"/>
        <v>MCQ_ITNIC_REQ_EMI_008</v>
      </c>
      <c r="B23" s="6" t="s">
        <v>21</v>
      </c>
      <c r="C23" s="6" t="s">
        <v>22</v>
      </c>
      <c r="D23" s="6" t="s">
        <v>346</v>
      </c>
      <c r="E23" s="6" t="s">
        <v>18</v>
      </c>
      <c r="F23" s="6">
        <v>3</v>
      </c>
      <c r="G23" s="6" t="s">
        <v>16</v>
      </c>
      <c r="H23" s="6" t="s">
        <v>17</v>
      </c>
      <c r="I23" s="6" t="s">
        <v>347</v>
      </c>
      <c r="J23" s="6" t="s">
        <v>129</v>
      </c>
      <c r="K23" s="6">
        <v>1</v>
      </c>
      <c r="L23" s="6" t="s">
        <v>294</v>
      </c>
      <c r="M23" s="3" t="str">
        <f>IF(B23="","","MCQ"&amp;"_"&amp;IFERROR(VLOOKUP(B23,LOOKUPS!$K$2:$L$9,2,FALSE),"UNK")&amp;"_"&amp;IFERROR(VLOOKUP(C23,LOOKUPS!$N$2:$O$8,2,FALSE),"UNK")&amp;"_"&amp;UPPER(L23))</f>
        <v>MCQ_ITNIC_REQ_EMI</v>
      </c>
      <c r="N23" s="3">
        <f>IF(M23="","",COUNTIF($M$2:M23,M23))</f>
        <v>8</v>
      </c>
      <c r="O23" s="6" t="s">
        <v>348</v>
      </c>
      <c r="P23" s="6" t="s">
        <v>349</v>
      </c>
      <c r="Q23" s="3" t="s">
        <v>350</v>
      </c>
      <c r="R23" s="3" t="s">
        <v>351</v>
      </c>
      <c r="S23" s="3" t="s">
        <v>352</v>
      </c>
      <c r="T23" s="3" t="s">
        <v>353</v>
      </c>
      <c r="U23" s="3" t="s">
        <v>260</v>
      </c>
      <c r="V23" s="3" t="s">
        <v>354</v>
      </c>
    </row>
    <row r="24" spans="1:22" ht="57.6" x14ac:dyDescent="0.3">
      <c r="A24" s="3" t="str">
        <f t="shared" si="0"/>
        <v>MCQ_ITNIC_REQ_EMI_009</v>
      </c>
      <c r="B24" s="6" t="s">
        <v>21</v>
      </c>
      <c r="C24" s="6" t="s">
        <v>22</v>
      </c>
      <c r="D24" s="6" t="s">
        <v>355</v>
      </c>
      <c r="E24" s="6" t="s">
        <v>18</v>
      </c>
      <c r="F24" s="6">
        <v>3</v>
      </c>
      <c r="G24" s="6" t="s">
        <v>16</v>
      </c>
      <c r="H24" s="6" t="s">
        <v>17</v>
      </c>
      <c r="I24" s="6" t="s">
        <v>356</v>
      </c>
      <c r="J24" s="6" t="s">
        <v>129</v>
      </c>
      <c r="K24" s="6">
        <v>1</v>
      </c>
      <c r="L24" s="6" t="s">
        <v>294</v>
      </c>
      <c r="M24" s="3" t="str">
        <f>IF(B24="","","MCQ"&amp;"_"&amp;IFERROR(VLOOKUP(B24,LOOKUPS!$K$2:$L$9,2,FALSE),"UNK")&amp;"_"&amp;IFERROR(VLOOKUP(C24,LOOKUPS!$N$2:$O$8,2,FALSE),"UNK")&amp;"_"&amp;UPPER(L24))</f>
        <v>MCQ_ITNIC_REQ_EMI</v>
      </c>
      <c r="N24" s="3">
        <f>IF(M24="","",COUNTIF($M$2:M24,M24))</f>
        <v>9</v>
      </c>
      <c r="O24" s="6" t="s">
        <v>357</v>
      </c>
      <c r="P24" s="6" t="s">
        <v>358</v>
      </c>
      <c r="Q24" s="3" t="s">
        <v>359</v>
      </c>
      <c r="R24" s="3" t="s">
        <v>360</v>
      </c>
      <c r="S24" s="3" t="s">
        <v>361</v>
      </c>
      <c r="T24" s="3" t="s">
        <v>362</v>
      </c>
      <c r="U24" s="3" t="s">
        <v>262</v>
      </c>
      <c r="V24" s="3" t="s">
        <v>363</v>
      </c>
    </row>
    <row r="25" spans="1:22" ht="43.2" x14ac:dyDescent="0.3">
      <c r="A25" s="3" t="str">
        <f t="shared" si="0"/>
        <v>MCQ_ITNIC_REQ_EMI_010</v>
      </c>
      <c r="B25" s="6" t="s">
        <v>21</v>
      </c>
      <c r="C25" s="6" t="s">
        <v>22</v>
      </c>
      <c r="D25" s="6" t="s">
        <v>355</v>
      </c>
      <c r="E25" s="6" t="s">
        <v>18</v>
      </c>
      <c r="F25" s="6">
        <v>3</v>
      </c>
      <c r="G25" s="6" t="s">
        <v>16</v>
      </c>
      <c r="H25" s="6" t="s">
        <v>17</v>
      </c>
      <c r="I25" s="6" t="s">
        <v>356</v>
      </c>
      <c r="J25" s="6" t="s">
        <v>129</v>
      </c>
      <c r="K25" s="6">
        <v>1</v>
      </c>
      <c r="L25" s="6" t="s">
        <v>294</v>
      </c>
      <c r="M25" s="3" t="str">
        <f>IF(B25="","","MCQ"&amp;"_"&amp;IFERROR(VLOOKUP(B25,LOOKUPS!$K$2:$L$9,2,FALSE),"UNK")&amp;"_"&amp;IFERROR(VLOOKUP(C25,LOOKUPS!$N$2:$O$8,2,FALSE),"UNK")&amp;"_"&amp;UPPER(L25))</f>
        <v>MCQ_ITNIC_REQ_EMI</v>
      </c>
      <c r="N25" s="3">
        <f>IF(M25="","",COUNTIF($M$2:M25,M25))</f>
        <v>10</v>
      </c>
      <c r="O25" s="6" t="s">
        <v>364</v>
      </c>
      <c r="P25" s="6" t="s">
        <v>365</v>
      </c>
      <c r="Q25" s="3" t="s">
        <v>359</v>
      </c>
      <c r="R25" s="3" t="s">
        <v>366</v>
      </c>
      <c r="S25" s="3" t="s">
        <v>367</v>
      </c>
      <c r="T25" s="3" t="s">
        <v>368</v>
      </c>
      <c r="U25" s="3" t="s">
        <v>137</v>
      </c>
      <c r="V25" s="3" t="s">
        <v>369</v>
      </c>
    </row>
    <row r="26" spans="1:22" ht="57.6" x14ac:dyDescent="0.3">
      <c r="A26" s="3" t="str">
        <f t="shared" si="0"/>
        <v>MCQ_ITNIC_REQ_EMI_011</v>
      </c>
      <c r="B26" s="6" t="s">
        <v>21</v>
      </c>
      <c r="C26" s="6" t="s">
        <v>22</v>
      </c>
      <c r="D26" s="6" t="s">
        <v>355</v>
      </c>
      <c r="E26" s="6" t="s">
        <v>18</v>
      </c>
      <c r="F26" s="6">
        <v>3</v>
      </c>
      <c r="G26" s="6" t="s">
        <v>16</v>
      </c>
      <c r="H26" s="6" t="s">
        <v>17</v>
      </c>
      <c r="I26" s="6" t="s">
        <v>356</v>
      </c>
      <c r="J26" s="6" t="s">
        <v>129</v>
      </c>
      <c r="K26" s="6">
        <v>1</v>
      </c>
      <c r="L26" s="6" t="s">
        <v>294</v>
      </c>
      <c r="M26" s="3" t="str">
        <f>IF(B26="","","MCQ"&amp;"_"&amp;IFERROR(VLOOKUP(B26,LOOKUPS!$K$2:$L$9,2,FALSE),"UNK")&amp;"_"&amp;IFERROR(VLOOKUP(C26,LOOKUPS!$N$2:$O$8,2,FALSE),"UNK")&amp;"_"&amp;UPPER(L26))</f>
        <v>MCQ_ITNIC_REQ_EMI</v>
      </c>
      <c r="N26" s="3">
        <f>IF(M26="","",COUNTIF($M$2:M26,M26))</f>
        <v>11</v>
      </c>
      <c r="O26" s="6" t="s">
        <v>370</v>
      </c>
      <c r="P26" s="6" t="s">
        <v>371</v>
      </c>
      <c r="Q26" s="3" t="s">
        <v>372</v>
      </c>
      <c r="R26" s="3" t="s">
        <v>373</v>
      </c>
      <c r="S26" s="3" t="s">
        <v>374</v>
      </c>
      <c r="T26" s="3" t="s">
        <v>375</v>
      </c>
      <c r="U26" s="3" t="s">
        <v>260</v>
      </c>
      <c r="V26" s="3" t="s">
        <v>376</v>
      </c>
    </row>
    <row r="27" spans="1:22" ht="57.6" x14ac:dyDescent="0.3">
      <c r="A27" s="3" t="str">
        <f t="shared" si="0"/>
        <v>MCQ_ITNIC_REQ_EMI_012</v>
      </c>
      <c r="B27" s="6" t="s">
        <v>21</v>
      </c>
      <c r="C27" s="6" t="s">
        <v>22</v>
      </c>
      <c r="D27" s="6" t="s">
        <v>355</v>
      </c>
      <c r="E27" s="6" t="s">
        <v>18</v>
      </c>
      <c r="F27" s="6">
        <v>3</v>
      </c>
      <c r="G27" s="6" t="s">
        <v>16</v>
      </c>
      <c r="H27" s="6" t="s">
        <v>17</v>
      </c>
      <c r="I27" s="6" t="s">
        <v>377</v>
      </c>
      <c r="J27" s="6" t="s">
        <v>129</v>
      </c>
      <c r="K27" s="6">
        <v>1</v>
      </c>
      <c r="L27" s="6" t="s">
        <v>294</v>
      </c>
      <c r="M27" s="3" t="str">
        <f>IF(B27="","","MCQ"&amp;"_"&amp;IFERROR(VLOOKUP(B27,LOOKUPS!$K$2:$L$9,2,FALSE),"UNK")&amp;"_"&amp;IFERROR(VLOOKUP(C27,LOOKUPS!$N$2:$O$8,2,FALSE),"UNK")&amp;"_"&amp;UPPER(L27))</f>
        <v>MCQ_ITNIC_REQ_EMI</v>
      </c>
      <c r="N27" s="3">
        <f>IF(M27="","",COUNTIF($M$2:M27,M27))</f>
        <v>12</v>
      </c>
      <c r="O27" s="6" t="s">
        <v>378</v>
      </c>
      <c r="P27" s="6" t="s">
        <v>379</v>
      </c>
      <c r="Q27" s="3" t="s">
        <v>380</v>
      </c>
      <c r="R27" s="3" t="s">
        <v>381</v>
      </c>
      <c r="S27" s="3" t="s">
        <v>382</v>
      </c>
      <c r="T27" s="3" t="s">
        <v>383</v>
      </c>
      <c r="U27" s="3" t="s">
        <v>261</v>
      </c>
      <c r="V27" s="3" t="s">
        <v>384</v>
      </c>
    </row>
    <row r="28" spans="1:22" x14ac:dyDescent="0.3">
      <c r="A28" s="3" t="str">
        <f t="shared" si="0"/>
        <v/>
      </c>
      <c r="B28" s="3"/>
      <c r="C28" s="3"/>
      <c r="D28" s="3"/>
      <c r="E28" s="3" t="s">
        <v>18</v>
      </c>
      <c r="F28" s="3"/>
      <c r="G28" s="3"/>
      <c r="H28" s="3"/>
      <c r="I28" s="3"/>
      <c r="J28" s="3"/>
      <c r="K28" s="3"/>
      <c r="L28" s="3"/>
      <c r="M28" s="3" t="str">
        <f>IF(B28="","","MCQ"&amp;"_"&amp;IFERROR(VLOOKUP(B28,LOOKUPS!$K$2:$L$9,2,FALSE),"UNK")&amp;"_"&amp;IFERROR(VLOOKUP(C28,LOOKUPS!$N$2:$O$8,2,FALSE),"UNK")&amp;"_"&amp;UPPER(L28))</f>
        <v/>
      </c>
      <c r="N28" s="3" t="str">
        <f>IF(M28="","",COUNTIF($M$2:M28,M28))</f>
        <v/>
      </c>
      <c r="O28" s="3"/>
      <c r="P28" s="3"/>
      <c r="Q28" s="3"/>
      <c r="R28" s="3"/>
      <c r="S28" s="3"/>
      <c r="T28" s="3"/>
      <c r="U28" s="3"/>
      <c r="V28" s="3"/>
    </row>
    <row r="29" spans="1:22" x14ac:dyDescent="0.3">
      <c r="A29" s="3" t="str">
        <f t="shared" si="0"/>
        <v/>
      </c>
      <c r="B29" s="3"/>
      <c r="C29" s="3"/>
      <c r="D29" s="3"/>
      <c r="E29" s="3" t="s">
        <v>18</v>
      </c>
      <c r="F29" s="3"/>
      <c r="G29" s="3"/>
      <c r="H29" s="3"/>
      <c r="I29" s="3"/>
      <c r="J29" s="3"/>
      <c r="K29" s="3"/>
      <c r="L29" s="3"/>
      <c r="M29" s="3" t="str">
        <f>IF(B29="","","MCQ"&amp;"_"&amp;IFERROR(VLOOKUP(B29,LOOKUPS!$K$2:$L$9,2,FALSE),"UNK")&amp;"_"&amp;IFERROR(VLOOKUP(C29,LOOKUPS!$N$2:$O$8,2,FALSE),"UNK")&amp;"_"&amp;UPPER(L29))</f>
        <v/>
      </c>
      <c r="N29" s="3" t="str">
        <f>IF(M29="","",COUNTIF($M$2:M29,M29))</f>
        <v/>
      </c>
      <c r="O29" s="3"/>
      <c r="P29" s="3"/>
      <c r="Q29" s="3"/>
      <c r="R29" s="3"/>
      <c r="S29" s="3"/>
      <c r="T29" s="3"/>
      <c r="U29" s="3"/>
      <c r="V29" s="3"/>
    </row>
    <row r="30" spans="1:22" x14ac:dyDescent="0.3">
      <c r="A30" s="3" t="str">
        <f t="shared" si="0"/>
        <v/>
      </c>
      <c r="B30" s="3"/>
      <c r="C30" s="3"/>
      <c r="D30" s="3"/>
      <c r="E30" s="3" t="s">
        <v>18</v>
      </c>
      <c r="F30" s="3"/>
      <c r="G30" s="3"/>
      <c r="H30" s="3"/>
      <c r="I30" s="3"/>
      <c r="J30" s="3"/>
      <c r="K30" s="3"/>
      <c r="L30" s="3"/>
      <c r="M30" s="3" t="str">
        <f>IF(B30="","","MCQ"&amp;"_"&amp;IFERROR(VLOOKUP(B30,LOOKUPS!$K$2:$L$9,2,FALSE),"UNK")&amp;"_"&amp;IFERROR(VLOOKUP(C30,LOOKUPS!$N$2:$O$8,2,FALSE),"UNK")&amp;"_"&amp;UPPER(L30))</f>
        <v/>
      </c>
      <c r="N30" s="3" t="str">
        <f>IF(M30="","",COUNTIF($M$2:M30,M30))</f>
        <v/>
      </c>
      <c r="O30" s="3"/>
      <c r="P30" s="3"/>
      <c r="Q30" s="3"/>
      <c r="R30" s="3"/>
      <c r="S30" s="3"/>
      <c r="T30" s="3"/>
      <c r="U30" s="3"/>
      <c r="V30" s="3"/>
    </row>
    <row r="31" spans="1:22" x14ac:dyDescent="0.3">
      <c r="A31" s="3" t="str">
        <f t="shared" si="0"/>
        <v/>
      </c>
      <c r="B31" s="3"/>
      <c r="C31" s="3"/>
      <c r="D31" s="3"/>
      <c r="E31" s="3" t="s">
        <v>18</v>
      </c>
      <c r="F31" s="3"/>
      <c r="G31" s="3"/>
      <c r="H31" s="3"/>
      <c r="I31" s="3"/>
      <c r="J31" s="3"/>
      <c r="K31" s="3"/>
      <c r="L31" s="3"/>
      <c r="M31" s="3" t="str">
        <f>IF(B31="","","MCQ"&amp;"_"&amp;IFERROR(VLOOKUP(B31,LOOKUPS!$K$2:$L$9,2,FALSE),"UNK")&amp;"_"&amp;IFERROR(VLOOKUP(C31,LOOKUPS!$N$2:$O$8,2,FALSE),"UNK")&amp;"_"&amp;UPPER(L31))</f>
        <v/>
      </c>
      <c r="N31" s="3" t="str">
        <f>IF(M31="","",COUNTIF($M$2:M31,M31))</f>
        <v/>
      </c>
      <c r="O31" s="3"/>
      <c r="P31" s="3"/>
      <c r="Q31" s="3"/>
      <c r="R31" s="3"/>
      <c r="S31" s="3"/>
      <c r="T31" s="3"/>
      <c r="U31" s="3"/>
      <c r="V31" s="3"/>
    </row>
    <row r="32" spans="1:22" x14ac:dyDescent="0.3">
      <c r="A32" s="3" t="str">
        <f t="shared" si="0"/>
        <v/>
      </c>
      <c r="B32" s="3"/>
      <c r="C32" s="3"/>
      <c r="D32" s="3"/>
      <c r="E32" s="3" t="s">
        <v>18</v>
      </c>
      <c r="F32" s="3"/>
      <c r="G32" s="3"/>
      <c r="H32" s="3"/>
      <c r="I32" s="3"/>
      <c r="J32" s="3"/>
      <c r="K32" s="3"/>
      <c r="L32" s="3"/>
      <c r="M32" s="3" t="str">
        <f>IF(B32="","","MCQ"&amp;"_"&amp;IFERROR(VLOOKUP(B32,LOOKUPS!$K$2:$L$9,2,FALSE),"UNK")&amp;"_"&amp;IFERROR(VLOOKUP(C32,LOOKUPS!$N$2:$O$8,2,FALSE),"UNK")&amp;"_"&amp;UPPER(L32))</f>
        <v/>
      </c>
      <c r="N32" s="3" t="str">
        <f>IF(M32="","",COUNTIF($M$2:M32,M32))</f>
        <v/>
      </c>
      <c r="O32" s="3"/>
      <c r="P32" s="3"/>
      <c r="Q32" s="3"/>
      <c r="R32" s="3"/>
      <c r="S32" s="3"/>
      <c r="T32" s="3"/>
      <c r="U32" s="3"/>
      <c r="V32" s="3"/>
    </row>
    <row r="33" spans="1:22" x14ac:dyDescent="0.3">
      <c r="A33" s="3" t="str">
        <f t="shared" si="0"/>
        <v/>
      </c>
      <c r="B33" s="3"/>
      <c r="C33" s="3"/>
      <c r="D33" s="3"/>
      <c r="E33" s="3" t="s">
        <v>18</v>
      </c>
      <c r="F33" s="3"/>
      <c r="G33" s="3"/>
      <c r="H33" s="3"/>
      <c r="I33" s="3"/>
      <c r="J33" s="3"/>
      <c r="K33" s="3"/>
      <c r="L33" s="3"/>
      <c r="M33" s="3" t="str">
        <f>IF(B33="","","MCQ"&amp;"_"&amp;IFERROR(VLOOKUP(B33,LOOKUPS!$K$2:$L$9,2,FALSE),"UNK")&amp;"_"&amp;IFERROR(VLOOKUP(C33,LOOKUPS!$N$2:$O$8,2,FALSE),"UNK")&amp;"_"&amp;UPPER(L33))</f>
        <v/>
      </c>
      <c r="N33" s="3" t="str">
        <f>IF(M33="","",COUNTIF($M$2:M33,M33))</f>
        <v/>
      </c>
      <c r="O33" s="3"/>
      <c r="P33" s="3"/>
      <c r="Q33" s="3"/>
      <c r="R33" s="3"/>
      <c r="S33" s="3"/>
      <c r="T33" s="3"/>
      <c r="U33" s="3"/>
      <c r="V33" s="3"/>
    </row>
    <row r="34" spans="1:22" x14ac:dyDescent="0.3">
      <c r="A34" s="3" t="str">
        <f t="shared" si="0"/>
        <v/>
      </c>
      <c r="B34" s="3"/>
      <c r="C34" s="3"/>
      <c r="D34" s="3"/>
      <c r="E34" s="3" t="s">
        <v>18</v>
      </c>
      <c r="F34" s="3"/>
      <c r="G34" s="3"/>
      <c r="H34" s="3"/>
      <c r="I34" s="3"/>
      <c r="J34" s="3"/>
      <c r="K34" s="3"/>
      <c r="L34" s="3"/>
      <c r="M34" s="3" t="str">
        <f>IF(B34="","","MCQ"&amp;"_"&amp;IFERROR(VLOOKUP(B34,LOOKUPS!$K$2:$L$9,2,FALSE),"UNK")&amp;"_"&amp;IFERROR(VLOOKUP(C34,LOOKUPS!$N$2:$O$8,2,FALSE),"UNK")&amp;"_"&amp;UPPER(L34))</f>
        <v/>
      </c>
      <c r="N34" s="3" t="str">
        <f>IF(M34="","",COUNTIF($M$2:M34,M34))</f>
        <v/>
      </c>
      <c r="O34" s="3"/>
      <c r="P34" s="3"/>
      <c r="Q34" s="3"/>
      <c r="R34" s="3"/>
      <c r="S34" s="3"/>
      <c r="T34" s="3"/>
      <c r="U34" s="3"/>
      <c r="V34" s="3"/>
    </row>
    <row r="35" spans="1:22" x14ac:dyDescent="0.3">
      <c r="A35" s="3" t="str">
        <f t="shared" si="0"/>
        <v/>
      </c>
      <c r="B35" s="3"/>
      <c r="C35" s="3"/>
      <c r="D35" s="3"/>
      <c r="E35" s="3" t="s">
        <v>18</v>
      </c>
      <c r="F35" s="3"/>
      <c r="G35" s="3"/>
      <c r="H35" s="3"/>
      <c r="I35" s="3"/>
      <c r="J35" s="3"/>
      <c r="K35" s="3"/>
      <c r="L35" s="3"/>
      <c r="M35" s="3" t="str">
        <f>IF(B35="","","MCQ"&amp;"_"&amp;IFERROR(VLOOKUP(B35,LOOKUPS!$K$2:$L$9,2,FALSE),"UNK")&amp;"_"&amp;IFERROR(VLOOKUP(C35,LOOKUPS!$N$2:$O$8,2,FALSE),"UNK")&amp;"_"&amp;UPPER(L35))</f>
        <v/>
      </c>
      <c r="N35" s="3" t="str">
        <f>IF(M35="","",COUNTIF($M$2:M35,M35))</f>
        <v/>
      </c>
      <c r="O35" s="3"/>
      <c r="P35" s="3"/>
      <c r="Q35" s="3"/>
      <c r="R35" s="3"/>
      <c r="S35" s="3"/>
      <c r="T35" s="3"/>
      <c r="U35" s="3"/>
      <c r="V35" s="3"/>
    </row>
    <row r="36" spans="1:22" x14ac:dyDescent="0.3">
      <c r="A36" s="3" t="str">
        <f t="shared" si="0"/>
        <v/>
      </c>
      <c r="B36" s="3"/>
      <c r="C36" s="3"/>
      <c r="D36" s="3"/>
      <c r="E36" s="3" t="s">
        <v>18</v>
      </c>
      <c r="F36" s="3"/>
      <c r="G36" s="3"/>
      <c r="H36" s="3"/>
      <c r="I36" s="3"/>
      <c r="J36" s="3"/>
      <c r="K36" s="3"/>
      <c r="L36" s="3"/>
      <c r="M36" s="3" t="str">
        <f>IF(B36="","","MCQ"&amp;"_"&amp;IFERROR(VLOOKUP(B36,LOOKUPS!$K$2:$L$9,2,FALSE),"UNK")&amp;"_"&amp;IFERROR(VLOOKUP(C36,LOOKUPS!$N$2:$O$8,2,FALSE),"UNK")&amp;"_"&amp;UPPER(L36))</f>
        <v/>
      </c>
      <c r="N36" s="3" t="str">
        <f>IF(M36="","",COUNTIF($M$2:M36,M36))</f>
        <v/>
      </c>
      <c r="O36" s="3"/>
      <c r="P36" s="3"/>
      <c r="Q36" s="3"/>
      <c r="R36" s="3"/>
      <c r="S36" s="3"/>
      <c r="T36" s="3"/>
      <c r="U36" s="3"/>
      <c r="V36" s="3"/>
    </row>
    <row r="37" spans="1:22" x14ac:dyDescent="0.3">
      <c r="A37" s="3" t="str">
        <f t="shared" si="0"/>
        <v/>
      </c>
      <c r="B37" s="3"/>
      <c r="C37" s="3"/>
      <c r="D37" s="3"/>
      <c r="E37" s="3" t="s">
        <v>18</v>
      </c>
      <c r="F37" s="3"/>
      <c r="G37" s="3"/>
      <c r="H37" s="3"/>
      <c r="I37" s="3"/>
      <c r="J37" s="3"/>
      <c r="K37" s="3"/>
      <c r="L37" s="3"/>
      <c r="M37" s="3" t="str">
        <f>IF(B37="","","MCQ"&amp;"_"&amp;IFERROR(VLOOKUP(B37,LOOKUPS!$K$2:$L$9,2,FALSE),"UNK")&amp;"_"&amp;IFERROR(VLOOKUP(C37,LOOKUPS!$N$2:$O$8,2,FALSE),"UNK")&amp;"_"&amp;UPPER(L37))</f>
        <v/>
      </c>
      <c r="N37" s="3" t="str">
        <f>IF(M37="","",COUNTIF($M$2:M37,M37))</f>
        <v/>
      </c>
      <c r="O37" s="3"/>
      <c r="P37" s="3"/>
      <c r="Q37" s="3"/>
      <c r="R37" s="3"/>
      <c r="S37" s="3"/>
      <c r="T37" s="3"/>
      <c r="U37" s="3"/>
      <c r="V37" s="3"/>
    </row>
    <row r="38" spans="1:22" x14ac:dyDescent="0.3">
      <c r="A38" s="3" t="str">
        <f t="shared" si="0"/>
        <v/>
      </c>
      <c r="B38" s="3"/>
      <c r="C38" s="3"/>
      <c r="D38" s="3"/>
      <c r="E38" s="3" t="s">
        <v>18</v>
      </c>
      <c r="F38" s="3"/>
      <c r="G38" s="3"/>
      <c r="H38" s="3"/>
      <c r="I38" s="3"/>
      <c r="J38" s="3"/>
      <c r="K38" s="3"/>
      <c r="L38" s="3"/>
      <c r="M38" s="3" t="str">
        <f>IF(B38="","","MCQ"&amp;"_"&amp;IFERROR(VLOOKUP(B38,LOOKUPS!$K$2:$L$9,2,FALSE),"UNK")&amp;"_"&amp;IFERROR(VLOOKUP(C38,LOOKUPS!$N$2:$O$8,2,FALSE),"UNK")&amp;"_"&amp;UPPER(L38))</f>
        <v/>
      </c>
      <c r="N38" s="3" t="str">
        <f>IF(M38="","",COUNTIF($M$2:M38,M38))</f>
        <v/>
      </c>
      <c r="O38" s="3"/>
      <c r="P38" s="3"/>
      <c r="Q38" s="3"/>
      <c r="R38" s="3"/>
      <c r="S38" s="3"/>
      <c r="T38" s="3"/>
      <c r="U38" s="3"/>
      <c r="V38" s="3"/>
    </row>
    <row r="39" spans="1:22" x14ac:dyDescent="0.3">
      <c r="A39" s="3" t="str">
        <f t="shared" si="0"/>
        <v/>
      </c>
      <c r="B39" s="3"/>
      <c r="C39" s="3"/>
      <c r="D39" s="3"/>
      <c r="E39" s="3" t="s">
        <v>18</v>
      </c>
      <c r="F39" s="3"/>
      <c r="G39" s="3"/>
      <c r="H39" s="3"/>
      <c r="I39" s="3"/>
      <c r="J39" s="3"/>
      <c r="K39" s="3"/>
      <c r="L39" s="3"/>
      <c r="M39" s="3" t="str">
        <f>IF(B39="","","MCQ"&amp;"_"&amp;IFERROR(VLOOKUP(B39,LOOKUPS!$K$2:$L$9,2,FALSE),"UNK")&amp;"_"&amp;IFERROR(VLOOKUP(C39,LOOKUPS!$N$2:$O$8,2,FALSE),"UNK")&amp;"_"&amp;UPPER(L39))</f>
        <v/>
      </c>
      <c r="N39" s="3" t="str">
        <f>IF(M39="","",COUNTIF($M$2:M39,M39))</f>
        <v/>
      </c>
      <c r="O39" s="3"/>
      <c r="P39" s="3"/>
      <c r="Q39" s="3"/>
      <c r="R39" s="3"/>
      <c r="S39" s="3"/>
      <c r="T39" s="3"/>
      <c r="U39" s="3"/>
      <c r="V39" s="3"/>
    </row>
    <row r="40" spans="1:22" x14ac:dyDescent="0.3">
      <c r="A40" s="3" t="str">
        <f t="shared" si="0"/>
        <v/>
      </c>
      <c r="B40" s="3"/>
      <c r="C40" s="3"/>
      <c r="D40" s="3"/>
      <c r="E40" s="3" t="s">
        <v>18</v>
      </c>
      <c r="F40" s="3"/>
      <c r="G40" s="3"/>
      <c r="H40" s="3"/>
      <c r="I40" s="3"/>
      <c r="J40" s="3"/>
      <c r="K40" s="3"/>
      <c r="L40" s="3"/>
      <c r="M40" s="3" t="str">
        <f>IF(B40="","","MCQ"&amp;"_"&amp;IFERROR(VLOOKUP(B40,LOOKUPS!$K$2:$L$9,2,FALSE),"UNK")&amp;"_"&amp;IFERROR(VLOOKUP(C40,LOOKUPS!$N$2:$O$8,2,FALSE),"UNK")&amp;"_"&amp;UPPER(L40))</f>
        <v/>
      </c>
      <c r="N40" s="3" t="str">
        <f>IF(M40="","",COUNTIF($M$2:M40,M40))</f>
        <v/>
      </c>
      <c r="O40" s="3"/>
      <c r="P40" s="3"/>
      <c r="Q40" s="3"/>
      <c r="R40" s="3"/>
      <c r="S40" s="3"/>
      <c r="T40" s="3"/>
      <c r="U40" s="3"/>
      <c r="V40" s="3"/>
    </row>
    <row r="41" spans="1:22" x14ac:dyDescent="0.3">
      <c r="A41" s="3" t="str">
        <f t="shared" si="0"/>
        <v/>
      </c>
      <c r="B41" s="3"/>
      <c r="C41" s="3"/>
      <c r="D41" s="3"/>
      <c r="E41" s="3" t="s">
        <v>18</v>
      </c>
      <c r="F41" s="3"/>
      <c r="G41" s="3"/>
      <c r="H41" s="3"/>
      <c r="I41" s="3"/>
      <c r="J41" s="3"/>
      <c r="K41" s="3"/>
      <c r="L41" s="3"/>
      <c r="M41" s="3" t="str">
        <f>IF(B41="","","MCQ"&amp;"_"&amp;IFERROR(VLOOKUP(B41,LOOKUPS!$K$2:$L$9,2,FALSE),"UNK")&amp;"_"&amp;IFERROR(VLOOKUP(C41,LOOKUPS!$N$2:$O$8,2,FALSE),"UNK")&amp;"_"&amp;UPPER(L41))</f>
        <v/>
      </c>
      <c r="N41" s="3" t="str">
        <f>IF(M41="","",COUNTIF($M$2:M41,M41))</f>
        <v/>
      </c>
      <c r="O41" s="3"/>
      <c r="P41" s="3"/>
      <c r="Q41" s="3"/>
      <c r="R41" s="3"/>
      <c r="S41" s="3"/>
      <c r="T41" s="3"/>
      <c r="U41" s="3"/>
      <c r="V41" s="3"/>
    </row>
    <row r="42" spans="1:22" x14ac:dyDescent="0.3">
      <c r="A42" s="3" t="str">
        <f t="shared" si="0"/>
        <v/>
      </c>
      <c r="B42" s="3"/>
      <c r="C42" s="3"/>
      <c r="D42" s="3"/>
      <c r="E42" s="3" t="s">
        <v>18</v>
      </c>
      <c r="F42" s="3"/>
      <c r="G42" s="3"/>
      <c r="H42" s="3"/>
      <c r="I42" s="3"/>
      <c r="J42" s="3"/>
      <c r="K42" s="3"/>
      <c r="L42" s="3"/>
      <c r="M42" s="3" t="str">
        <f>IF(B42="","","MCQ"&amp;"_"&amp;IFERROR(VLOOKUP(B42,LOOKUPS!$K$2:$L$9,2,FALSE),"UNK")&amp;"_"&amp;IFERROR(VLOOKUP(C42,LOOKUPS!$N$2:$O$8,2,FALSE),"UNK")&amp;"_"&amp;UPPER(L42))</f>
        <v/>
      </c>
      <c r="N42" s="3" t="str">
        <f>IF(M42="","",COUNTIF($M$2:M42,M42))</f>
        <v/>
      </c>
      <c r="O42" s="3"/>
      <c r="P42" s="3"/>
      <c r="Q42" s="3"/>
      <c r="R42" s="3"/>
      <c r="S42" s="3"/>
      <c r="T42" s="3"/>
      <c r="U42" s="3"/>
      <c r="V42" s="3"/>
    </row>
    <row r="43" spans="1:22" x14ac:dyDescent="0.3">
      <c r="A43" s="3" t="str">
        <f t="shared" si="0"/>
        <v/>
      </c>
      <c r="B43" s="3"/>
      <c r="C43" s="3"/>
      <c r="D43" s="3"/>
      <c r="E43" s="3" t="s">
        <v>18</v>
      </c>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t="s">
        <v>18</v>
      </c>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t="s">
        <v>18</v>
      </c>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t="s">
        <v>18</v>
      </c>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t="s">
        <v>18</v>
      </c>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t="s">
        <v>18</v>
      </c>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t="s">
        <v>18</v>
      </c>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t="s">
        <v>18</v>
      </c>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t="s">
        <v>18</v>
      </c>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t="s">
        <v>18</v>
      </c>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t="s">
        <v>18</v>
      </c>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t="s">
        <v>18</v>
      </c>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t="s">
        <v>18</v>
      </c>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t="s">
        <v>18</v>
      </c>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t="s">
        <v>18</v>
      </c>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t="s">
        <v>18</v>
      </c>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t="s">
        <v>18</v>
      </c>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t="s">
        <v>18</v>
      </c>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t="s">
        <v>18</v>
      </c>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t="s">
        <v>18</v>
      </c>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t="s">
        <v>18</v>
      </c>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t="s">
        <v>18</v>
      </c>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t="s">
        <v>18</v>
      </c>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t="s">
        <v>18</v>
      </c>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30" si="1">IF(M67="","",M67&amp;"_"&amp;TEXT(N67,"000"))</f>
        <v/>
      </c>
      <c r="B67" s="3"/>
      <c r="C67" s="3"/>
      <c r="D67" s="3"/>
      <c r="E67" s="3" t="s">
        <v>18</v>
      </c>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t="s">
        <v>18</v>
      </c>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t="s">
        <v>18</v>
      </c>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t="s">
        <v>18</v>
      </c>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t="s">
        <v>18</v>
      </c>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t="s">
        <v>18</v>
      </c>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t="s">
        <v>18</v>
      </c>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t="s">
        <v>18</v>
      </c>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t="s">
        <v>18</v>
      </c>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t="s">
        <v>18</v>
      </c>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t="s">
        <v>18</v>
      </c>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t="s">
        <v>18</v>
      </c>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t="s">
        <v>18</v>
      </c>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t="s">
        <v>18</v>
      </c>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t="s">
        <v>18</v>
      </c>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t="s">
        <v>18</v>
      </c>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t="s">
        <v>18</v>
      </c>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t="s">
        <v>18</v>
      </c>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t="s">
        <v>18</v>
      </c>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t="s">
        <v>18</v>
      </c>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t="s">
        <v>18</v>
      </c>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t="s">
        <v>18</v>
      </c>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t="s">
        <v>18</v>
      </c>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t="s">
        <v>18</v>
      </c>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t="s">
        <v>18</v>
      </c>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t="s">
        <v>18</v>
      </c>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t="s">
        <v>18</v>
      </c>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t="s">
        <v>18</v>
      </c>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t="s">
        <v>18</v>
      </c>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t="s">
        <v>18</v>
      </c>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t="s">
        <v>18</v>
      </c>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t="s">
        <v>18</v>
      </c>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t="s">
        <v>18</v>
      </c>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t="s">
        <v>18</v>
      </c>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t="s">
        <v>18</v>
      </c>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t="s">
        <v>18</v>
      </c>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t="s">
        <v>18</v>
      </c>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t="s">
        <v>18</v>
      </c>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t="s">
        <v>18</v>
      </c>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t="s">
        <v>18</v>
      </c>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t="s">
        <v>18</v>
      </c>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t="s">
        <v>18</v>
      </c>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t="s">
        <v>18</v>
      </c>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t="s">
        <v>18</v>
      </c>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t="s">
        <v>18</v>
      </c>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t="s">
        <v>18</v>
      </c>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t="s">
        <v>18</v>
      </c>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t="s">
        <v>18</v>
      </c>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t="s">
        <v>18</v>
      </c>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t="s">
        <v>18</v>
      </c>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t="s">
        <v>18</v>
      </c>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t="s">
        <v>18</v>
      </c>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t="s">
        <v>18</v>
      </c>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t="s">
        <v>18</v>
      </c>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t="s">
        <v>18</v>
      </c>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t="s">
        <v>18</v>
      </c>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t="s">
        <v>18</v>
      </c>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t="s">
        <v>18</v>
      </c>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t="s">
        <v>18</v>
      </c>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t="s">
        <v>18</v>
      </c>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t="s">
        <v>18</v>
      </c>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t="s">
        <v>18</v>
      </c>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si="1"/>
        <v/>
      </c>
      <c r="B129" s="3"/>
      <c r="C129" s="3"/>
      <c r="D129" s="3"/>
      <c r="E129" s="3" t="s">
        <v>18</v>
      </c>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1"/>
        <v/>
      </c>
      <c r="B130" s="3"/>
      <c r="C130" s="3"/>
      <c r="D130" s="3"/>
      <c r="E130" s="3" t="s">
        <v>18</v>
      </c>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2">IF(M131="","",M131&amp;"_"&amp;TEXT(N131,"000"))</f>
        <v/>
      </c>
      <c r="B131" s="3"/>
      <c r="C131" s="3"/>
      <c r="D131" s="3"/>
      <c r="E131" s="3" t="s">
        <v>18</v>
      </c>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2"/>
        <v/>
      </c>
      <c r="B132" s="3"/>
      <c r="C132" s="3"/>
      <c r="D132" s="3"/>
      <c r="E132" s="3" t="s">
        <v>18</v>
      </c>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2"/>
        <v/>
      </c>
      <c r="B133" s="3"/>
      <c r="C133" s="3"/>
      <c r="D133" s="3"/>
      <c r="E133" s="3" t="s">
        <v>18</v>
      </c>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2"/>
        <v/>
      </c>
      <c r="B134" s="3"/>
      <c r="C134" s="3"/>
      <c r="D134" s="3"/>
      <c r="E134" s="3" t="s">
        <v>18</v>
      </c>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2"/>
        <v/>
      </c>
      <c r="B135" s="3"/>
      <c r="C135" s="3"/>
      <c r="D135" s="3"/>
      <c r="E135" s="3" t="s">
        <v>18</v>
      </c>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2"/>
        <v/>
      </c>
      <c r="B136" s="3"/>
      <c r="C136" s="3"/>
      <c r="D136" s="3"/>
      <c r="E136" s="3" t="s">
        <v>18</v>
      </c>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2"/>
        <v/>
      </c>
      <c r="B137" s="3"/>
      <c r="C137" s="3"/>
      <c r="D137" s="3"/>
      <c r="E137" s="3" t="s">
        <v>18</v>
      </c>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2"/>
        <v/>
      </c>
      <c r="B138" s="3"/>
      <c r="C138" s="3"/>
      <c r="D138" s="3"/>
      <c r="E138" s="3" t="s">
        <v>18</v>
      </c>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2"/>
        <v/>
      </c>
      <c r="B139" s="3"/>
      <c r="C139" s="3"/>
      <c r="D139" s="3"/>
      <c r="E139" s="3" t="s">
        <v>18</v>
      </c>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2"/>
        <v/>
      </c>
      <c r="B140" s="3"/>
      <c r="C140" s="3"/>
      <c r="D140" s="3"/>
      <c r="E140" s="3" t="s">
        <v>18</v>
      </c>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2"/>
        <v/>
      </c>
      <c r="B141" s="3"/>
      <c r="C141" s="3"/>
      <c r="D141" s="3"/>
      <c r="E141" s="3" t="s">
        <v>18</v>
      </c>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2"/>
        <v/>
      </c>
      <c r="B142" s="3"/>
      <c r="C142" s="3"/>
      <c r="D142" s="3"/>
      <c r="E142" s="3" t="s">
        <v>18</v>
      </c>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2"/>
        <v/>
      </c>
      <c r="B143" s="3"/>
      <c r="C143" s="3"/>
      <c r="D143" s="3"/>
      <c r="E143" s="3" t="s">
        <v>18</v>
      </c>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2"/>
        <v/>
      </c>
      <c r="B144" s="3"/>
      <c r="C144" s="3"/>
      <c r="D144" s="3"/>
      <c r="E144" s="3" t="s">
        <v>18</v>
      </c>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ySplit="1" topLeftCell="A2" activePane="bottomLeft" state="frozen"/>
      <selection pane="bottomLeft" activeCell="M2" sqref="M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x14ac:dyDescent="0.3">
      <c r="A2" s="3" t="str">
        <f>IF(M2="","",M2&amp;"_"&amp;TEXT(N2,"000"))</f>
        <v/>
      </c>
      <c r="B2" s="3"/>
      <c r="C2" s="3"/>
      <c r="D2" s="3"/>
      <c r="E2" s="3" t="s">
        <v>25</v>
      </c>
      <c r="F2" s="3"/>
      <c r="G2" s="3"/>
      <c r="H2" s="3"/>
      <c r="I2" s="3"/>
      <c r="J2" s="3"/>
      <c r="K2" s="3"/>
      <c r="L2" s="3"/>
      <c r="M2" s="3" t="str">
        <f>IF(B2="","","AB"&amp;"_"&amp;IFERROR(VLOOKUP(B2,LOOKUPS!$K$2:$L$9,2,FALSE),"UNK")&amp;"_"&amp;IFERROR(VLOOKUP(C2,LOOKUPS!$N$2:$O$8,2,FALSE),"UNK")&amp;"_"&amp;UPPER(L2))</f>
        <v/>
      </c>
      <c r="N2" s="3" t="str">
        <f>IF(M2="","",COUNTIF($M$2:M2,M2))</f>
        <v/>
      </c>
      <c r="O2" s="3"/>
      <c r="P2" s="3"/>
      <c r="Q2" s="3"/>
      <c r="R2" s="3"/>
      <c r="S2" s="3"/>
      <c r="T2" s="3"/>
      <c r="U2" s="3"/>
      <c r="V2" s="3"/>
      <c r="W2" s="3"/>
      <c r="X2" s="3"/>
      <c r="Y2" s="3"/>
      <c r="Z2" s="3"/>
      <c r="AA2" s="3"/>
      <c r="AB2" s="3"/>
      <c r="AC2" s="3"/>
    </row>
    <row r="3" spans="1:29" x14ac:dyDescent="0.3">
      <c r="A3" s="3" t="str">
        <f t="shared" ref="A3:A66" si="0">IF(M3="","",M3&amp;"_"&amp;TEXT(N3,"000"))</f>
        <v/>
      </c>
      <c r="B3" s="3"/>
      <c r="C3" s="3"/>
      <c r="D3" s="3"/>
      <c r="E3" s="3" t="s">
        <v>25</v>
      </c>
      <c r="F3" s="3"/>
      <c r="G3" s="3"/>
      <c r="H3" s="3"/>
      <c r="I3" s="3"/>
      <c r="J3" s="3"/>
      <c r="K3" s="3"/>
      <c r="L3" s="3"/>
      <c r="M3" s="3" t="str">
        <f>IF(B3="","","AB"&amp;"_"&amp;IFERROR(VLOOKUP(B3,LOOKUPS!$K$2:$L$9,2,FALSE),"UNK")&amp;"_"&amp;IFERROR(VLOOKUP(C3,LOOKUPS!$N$2:$O$8,2,FALSE),"UNK")&amp;"_"&amp;UPPER(L3))</f>
        <v/>
      </c>
      <c r="N3" s="3" t="str">
        <f>IF(M3="","",COUNTIF($M$2:M3,M3))</f>
        <v/>
      </c>
      <c r="O3" s="3"/>
      <c r="P3" s="3"/>
      <c r="Q3" s="3"/>
      <c r="R3" s="3"/>
      <c r="S3" s="3"/>
      <c r="T3" s="3"/>
      <c r="U3" s="3"/>
      <c r="V3" s="3"/>
      <c r="W3" s="3"/>
      <c r="X3" s="3"/>
      <c r="Y3" s="3"/>
      <c r="Z3" s="3"/>
      <c r="AA3" s="3"/>
      <c r="AB3" s="3"/>
      <c r="AC3" s="3"/>
    </row>
    <row r="4" spans="1:29" x14ac:dyDescent="0.3">
      <c r="A4" s="3" t="str">
        <f t="shared" si="0"/>
        <v/>
      </c>
      <c r="B4" s="3"/>
      <c r="C4" s="3"/>
      <c r="D4" s="3"/>
      <c r="E4" s="3" t="s">
        <v>25</v>
      </c>
      <c r="F4" s="3"/>
      <c r="G4" s="3"/>
      <c r="H4" s="3"/>
      <c r="I4" s="3"/>
      <c r="J4" s="3"/>
      <c r="K4" s="3"/>
      <c r="L4" s="3"/>
      <c r="M4" s="3" t="str">
        <f>IF(B4="","","AB"&amp;"_"&amp;IFERROR(VLOOKUP(B4,LOOKUPS!$K$2:$L$9,2,FALSE),"UNK")&amp;"_"&amp;IFERROR(VLOOKUP(C4,LOOKUPS!$N$2:$O$8,2,FALSE),"UNK")&amp;"_"&amp;UPPER(L4))</f>
        <v/>
      </c>
      <c r="N4" s="3" t="str">
        <f>IF(M4="","",COUNTIF($M$2:M4,M4))</f>
        <v/>
      </c>
      <c r="O4" s="3"/>
      <c r="P4" s="3"/>
      <c r="Q4" s="3"/>
      <c r="R4" s="3"/>
      <c r="S4" s="3"/>
      <c r="T4" s="3"/>
      <c r="U4" s="3"/>
      <c r="V4" s="3"/>
      <c r="W4" s="3"/>
      <c r="X4" s="3"/>
      <c r="Y4" s="3"/>
      <c r="Z4" s="3"/>
      <c r="AA4" s="3"/>
      <c r="AB4" s="3"/>
      <c r="AC4" s="3"/>
    </row>
    <row r="5" spans="1:29" x14ac:dyDescent="0.3">
      <c r="A5" s="3" t="str">
        <f t="shared" si="0"/>
        <v/>
      </c>
      <c r="B5" s="3"/>
      <c r="C5" s="3"/>
      <c r="D5" s="3"/>
      <c r="E5" s="3" t="s">
        <v>25</v>
      </c>
      <c r="F5" s="3"/>
      <c r="G5" s="3"/>
      <c r="H5" s="3"/>
      <c r="I5" s="3"/>
      <c r="J5" s="3"/>
      <c r="K5" s="3"/>
      <c r="L5" s="3"/>
      <c r="M5" s="3" t="str">
        <f>IF(B5="","","AB"&amp;"_"&amp;IFERROR(VLOOKUP(B5,LOOKUPS!$K$2:$L$9,2,FALSE),"UNK")&amp;"_"&amp;IFERROR(VLOOKUP(C5,LOOKUPS!$N$2:$O$8,2,FALSE),"UNK")&amp;"_"&amp;UPPER(L5))</f>
        <v/>
      </c>
      <c r="N5" s="3" t="str">
        <f>IF(M5="","",COUNTIF($M$2:M5,M5))</f>
        <v/>
      </c>
      <c r="O5" s="3"/>
      <c r="P5" s="3"/>
      <c r="Q5" s="3"/>
      <c r="R5" s="3"/>
      <c r="S5" s="3"/>
      <c r="T5" s="3"/>
      <c r="U5" s="3"/>
      <c r="V5" s="3"/>
      <c r="W5" s="3"/>
      <c r="X5" s="3"/>
      <c r="Y5" s="3"/>
      <c r="Z5" s="3"/>
      <c r="AA5" s="3"/>
      <c r="AB5" s="3"/>
      <c r="AC5" s="3"/>
    </row>
    <row r="6" spans="1:29" x14ac:dyDescent="0.3">
      <c r="A6" s="3" t="str">
        <f t="shared" si="0"/>
        <v/>
      </c>
      <c r="B6" s="3"/>
      <c r="C6" s="3"/>
      <c r="D6" s="3"/>
      <c r="E6" s="3" t="s">
        <v>25</v>
      </c>
      <c r="F6" s="3"/>
      <c r="G6" s="3"/>
      <c r="H6" s="3"/>
      <c r="I6" s="3"/>
      <c r="J6" s="3"/>
      <c r="K6" s="3"/>
      <c r="L6" s="3"/>
      <c r="M6" s="3" t="str">
        <f>IF(B6="","","AB"&amp;"_"&amp;IFERROR(VLOOKUP(B6,LOOKUPS!$K$2:$L$9,2,FALSE),"UNK")&amp;"_"&amp;IFERROR(VLOOKUP(C6,LOOKUPS!$N$2:$O$8,2,FALSE),"UNK")&amp;"_"&amp;UPPER(L6))</f>
        <v/>
      </c>
      <c r="N6" s="3" t="str">
        <f>IF(M6="","",COUNTIF($M$2:M6,M6))</f>
        <v/>
      </c>
      <c r="O6" s="3"/>
      <c r="P6" s="3"/>
      <c r="Q6" s="3"/>
      <c r="R6" s="3"/>
      <c r="S6" s="3"/>
      <c r="T6" s="3"/>
      <c r="U6" s="3"/>
      <c r="V6" s="3"/>
      <c r="W6" s="3"/>
      <c r="X6" s="3"/>
      <c r="Y6" s="3"/>
      <c r="Z6" s="3"/>
      <c r="AA6" s="3"/>
      <c r="AB6" s="3"/>
      <c r="AC6" s="3"/>
    </row>
    <row r="7" spans="1:29" x14ac:dyDescent="0.3">
      <c r="A7" s="3" t="str">
        <f t="shared" si="0"/>
        <v/>
      </c>
      <c r="B7" s="3"/>
      <c r="C7" s="3"/>
      <c r="D7" s="3"/>
      <c r="E7" s="3" t="s">
        <v>25</v>
      </c>
      <c r="F7" s="3"/>
      <c r="G7" s="3"/>
      <c r="H7" s="3"/>
      <c r="I7" s="3"/>
      <c r="J7" s="3"/>
      <c r="K7" s="3"/>
      <c r="L7" s="3"/>
      <c r="M7" s="3" t="str">
        <f>IF(B7="","","AB"&amp;"_"&amp;IFERROR(VLOOKUP(B7,LOOKUPS!$K$2:$L$9,2,FALSE),"UNK")&amp;"_"&amp;IFERROR(VLOOKUP(C7,LOOKUPS!$N$2:$O$8,2,FALSE),"UNK")&amp;"_"&amp;UPPER(L7))</f>
        <v/>
      </c>
      <c r="N7" s="3" t="str">
        <f>IF(M7="","",COUNTIF($M$2:M7,M7))</f>
        <v/>
      </c>
      <c r="O7" s="3"/>
      <c r="P7" s="3"/>
      <c r="Q7" s="3"/>
      <c r="R7" s="3"/>
      <c r="S7" s="3"/>
      <c r="T7" s="3"/>
      <c r="U7" s="3"/>
      <c r="V7" s="3"/>
      <c r="W7" s="3"/>
      <c r="X7" s="3"/>
      <c r="Y7" s="3"/>
      <c r="Z7" s="3"/>
      <c r="AA7" s="3"/>
      <c r="AB7" s="3"/>
      <c r="AC7" s="3"/>
    </row>
    <row r="8" spans="1:29" x14ac:dyDescent="0.3">
      <c r="A8" s="3" t="str">
        <f t="shared" si="0"/>
        <v/>
      </c>
      <c r="B8" s="3"/>
      <c r="C8" s="3"/>
      <c r="D8" s="3"/>
      <c r="E8" s="3" t="s">
        <v>25</v>
      </c>
      <c r="F8" s="3"/>
      <c r="G8" s="3"/>
      <c r="H8" s="3"/>
      <c r="I8" s="3"/>
      <c r="J8" s="3"/>
      <c r="K8" s="3"/>
      <c r="L8" s="3"/>
      <c r="M8" s="3" t="str">
        <f>IF(B8="","","AB"&amp;"_"&amp;IFERROR(VLOOKUP(B8,LOOKUPS!$K$2:$L$9,2,FALSE),"UNK")&amp;"_"&amp;IFERROR(VLOOKUP(C8,LOOKUPS!$N$2:$O$8,2,FALSE),"UNK")&amp;"_"&amp;UPPER(L8))</f>
        <v/>
      </c>
      <c r="N8" s="3" t="str">
        <f>IF(M8="","",COUNTIF($M$2:M8,M8))</f>
        <v/>
      </c>
      <c r="O8" s="3"/>
      <c r="P8" s="3"/>
      <c r="Q8" s="3"/>
      <c r="R8" s="3"/>
      <c r="S8" s="3"/>
      <c r="T8" s="3"/>
      <c r="U8" s="3"/>
      <c r="V8" s="3"/>
      <c r="W8" s="3"/>
      <c r="X8" s="3"/>
      <c r="Y8" s="3"/>
      <c r="Z8" s="3"/>
      <c r="AA8" s="3"/>
      <c r="AB8" s="3"/>
      <c r="AC8" s="3"/>
    </row>
    <row r="9" spans="1:29" x14ac:dyDescent="0.3">
      <c r="A9" s="3" t="str">
        <f t="shared" si="0"/>
        <v/>
      </c>
      <c r="B9" s="3"/>
      <c r="C9" s="3"/>
      <c r="D9" s="3"/>
      <c r="E9" s="3" t="s">
        <v>25</v>
      </c>
      <c r="F9" s="3"/>
      <c r="G9" s="3"/>
      <c r="H9" s="3"/>
      <c r="I9" s="3"/>
      <c r="J9" s="3"/>
      <c r="K9" s="3"/>
      <c r="L9" s="3"/>
      <c r="M9" s="3" t="str">
        <f>IF(B9="","","AB"&amp;"_"&amp;IFERROR(VLOOKUP(B9,LOOKUPS!$K$2:$L$9,2,FALSE),"UNK")&amp;"_"&amp;IFERROR(VLOOKUP(C9,LOOKUPS!$N$2:$O$8,2,FALSE),"UNK")&amp;"_"&amp;UPPER(L9))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row>
    <row r="10" spans="1:29" x14ac:dyDescent="0.3">
      <c r="A10" s="3" t="str">
        <f t="shared" si="0"/>
        <v/>
      </c>
      <c r="B10" s="3"/>
      <c r="C10" s="3"/>
      <c r="D10" s="3"/>
      <c r="E10" s="3" t="s">
        <v>25</v>
      </c>
      <c r="F10" s="3"/>
      <c r="G10" s="3"/>
      <c r="H10" s="3"/>
      <c r="I10" s="3"/>
      <c r="J10" s="3"/>
      <c r="K10" s="3"/>
      <c r="L10" s="3"/>
      <c r="M10" s="3" t="str">
        <f>IF(B10="","","AB"&amp;"_"&amp;IFERROR(VLOOKUP(B10,LOOKUPS!$K$2:$L$9,2,FALSE),"UNK")&amp;"_"&amp;IFERROR(VLOOKUP(C10,LOOKUPS!$N$2:$O$8,2,FALSE),"UNK")&amp;"_"&amp;UPPER(L10))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row>
    <row r="11" spans="1:29" x14ac:dyDescent="0.3">
      <c r="A11" s="3" t="str">
        <f t="shared" si="0"/>
        <v/>
      </c>
      <c r="B11" s="3"/>
      <c r="C11" s="3"/>
      <c r="D11" s="3"/>
      <c r="E11" s="3" t="s">
        <v>25</v>
      </c>
      <c r="F11" s="3"/>
      <c r="G11" s="3"/>
      <c r="H11" s="3"/>
      <c r="I11" s="3"/>
      <c r="J11" s="3"/>
      <c r="K11" s="3"/>
      <c r="L11" s="3"/>
      <c r="M11" s="3" t="str">
        <f>IF(B11="","","AB"&amp;"_"&amp;IFERROR(VLOOKUP(B11,LOOKUPS!$K$2:$L$9,2,FALSE),"UNK")&amp;"_"&amp;IFERROR(VLOOKUP(C11,LOOKUPS!$N$2:$O$8,2,FALSE),"UNK")&amp;"_"&amp;UPPER(L11))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row>
    <row r="12" spans="1:29" x14ac:dyDescent="0.3">
      <c r="A12" s="3" t="str">
        <f t="shared" si="0"/>
        <v/>
      </c>
      <c r="B12" s="3"/>
      <c r="C12" s="3"/>
      <c r="D12" s="3"/>
      <c r="E12" s="3" t="s">
        <v>25</v>
      </c>
      <c r="F12" s="3"/>
      <c r="G12" s="3"/>
      <c r="H12" s="3"/>
      <c r="I12" s="3"/>
      <c r="J12" s="3"/>
      <c r="K12" s="3"/>
      <c r="L12" s="3"/>
      <c r="M12" s="3" t="str">
        <f>IF(B12="","","AB"&amp;"_"&amp;IFERROR(VLOOKUP(B12,LOOKUPS!$K$2:$L$9,2,FALSE),"UNK")&amp;"_"&amp;IFERROR(VLOOKUP(C12,LOOKUPS!$N$2:$O$8,2,FALSE),"UNK")&amp;"_"&amp;UPPER(L12))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row>
    <row r="13" spans="1:29" x14ac:dyDescent="0.3">
      <c r="A13" s="3" t="str">
        <f t="shared" si="0"/>
        <v/>
      </c>
      <c r="B13" s="3"/>
      <c r="C13" s="3"/>
      <c r="D13" s="3"/>
      <c r="E13" s="3" t="s">
        <v>25</v>
      </c>
      <c r="F13" s="3"/>
      <c r="G13" s="3"/>
      <c r="H13" s="3"/>
      <c r="I13" s="3"/>
      <c r="J13" s="3"/>
      <c r="K13" s="3"/>
      <c r="L13" s="3"/>
      <c r="M13" s="3" t="str">
        <f>IF(B13="","","AB"&amp;"_"&amp;IFERROR(VLOOKUP(B13,LOOKUPS!$K$2:$L$9,2,FALSE),"UNK")&amp;"_"&amp;IFERROR(VLOOKUP(C13,LOOKUPS!$N$2:$O$8,2,FALSE),"UNK")&amp;"_"&amp;UPPER(L13))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row>
    <row r="14" spans="1:29" x14ac:dyDescent="0.3">
      <c r="A14" s="3" t="str">
        <f t="shared" si="0"/>
        <v/>
      </c>
      <c r="B14" s="3"/>
      <c r="C14" s="3"/>
      <c r="D14" s="3"/>
      <c r="E14" s="3" t="s">
        <v>25</v>
      </c>
      <c r="F14" s="3"/>
      <c r="G14" s="3"/>
      <c r="H14" s="3"/>
      <c r="I14" s="3"/>
      <c r="J14" s="3"/>
      <c r="K14" s="3"/>
      <c r="L14" s="3"/>
      <c r="M14" s="3" t="str">
        <f>IF(B14="","","AB"&amp;"_"&amp;IFERROR(VLOOKUP(B14,LOOKUPS!$K$2:$L$9,2,FALSE),"UNK")&amp;"_"&amp;IFERROR(VLOOKUP(C14,LOOKUPS!$N$2:$O$8,2,FALSE),"UNK")&amp;"_"&amp;UPPER(L14))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row>
    <row r="15" spans="1:29" x14ac:dyDescent="0.3">
      <c r="A15" s="3" t="str">
        <f t="shared" si="0"/>
        <v/>
      </c>
      <c r="B15" s="3"/>
      <c r="C15" s="3"/>
      <c r="D15" s="3"/>
      <c r="E15" s="3" t="s">
        <v>25</v>
      </c>
      <c r="F15" s="3"/>
      <c r="G15" s="3"/>
      <c r="H15" s="3"/>
      <c r="I15" s="3"/>
      <c r="J15" s="3"/>
      <c r="K15" s="3"/>
      <c r="L15" s="3"/>
      <c r="M15" s="3" t="str">
        <f>IF(B15="","","AB"&amp;"_"&amp;IFERROR(VLOOKUP(B15,LOOKUPS!$K$2:$L$9,2,FALSE),"UNK")&amp;"_"&amp;IFERROR(VLOOKUP(C15,LOOKUPS!$N$2:$O$8,2,FALSE),"UNK")&amp;"_"&amp;UPPER(L15))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row>
    <row r="16" spans="1:29" x14ac:dyDescent="0.3">
      <c r="A16" s="3" t="str">
        <f t="shared" si="0"/>
        <v/>
      </c>
      <c r="B16" s="3"/>
      <c r="C16" s="3"/>
      <c r="D16" s="3"/>
      <c r="E16" s="3" t="s">
        <v>25</v>
      </c>
      <c r="F16" s="3"/>
      <c r="G16" s="3"/>
      <c r="H16" s="3"/>
      <c r="I16" s="3"/>
      <c r="J16" s="3"/>
      <c r="K16" s="3"/>
      <c r="L16" s="3"/>
      <c r="M16" s="3" t="str">
        <f>IF(B16="","","AB"&amp;"_"&amp;IFERROR(VLOOKUP(B16,LOOKUPS!$K$2:$L$9,2,FALSE),"UNK")&amp;"_"&amp;IFERROR(VLOOKUP(C16,LOOKUPS!$N$2:$O$8,2,FALSE),"UNK")&amp;"_"&amp;UPPER(L16))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row>
    <row r="17" spans="1:29" x14ac:dyDescent="0.3">
      <c r="A17" s="3" t="str">
        <f t="shared" si="0"/>
        <v/>
      </c>
      <c r="B17" s="3"/>
      <c r="C17" s="3"/>
      <c r="D17" s="3"/>
      <c r="E17" s="3" t="s">
        <v>25</v>
      </c>
      <c r="F17" s="3"/>
      <c r="G17" s="3"/>
      <c r="H17" s="3"/>
      <c r="I17" s="3"/>
      <c r="J17" s="3"/>
      <c r="K17" s="3"/>
      <c r="L17" s="3"/>
      <c r="M17" s="3" t="str">
        <f>IF(B17="","","AB"&amp;"_"&amp;IFERROR(VLOOKUP(B17,LOOKUPS!$K$2:$L$9,2,FALSE),"UNK")&amp;"_"&amp;IFERROR(VLOOKUP(C17,LOOKUPS!$N$2:$O$8,2,FALSE),"UNK")&amp;"_"&amp;UPPER(L17))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row>
    <row r="18" spans="1:29" x14ac:dyDescent="0.3">
      <c r="A18" s="3" t="str">
        <f t="shared" si="0"/>
        <v/>
      </c>
      <c r="B18" s="3"/>
      <c r="C18" s="3"/>
      <c r="D18" s="3"/>
      <c r="E18" s="3" t="s">
        <v>25</v>
      </c>
      <c r="F18" s="3"/>
      <c r="G18" s="3"/>
      <c r="H18" s="3"/>
      <c r="I18" s="3"/>
      <c r="J18" s="3"/>
      <c r="K18" s="3"/>
      <c r="L18" s="3"/>
      <c r="M18" s="3" t="str">
        <f>IF(B18="","","AB"&amp;"_"&amp;IFERROR(VLOOKUP(B18,LOOKUPS!$K$2:$L$9,2,FALSE),"UNK")&amp;"_"&amp;IFERROR(VLOOKUP(C18,LOOKUPS!$N$2:$O$8,2,FALSE),"UNK")&amp;"_"&amp;UPPER(L18))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row>
    <row r="19" spans="1:29" x14ac:dyDescent="0.3">
      <c r="A19" s="3" t="str">
        <f t="shared" si="0"/>
        <v/>
      </c>
      <c r="B19" s="3"/>
      <c r="C19" s="3"/>
      <c r="D19" s="3"/>
      <c r="E19" s="3" t="s">
        <v>25</v>
      </c>
      <c r="F19" s="3"/>
      <c r="G19" s="3"/>
      <c r="H19" s="3"/>
      <c r="I19" s="3"/>
      <c r="J19" s="3"/>
      <c r="K19" s="3"/>
      <c r="L19" s="3"/>
      <c r="M19" s="3" t="str">
        <f>IF(B19="","","AB"&amp;"_"&amp;IFERROR(VLOOKUP(B19,LOOKUPS!$K$2:$L$9,2,FALSE),"UNK")&amp;"_"&amp;IFERROR(VLOOKUP(C19,LOOKUPS!$N$2:$O$8,2,FALSE),"UNK")&amp;"_"&amp;UPPER(L19))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row>
    <row r="20" spans="1:29" x14ac:dyDescent="0.3">
      <c r="A20" s="3" t="str">
        <f t="shared" si="0"/>
        <v/>
      </c>
      <c r="B20" s="3"/>
      <c r="C20" s="3"/>
      <c r="D20" s="3"/>
      <c r="E20" s="3" t="s">
        <v>25</v>
      </c>
      <c r="F20" s="3"/>
      <c r="G20" s="3"/>
      <c r="H20" s="3"/>
      <c r="I20" s="3"/>
      <c r="J20" s="3"/>
      <c r="K20" s="3"/>
      <c r="L20" s="3"/>
      <c r="M20" s="3" t="str">
        <f>IF(B20="","","AB"&amp;"_"&amp;IFERROR(VLOOKUP(B20,LOOKUPS!$K$2:$L$9,2,FALSE),"UNK")&amp;"_"&amp;IFERROR(VLOOKUP(C20,LOOKUPS!$N$2:$O$8,2,FALSE),"UNK")&amp;"_"&amp;UPPER(L20))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row>
    <row r="21" spans="1:29" x14ac:dyDescent="0.3">
      <c r="A21" s="3" t="str">
        <f t="shared" si="0"/>
        <v/>
      </c>
      <c r="B21" s="3"/>
      <c r="C21" s="3"/>
      <c r="D21" s="3"/>
      <c r="E21" s="3" t="s">
        <v>25</v>
      </c>
      <c r="F21" s="3"/>
      <c r="G21" s="3"/>
      <c r="H21" s="3"/>
      <c r="I21" s="3"/>
      <c r="J21" s="3"/>
      <c r="K21" s="3"/>
      <c r="L21" s="3"/>
      <c r="M21" s="3" t="str">
        <f>IF(B21="","","AB"&amp;"_"&amp;IFERROR(VLOOKUP(B21,LOOKUPS!$K$2:$L$9,2,FALSE),"UNK")&amp;"_"&amp;IFERROR(VLOOKUP(C21,LOOKUPS!$N$2:$O$8,2,FALSE),"UNK")&amp;"_"&amp;UPPER(L21))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row>
    <row r="22" spans="1:29" x14ac:dyDescent="0.3">
      <c r="A22" s="3" t="str">
        <f t="shared" si="0"/>
        <v/>
      </c>
      <c r="B22" s="3"/>
      <c r="C22" s="3"/>
      <c r="D22" s="3"/>
      <c r="E22" s="3" t="s">
        <v>25</v>
      </c>
      <c r="F22" s="3"/>
      <c r="G22" s="3"/>
      <c r="H22" s="3"/>
      <c r="I22" s="3"/>
      <c r="J22" s="3"/>
      <c r="K22" s="3"/>
      <c r="L22" s="3"/>
      <c r="M22" s="3" t="str">
        <f>IF(B22="","","AB"&amp;"_"&amp;IFERROR(VLOOKUP(B22,LOOKUPS!$K$2:$L$9,2,FALSE),"UNK")&amp;"_"&amp;IFERROR(VLOOKUP(C22,LOOKUPS!$N$2:$O$8,2,FALSE),"UNK")&amp;"_"&amp;UPPER(L22))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row>
    <row r="23" spans="1:29" x14ac:dyDescent="0.3">
      <c r="A23" s="3" t="str">
        <f t="shared" si="0"/>
        <v/>
      </c>
      <c r="B23" s="3"/>
      <c r="C23" s="3"/>
      <c r="D23" s="3"/>
      <c r="E23" s="3" t="s">
        <v>25</v>
      </c>
      <c r="F23" s="3"/>
      <c r="G23" s="3"/>
      <c r="H23" s="3"/>
      <c r="I23" s="3"/>
      <c r="J23" s="3"/>
      <c r="K23" s="3"/>
      <c r="L23" s="3"/>
      <c r="M23" s="3" t="str">
        <f>IF(B23="","","AB"&amp;"_"&amp;IFERROR(VLOOKUP(B23,LOOKUPS!$K$2:$L$9,2,FALSE),"UNK")&amp;"_"&amp;IFERROR(VLOOKUP(C23,LOOKUPS!$N$2:$O$8,2,FALSE),"UNK")&amp;"_"&amp;UPPER(L23))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row>
    <row r="24" spans="1:29" x14ac:dyDescent="0.3">
      <c r="A24" s="3" t="str">
        <f t="shared" si="0"/>
        <v/>
      </c>
      <c r="B24" s="3"/>
      <c r="C24" s="3"/>
      <c r="D24" s="3"/>
      <c r="E24" s="3" t="s">
        <v>25</v>
      </c>
      <c r="F24" s="3"/>
      <c r="G24" s="3"/>
      <c r="H24" s="3"/>
      <c r="I24" s="3"/>
      <c r="J24" s="3"/>
      <c r="K24" s="3"/>
      <c r="L24" s="3"/>
      <c r="M24" s="3" t="str">
        <f>IF(B24="","","AB"&amp;"_"&amp;IFERROR(VLOOKUP(B24,LOOKUPS!$K$2:$L$9,2,FALSE),"UNK")&amp;"_"&amp;IFERROR(VLOOKUP(C24,LOOKUPS!$N$2:$O$8,2,FALSE),"UNK")&amp;"_"&amp;UPPER(L24))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row>
    <row r="25" spans="1:29" x14ac:dyDescent="0.3">
      <c r="A25" s="3" t="str">
        <f t="shared" si="0"/>
        <v/>
      </c>
      <c r="B25" s="3"/>
      <c r="C25" s="3"/>
      <c r="D25" s="3"/>
      <c r="E25" s="3" t="s">
        <v>25</v>
      </c>
      <c r="F25" s="3"/>
      <c r="G25" s="3"/>
      <c r="H25" s="3"/>
      <c r="I25" s="3"/>
      <c r="J25" s="3"/>
      <c r="K25" s="3"/>
      <c r="L25" s="3"/>
      <c r="M25" s="3" t="str">
        <f>IF(B25="","","AB"&amp;"_"&amp;IFERROR(VLOOKUP(B25,LOOKUPS!$K$2:$L$9,2,FALSE),"UNK")&amp;"_"&amp;IFERROR(VLOOKUP(C25,LOOKUPS!$N$2:$O$8,2,FALSE),"UNK")&amp;"_"&amp;UPPER(L25))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row>
    <row r="26" spans="1:29" x14ac:dyDescent="0.3">
      <c r="A26" s="3" t="str">
        <f t="shared" si="0"/>
        <v/>
      </c>
      <c r="B26" s="3"/>
      <c r="C26" s="3"/>
      <c r="D26" s="3"/>
      <c r="E26" s="3" t="s">
        <v>25</v>
      </c>
      <c r="F26" s="3"/>
      <c r="G26" s="3"/>
      <c r="H26" s="3"/>
      <c r="I26" s="3"/>
      <c r="J26" s="3"/>
      <c r="K26" s="3"/>
      <c r="L26" s="3"/>
      <c r="M26" s="3" t="str">
        <f>IF(B26="","","AB"&amp;"_"&amp;IFERROR(VLOOKUP(B26,LOOKUPS!$K$2:$L$9,2,FALSE),"UNK")&amp;"_"&amp;IFERROR(VLOOKUP(C26,LOOKUPS!$N$2:$O$8,2,FALSE),"UNK")&amp;"_"&amp;UPPER(L26))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row>
    <row r="27" spans="1:29" x14ac:dyDescent="0.3">
      <c r="A27" s="3" t="str">
        <f t="shared" si="0"/>
        <v/>
      </c>
      <c r="B27" s="3"/>
      <c r="C27" s="3"/>
      <c r="D27" s="3"/>
      <c r="E27" s="3" t="s">
        <v>25</v>
      </c>
      <c r="F27" s="3"/>
      <c r="G27" s="3"/>
      <c r="H27" s="3"/>
      <c r="I27" s="3"/>
      <c r="J27" s="3"/>
      <c r="K27" s="3"/>
      <c r="L27" s="3"/>
      <c r="M27" s="3" t="str">
        <f>IF(B27="","","AB"&amp;"_"&amp;IFERROR(VLOOKUP(B27,LOOKUPS!$K$2:$L$9,2,FALSE),"UNK")&amp;"_"&amp;IFERROR(VLOOKUP(C27,LOOKUPS!$N$2:$O$8,2,FALSE),"UNK")&amp;"_"&amp;UPPER(L27))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row>
    <row r="28" spans="1:29" x14ac:dyDescent="0.3">
      <c r="A28" s="3" t="str">
        <f t="shared" si="0"/>
        <v/>
      </c>
      <c r="B28" s="3"/>
      <c r="C28" s="3"/>
      <c r="D28" s="3"/>
      <c r="E28" s="3" t="s">
        <v>25</v>
      </c>
      <c r="F28" s="3"/>
      <c r="G28" s="3"/>
      <c r="H28" s="3"/>
      <c r="I28" s="3"/>
      <c r="J28" s="3"/>
      <c r="K28" s="3"/>
      <c r="L28" s="3"/>
      <c r="M28" s="3" t="str">
        <f>IF(B28="","","AB"&amp;"_"&amp;IFERROR(VLOOKUP(B28,LOOKUPS!$K$2:$L$9,2,FALSE),"UNK")&amp;"_"&amp;IFERROR(VLOOKUP(C28,LOOKUPS!$N$2:$O$8,2,FALSE),"UNK")&amp;"_"&amp;UPPER(L28))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row>
    <row r="29" spans="1:29" x14ac:dyDescent="0.3">
      <c r="A29" s="3" t="str">
        <f t="shared" si="0"/>
        <v/>
      </c>
      <c r="B29" s="3"/>
      <c r="C29" s="3"/>
      <c r="D29" s="3"/>
      <c r="E29" s="3" t="s">
        <v>25</v>
      </c>
      <c r="F29" s="3"/>
      <c r="G29" s="3"/>
      <c r="H29" s="3"/>
      <c r="I29" s="3"/>
      <c r="J29" s="3"/>
      <c r="K29" s="3"/>
      <c r="L29" s="3"/>
      <c r="M29" s="3" t="str">
        <f>IF(B29="","","AB"&amp;"_"&amp;IFERROR(VLOOKUP(B29,LOOKUPS!$K$2:$L$9,2,FALSE),"UNK")&amp;"_"&amp;IFERROR(VLOOKUP(C29,LOOKUPS!$N$2:$O$8,2,FALSE),"UNK")&amp;"_"&amp;UPPER(L29))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row>
    <row r="30" spans="1:29" x14ac:dyDescent="0.3">
      <c r="A30" s="3" t="str">
        <f t="shared" si="0"/>
        <v/>
      </c>
      <c r="B30" s="3"/>
      <c r="C30" s="3"/>
      <c r="D30" s="3"/>
      <c r="E30" s="3" t="s">
        <v>25</v>
      </c>
      <c r="F30" s="3"/>
      <c r="G30" s="3"/>
      <c r="H30" s="3"/>
      <c r="I30" s="3"/>
      <c r="J30" s="3"/>
      <c r="K30" s="3"/>
      <c r="L30" s="3"/>
      <c r="M30" s="3" t="str">
        <f>IF(B30="","","AB"&amp;"_"&amp;IFERROR(VLOOKUP(B30,LOOKUPS!$K$2:$L$9,2,FALSE),"UNK")&amp;"_"&amp;IFERROR(VLOOKUP(C30,LOOKUPS!$N$2:$O$8,2,FALSE),"UNK")&amp;"_"&amp;UPPER(L30))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row>
    <row r="31" spans="1:29" x14ac:dyDescent="0.3">
      <c r="A31" s="3" t="str">
        <f t="shared" si="0"/>
        <v/>
      </c>
      <c r="B31" s="3"/>
      <c r="C31" s="3"/>
      <c r="D31" s="3"/>
      <c r="E31" s="3" t="s">
        <v>25</v>
      </c>
      <c r="F31" s="3"/>
      <c r="G31" s="3"/>
      <c r="H31" s="3"/>
      <c r="I31" s="3"/>
      <c r="J31" s="3"/>
      <c r="K31" s="3"/>
      <c r="L31" s="3"/>
      <c r="M31" s="3" t="str">
        <f>IF(B31="","","AB"&amp;"_"&amp;IFERROR(VLOOKUP(B31,LOOKUPS!$K$2:$L$9,2,FALSE),"UNK")&amp;"_"&amp;IFERROR(VLOOKUP(C31,LOOKUPS!$N$2:$O$8,2,FALSE),"UNK")&amp;"_"&amp;UPPER(L31))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row>
    <row r="32" spans="1:29" x14ac:dyDescent="0.3">
      <c r="A32" s="3" t="str">
        <f t="shared" si="0"/>
        <v/>
      </c>
      <c r="B32" s="3"/>
      <c r="C32" s="3"/>
      <c r="D32" s="3"/>
      <c r="E32" s="3" t="s">
        <v>25</v>
      </c>
      <c r="F32" s="3"/>
      <c r="G32" s="3"/>
      <c r="H32" s="3"/>
      <c r="I32" s="3"/>
      <c r="J32" s="3"/>
      <c r="K32" s="3"/>
      <c r="L32" s="3"/>
      <c r="M32" s="3" t="str">
        <f>IF(B32="","","AB"&amp;"_"&amp;IFERROR(VLOOKUP(B32,LOOKUPS!$K$2:$L$9,2,FALSE),"UNK")&amp;"_"&amp;IFERROR(VLOOKUP(C32,LOOKUPS!$N$2:$O$8,2,FALSE),"UNK")&amp;"_"&amp;UPPER(L32))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row>
    <row r="33" spans="1:29" x14ac:dyDescent="0.3">
      <c r="A33" s="3" t="str">
        <f t="shared" si="0"/>
        <v/>
      </c>
      <c r="B33" s="3"/>
      <c r="C33" s="3"/>
      <c r="D33" s="3"/>
      <c r="E33" s="3" t="s">
        <v>25</v>
      </c>
      <c r="F33" s="3"/>
      <c r="G33" s="3"/>
      <c r="H33" s="3"/>
      <c r="I33" s="3"/>
      <c r="J33" s="3"/>
      <c r="K33" s="3"/>
      <c r="L33" s="3"/>
      <c r="M33" s="3" t="str">
        <f>IF(B33="","","AB"&amp;"_"&amp;IFERROR(VLOOKUP(B33,LOOKUPS!$K$2:$L$9,2,FALSE),"UNK")&amp;"_"&amp;IFERROR(VLOOKUP(C33,LOOKUPS!$N$2:$O$8,2,FALSE),"UNK")&amp;"_"&amp;UPPER(L33))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row>
    <row r="34" spans="1:29" x14ac:dyDescent="0.3">
      <c r="A34" s="3" t="str">
        <f t="shared" si="0"/>
        <v/>
      </c>
      <c r="B34" s="3"/>
      <c r="C34" s="3"/>
      <c r="D34" s="3"/>
      <c r="E34" s="3" t="s">
        <v>25</v>
      </c>
      <c r="F34" s="3"/>
      <c r="G34" s="3"/>
      <c r="H34" s="3"/>
      <c r="I34" s="3"/>
      <c r="J34" s="3"/>
      <c r="K34" s="3"/>
      <c r="L34" s="3"/>
      <c r="M34" s="3" t="str">
        <f>IF(B34="","","AB"&amp;"_"&amp;IFERROR(VLOOKUP(B34,LOOKUPS!$K$2:$L$9,2,FALSE),"UNK")&amp;"_"&amp;IFERROR(VLOOKUP(C34,LOOKUPS!$N$2:$O$8,2,FALSE),"UNK")&amp;"_"&amp;UPPER(L34))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row>
    <row r="35" spans="1:29" x14ac:dyDescent="0.3">
      <c r="A35" s="3" t="str">
        <f t="shared" si="0"/>
        <v/>
      </c>
      <c r="B35" s="3"/>
      <c r="C35" s="3"/>
      <c r="D35" s="3"/>
      <c r="E35" s="3" t="s">
        <v>25</v>
      </c>
      <c r="F35" s="3"/>
      <c r="G35" s="3"/>
      <c r="H35" s="3"/>
      <c r="I35" s="3"/>
      <c r="J35" s="3"/>
      <c r="K35" s="3"/>
      <c r="L35" s="3"/>
      <c r="M35" s="3" t="str">
        <f>IF(B35="","","AB"&amp;"_"&amp;IFERROR(VLOOKUP(B35,LOOKUPS!$K$2:$L$9,2,FALSE),"UNK")&amp;"_"&amp;IFERROR(VLOOKUP(C35,LOOKUPS!$N$2:$O$8,2,FALSE),"UNK")&amp;"_"&amp;UPPER(L35))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row>
    <row r="36" spans="1:29" x14ac:dyDescent="0.3">
      <c r="A36" s="3" t="str">
        <f t="shared" si="0"/>
        <v/>
      </c>
      <c r="B36" s="3"/>
      <c r="C36" s="3"/>
      <c r="D36" s="3"/>
      <c r="E36" s="3" t="s">
        <v>25</v>
      </c>
      <c r="F36" s="3"/>
      <c r="G36" s="3"/>
      <c r="H36" s="3"/>
      <c r="I36" s="3"/>
      <c r="J36" s="3"/>
      <c r="K36" s="3"/>
      <c r="L36" s="3"/>
      <c r="M36" s="3" t="str">
        <f>IF(B36="","","AB"&amp;"_"&amp;IFERROR(VLOOKUP(B36,LOOKUPS!$K$2:$L$9,2,FALSE),"UNK")&amp;"_"&amp;IFERROR(VLOOKUP(C36,LOOKUPS!$N$2:$O$8,2,FALSE),"UNK")&amp;"_"&amp;UPPER(L36))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row>
    <row r="37" spans="1:29" x14ac:dyDescent="0.3">
      <c r="A37" s="3" t="str">
        <f t="shared" si="0"/>
        <v/>
      </c>
      <c r="B37" s="3"/>
      <c r="C37" s="3"/>
      <c r="D37" s="3"/>
      <c r="E37" s="3" t="s">
        <v>25</v>
      </c>
      <c r="F37" s="3"/>
      <c r="G37" s="3"/>
      <c r="H37" s="3"/>
      <c r="I37" s="3"/>
      <c r="J37" s="3"/>
      <c r="K37" s="3"/>
      <c r="L37" s="3"/>
      <c r="M37" s="3" t="str">
        <f>IF(B37="","","AB"&amp;"_"&amp;IFERROR(VLOOKUP(B37,LOOKUPS!$K$2:$L$9,2,FALSE),"UNK")&amp;"_"&amp;IFERROR(VLOOKUP(C37,LOOKUPS!$N$2:$O$8,2,FALSE),"UNK")&amp;"_"&amp;UPPER(L37))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row>
    <row r="38" spans="1:29" x14ac:dyDescent="0.3">
      <c r="A38" s="3" t="str">
        <f t="shared" si="0"/>
        <v/>
      </c>
      <c r="B38" s="3"/>
      <c r="C38" s="3"/>
      <c r="D38" s="3"/>
      <c r="E38" s="3" t="s">
        <v>25</v>
      </c>
      <c r="F38" s="3"/>
      <c r="G38" s="3"/>
      <c r="H38" s="3"/>
      <c r="I38" s="3"/>
      <c r="J38" s="3"/>
      <c r="K38" s="3"/>
      <c r="L38" s="3"/>
      <c r="M38" s="3" t="str">
        <f>IF(B38="","","AB"&amp;"_"&amp;IFERROR(VLOOKUP(B38,LOOKUPS!$K$2:$L$9,2,FALSE),"UNK")&amp;"_"&amp;IFERROR(VLOOKUP(C38,LOOKUPS!$N$2:$O$8,2,FALSE),"UNK")&amp;"_"&amp;UPPER(L38))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row>
    <row r="39" spans="1:29" x14ac:dyDescent="0.3">
      <c r="A39" s="3" t="str">
        <f t="shared" si="0"/>
        <v/>
      </c>
      <c r="B39" s="3"/>
      <c r="C39" s="3"/>
      <c r="D39" s="3"/>
      <c r="E39" s="3" t="s">
        <v>25</v>
      </c>
      <c r="F39" s="3"/>
      <c r="G39" s="3"/>
      <c r="H39" s="3"/>
      <c r="I39" s="3"/>
      <c r="J39" s="3"/>
      <c r="K39" s="3"/>
      <c r="L39" s="3"/>
      <c r="M39" s="3" t="str">
        <f>IF(B39="","","AB"&amp;"_"&amp;IFERROR(VLOOKUP(B39,LOOKUPS!$K$2:$L$9,2,FALSE),"UNK")&amp;"_"&amp;IFERROR(VLOOKUP(C39,LOOKUPS!$N$2:$O$8,2,FALSE),"UNK")&amp;"_"&amp;UPPER(L39))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row>
    <row r="40" spans="1:29" x14ac:dyDescent="0.3">
      <c r="A40" s="3" t="str">
        <f t="shared" si="0"/>
        <v/>
      </c>
      <c r="B40" s="3"/>
      <c r="C40" s="3"/>
      <c r="D40" s="3"/>
      <c r="E40" s="3" t="s">
        <v>25</v>
      </c>
      <c r="F40" s="3"/>
      <c r="G40" s="3"/>
      <c r="H40" s="3"/>
      <c r="I40" s="3"/>
      <c r="J40" s="3"/>
      <c r="K40" s="3"/>
      <c r="L40" s="3"/>
      <c r="M40" s="3" t="str">
        <f>IF(B40="","","AB"&amp;"_"&amp;IFERROR(VLOOKUP(B40,LOOKUPS!$K$2:$L$9,2,FALSE),"UNK")&amp;"_"&amp;IFERROR(VLOOKUP(C40,LOOKUPS!$N$2:$O$8,2,FALSE),"UNK")&amp;"_"&amp;UPPER(L40))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row>
    <row r="41" spans="1:29" x14ac:dyDescent="0.3">
      <c r="A41" s="3" t="str">
        <f t="shared" si="0"/>
        <v/>
      </c>
      <c r="B41" s="3"/>
      <c r="C41" s="3"/>
      <c r="D41" s="3"/>
      <c r="E41" s="3" t="s">
        <v>25</v>
      </c>
      <c r="F41" s="3"/>
      <c r="G41" s="3"/>
      <c r="H41" s="3"/>
      <c r="I41" s="3"/>
      <c r="J41" s="3"/>
      <c r="K41" s="3"/>
      <c r="L41" s="3"/>
      <c r="M41" s="3" t="str">
        <f>IF(B41="","","AB"&amp;"_"&amp;IFERROR(VLOOKUP(B41,LOOKUPS!$K$2:$L$9,2,FALSE),"UNK")&amp;"_"&amp;IFERROR(VLOOKUP(C41,LOOKUPS!$N$2:$O$8,2,FALSE),"UNK")&amp;"_"&amp;UPPER(L41))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row>
    <row r="42" spans="1:29" x14ac:dyDescent="0.3">
      <c r="A42" s="3" t="str">
        <f t="shared" si="0"/>
        <v/>
      </c>
      <c r="B42" s="3"/>
      <c r="C42" s="3"/>
      <c r="D42" s="3"/>
      <c r="E42" s="3" t="s">
        <v>25</v>
      </c>
      <c r="F42" s="3"/>
      <c r="G42" s="3"/>
      <c r="H42" s="3"/>
      <c r="I42" s="3"/>
      <c r="J42" s="3"/>
      <c r="K42" s="3"/>
      <c r="L42" s="3"/>
      <c r="M42" s="3" t="str">
        <f>IF(B42="","","AB"&amp;"_"&amp;IFERROR(VLOOKUP(B42,LOOKUPS!$K$2:$L$9,2,FALSE),"UNK")&amp;"_"&amp;IFERROR(VLOOKUP(C42,LOOKUPS!$N$2:$O$8,2,FALSE),"UNK")&amp;"_"&amp;UPPER(L42))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row>
    <row r="43" spans="1:29" x14ac:dyDescent="0.3">
      <c r="A43" s="3" t="str">
        <f t="shared" si="0"/>
        <v/>
      </c>
      <c r="B43" s="3"/>
      <c r="C43" s="3"/>
      <c r="D43" s="3"/>
      <c r="E43" s="3" t="s">
        <v>25</v>
      </c>
      <c r="F43" s="3"/>
      <c r="G43" s="3"/>
      <c r="H43" s="3"/>
      <c r="I43" s="3"/>
      <c r="J43" s="3"/>
      <c r="K43" s="3"/>
      <c r="L43" s="3"/>
      <c r="M43" s="3" t="str">
        <f>IF(B43="","","AB"&amp;"_"&amp;IFERROR(VLOOKUP(B43,LOOKUPS!$K$2:$L$9,2,FALSE),"UNK")&amp;"_"&amp;IFERROR(VLOOKUP(C43,LOOKUPS!$N$2:$O$8,2,FALSE),"UNK")&amp;"_"&amp;UPPER(L43))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row>
    <row r="44" spans="1:29" x14ac:dyDescent="0.3">
      <c r="A44" s="3" t="str">
        <f t="shared" si="0"/>
        <v/>
      </c>
      <c r="B44" s="3"/>
      <c r="C44" s="3"/>
      <c r="D44" s="3"/>
      <c r="E44" s="3" t="s">
        <v>25</v>
      </c>
      <c r="F44" s="3"/>
      <c r="G44" s="3"/>
      <c r="H44" s="3"/>
      <c r="I44" s="3"/>
      <c r="J44" s="3"/>
      <c r="K44" s="3"/>
      <c r="L44" s="3"/>
      <c r="M44" s="3" t="str">
        <f>IF(B44="","","AB"&amp;"_"&amp;IFERROR(VLOOKUP(B44,LOOKUPS!$K$2:$L$9,2,FALSE),"UNK")&amp;"_"&amp;IFERROR(VLOOKUP(C44,LOOKUPS!$N$2:$O$8,2,FALSE),"UNK")&amp;"_"&amp;UPPER(L44))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row>
    <row r="45" spans="1:29" x14ac:dyDescent="0.3">
      <c r="A45" s="3" t="str">
        <f t="shared" si="0"/>
        <v/>
      </c>
      <c r="B45" s="3"/>
      <c r="C45" s="3"/>
      <c r="D45" s="3"/>
      <c r="E45" s="3" t="s">
        <v>25</v>
      </c>
      <c r="F45" s="3"/>
      <c r="G45" s="3"/>
      <c r="H45" s="3"/>
      <c r="I45" s="3"/>
      <c r="J45" s="3"/>
      <c r="K45" s="3"/>
      <c r="L45" s="3"/>
      <c r="M45" s="3" t="str">
        <f>IF(B45="","","AB"&amp;"_"&amp;IFERROR(VLOOKUP(B45,LOOKUPS!$K$2:$L$9,2,FALSE),"UNK")&amp;"_"&amp;IFERROR(VLOOKUP(C45,LOOKUPS!$N$2:$O$8,2,FALSE),"UNK")&amp;"_"&amp;UPPER(L45))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row>
    <row r="46" spans="1:29" x14ac:dyDescent="0.3">
      <c r="A46" s="3" t="str">
        <f t="shared" si="0"/>
        <v/>
      </c>
      <c r="B46" s="3"/>
      <c r="C46" s="3"/>
      <c r="D46" s="3"/>
      <c r="E46" s="3" t="s">
        <v>25</v>
      </c>
      <c r="F46" s="3"/>
      <c r="G46" s="3"/>
      <c r="H46" s="3"/>
      <c r="I46" s="3"/>
      <c r="J46" s="3"/>
      <c r="K46" s="3"/>
      <c r="L46" s="3"/>
      <c r="M46" s="3" t="str">
        <f>IF(B46="","","AB"&amp;"_"&amp;IFERROR(VLOOKUP(B46,LOOKUPS!$K$2:$L$9,2,FALSE),"UNK")&amp;"_"&amp;IFERROR(VLOOKUP(C46,LOOKUPS!$N$2:$O$8,2,FALSE),"UNK")&amp;"_"&amp;UPPER(L46))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row>
    <row r="47" spans="1:29" x14ac:dyDescent="0.3">
      <c r="A47" s="3" t="str">
        <f t="shared" si="0"/>
        <v/>
      </c>
      <c r="B47" s="3"/>
      <c r="C47" s="3"/>
      <c r="D47" s="3"/>
      <c r="E47" s="3" t="s">
        <v>25</v>
      </c>
      <c r="F47" s="3"/>
      <c r="G47" s="3"/>
      <c r="H47" s="3"/>
      <c r="I47" s="3"/>
      <c r="J47" s="3"/>
      <c r="K47" s="3"/>
      <c r="L47" s="3"/>
      <c r="M47" s="3" t="str">
        <f>IF(B47="","","AB"&amp;"_"&amp;IFERROR(VLOOKUP(B47,LOOKUPS!$K$2:$L$9,2,FALSE),"UNK")&amp;"_"&amp;IFERROR(VLOOKUP(C47,LOOKUPS!$N$2:$O$8,2,FALSE),"UNK")&amp;"_"&amp;UPPER(L47))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row>
    <row r="48" spans="1:29" x14ac:dyDescent="0.3">
      <c r="A48" s="3" t="str">
        <f t="shared" si="0"/>
        <v/>
      </c>
      <c r="B48" s="3"/>
      <c r="C48" s="3"/>
      <c r="D48" s="3"/>
      <c r="E48" s="3" t="s">
        <v>25</v>
      </c>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C49" s="3"/>
      <c r="D49" s="3"/>
      <c r="E49" s="3" t="s">
        <v>25</v>
      </c>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C50" s="3"/>
      <c r="D50" s="3"/>
      <c r="E50" s="3" t="s">
        <v>25</v>
      </c>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C51" s="3"/>
      <c r="D51" s="3"/>
      <c r="E51" s="3" t="s">
        <v>25</v>
      </c>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C52" s="3"/>
      <c r="D52" s="3"/>
      <c r="E52" s="3" t="s">
        <v>25</v>
      </c>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C53" s="3"/>
      <c r="D53" s="3"/>
      <c r="E53" s="3" t="s">
        <v>25</v>
      </c>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C54" s="3"/>
      <c r="D54" s="3"/>
      <c r="E54" s="3" t="s">
        <v>25</v>
      </c>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C55" s="3"/>
      <c r="D55" s="3"/>
      <c r="E55" s="3" t="s">
        <v>25</v>
      </c>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C56" s="3"/>
      <c r="D56" s="3"/>
      <c r="E56" s="3" t="s">
        <v>25</v>
      </c>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C57" s="3"/>
      <c r="D57" s="3"/>
      <c r="E57" s="3" t="s">
        <v>25</v>
      </c>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C58" s="3"/>
      <c r="D58" s="3"/>
      <c r="E58" s="3" t="s">
        <v>25</v>
      </c>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C59" s="3"/>
      <c r="D59" s="3"/>
      <c r="E59" s="3" t="s">
        <v>25</v>
      </c>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C60" s="3"/>
      <c r="D60" s="3"/>
      <c r="E60" s="3" t="s">
        <v>25</v>
      </c>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C61" s="3"/>
      <c r="D61" s="3"/>
      <c r="E61" s="3" t="s">
        <v>25</v>
      </c>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C62" s="3"/>
      <c r="D62" s="3"/>
      <c r="E62" s="3" t="s">
        <v>25</v>
      </c>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C63" s="3"/>
      <c r="D63" s="3"/>
      <c r="E63" s="3" t="s">
        <v>25</v>
      </c>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C64" s="3"/>
      <c r="D64" s="3"/>
      <c r="E64" s="3" t="s">
        <v>25</v>
      </c>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C65" s="3"/>
      <c r="D65" s="3"/>
      <c r="E65" s="3" t="s">
        <v>25</v>
      </c>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C66" s="3"/>
      <c r="D66" s="3"/>
      <c r="E66" s="3" t="s">
        <v>25</v>
      </c>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C67" s="3"/>
      <c r="D67" s="3"/>
      <c r="E67" s="3" t="s">
        <v>25</v>
      </c>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C68" s="3"/>
      <c r="D68" s="3"/>
      <c r="E68" s="3" t="s">
        <v>25</v>
      </c>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C69" s="3"/>
      <c r="D69" s="3"/>
      <c r="E69" s="3" t="s">
        <v>25</v>
      </c>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C70" s="3"/>
      <c r="D70" s="3"/>
      <c r="E70" s="3" t="s">
        <v>25</v>
      </c>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C71" s="3"/>
      <c r="D71" s="3"/>
      <c r="E71" s="3" t="s">
        <v>25</v>
      </c>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C72" s="3"/>
      <c r="D72" s="3"/>
      <c r="E72" s="3" t="s">
        <v>25</v>
      </c>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C73" s="3"/>
      <c r="D73" s="3"/>
      <c r="E73" s="3" t="s">
        <v>25</v>
      </c>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C74" s="3"/>
      <c r="D74" s="3"/>
      <c r="E74" s="3" t="s">
        <v>25</v>
      </c>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C75" s="3"/>
      <c r="D75" s="3"/>
      <c r="E75" s="3" t="s">
        <v>25</v>
      </c>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C76" s="3"/>
      <c r="D76" s="3"/>
      <c r="E76" s="3" t="s">
        <v>25</v>
      </c>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C77" s="3"/>
      <c r="D77" s="3"/>
      <c r="E77" s="3" t="s">
        <v>25</v>
      </c>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C78" s="3"/>
      <c r="D78" s="3"/>
      <c r="E78" s="3" t="s">
        <v>25</v>
      </c>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C79" s="3"/>
      <c r="D79" s="3"/>
      <c r="E79" s="3" t="s">
        <v>25</v>
      </c>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C80" s="3"/>
      <c r="D80" s="3"/>
      <c r="E80" s="3" t="s">
        <v>25</v>
      </c>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C81" s="3"/>
      <c r="D81" s="3"/>
      <c r="E81" s="3" t="s">
        <v>25</v>
      </c>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C82" s="3"/>
      <c r="D82" s="3"/>
      <c r="E82" s="3" t="s">
        <v>25</v>
      </c>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C83" s="3"/>
      <c r="D83" s="3"/>
      <c r="E83" s="3" t="s">
        <v>25</v>
      </c>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C84" s="3"/>
      <c r="D84" s="3"/>
      <c r="E84" s="3" t="s">
        <v>25</v>
      </c>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C85" s="3"/>
      <c r="D85" s="3"/>
      <c r="E85" s="3" t="s">
        <v>25</v>
      </c>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C86" s="3"/>
      <c r="D86" s="3"/>
      <c r="E86" s="3" t="s">
        <v>25</v>
      </c>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C87" s="3"/>
      <c r="D87" s="3"/>
      <c r="E87" s="3" t="s">
        <v>25</v>
      </c>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C88" s="3"/>
      <c r="D88" s="3"/>
      <c r="E88" s="3" t="s">
        <v>25</v>
      </c>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C89" s="3"/>
      <c r="D89" s="3"/>
      <c r="E89" s="3" t="s">
        <v>25</v>
      </c>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C90" s="3"/>
      <c r="D90" s="3"/>
      <c r="E90" s="3" t="s">
        <v>25</v>
      </c>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C91" s="3"/>
      <c r="D91" s="3"/>
      <c r="E91" s="3" t="s">
        <v>25</v>
      </c>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C92" s="3"/>
      <c r="D92" s="3"/>
      <c r="E92" s="3" t="s">
        <v>25</v>
      </c>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C93" s="3"/>
      <c r="D93" s="3"/>
      <c r="E93" s="3" t="s">
        <v>25</v>
      </c>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C94" s="3"/>
      <c r="D94" s="3"/>
      <c r="E94" s="3" t="s">
        <v>25</v>
      </c>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C95" s="3"/>
      <c r="D95" s="3"/>
      <c r="E95" s="3" t="s">
        <v>25</v>
      </c>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C96" s="3"/>
      <c r="D96" s="3"/>
      <c r="E96" s="3" t="s">
        <v>25</v>
      </c>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C97" s="3"/>
      <c r="D97" s="3"/>
      <c r="E97" s="3" t="s">
        <v>25</v>
      </c>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C98" s="3"/>
      <c r="D98" s="3"/>
      <c r="E98" s="3" t="s">
        <v>25</v>
      </c>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C99" s="3"/>
      <c r="D99" s="3"/>
      <c r="E99" s="3" t="s">
        <v>25</v>
      </c>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C100" s="3"/>
      <c r="D100" s="3"/>
      <c r="E100" s="3" t="s">
        <v>25</v>
      </c>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C101" s="3"/>
      <c r="D101" s="3"/>
      <c r="E101" s="3" t="s">
        <v>25</v>
      </c>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C102" s="3"/>
      <c r="D102" s="3"/>
      <c r="E102" s="3" t="s">
        <v>25</v>
      </c>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C103" s="3"/>
      <c r="D103" s="3"/>
      <c r="E103" s="3" t="s">
        <v>25</v>
      </c>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C104" s="3"/>
      <c r="D104" s="3"/>
      <c r="E104" s="3" t="s">
        <v>25</v>
      </c>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C105" s="3"/>
      <c r="D105" s="3"/>
      <c r="E105" s="3" t="s">
        <v>25</v>
      </c>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C106" s="3"/>
      <c r="D106" s="3"/>
      <c r="E106" s="3" t="s">
        <v>25</v>
      </c>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C107" s="3"/>
      <c r="D107" s="3"/>
      <c r="E107" s="3" t="s">
        <v>25</v>
      </c>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C108" s="3"/>
      <c r="D108" s="3"/>
      <c r="E108" s="3" t="s">
        <v>25</v>
      </c>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C109" s="3"/>
      <c r="D109" s="3"/>
      <c r="E109" s="3" t="s">
        <v>25</v>
      </c>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C110" s="3"/>
      <c r="D110" s="3"/>
      <c r="E110" s="3" t="s">
        <v>25</v>
      </c>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C111" s="3"/>
      <c r="D111" s="3"/>
      <c r="E111" s="3" t="s">
        <v>25</v>
      </c>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C112" s="3"/>
      <c r="D112" s="3"/>
      <c r="E112" s="3" t="s">
        <v>25</v>
      </c>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C113" s="3"/>
      <c r="D113" s="3"/>
      <c r="E113" s="3" t="s">
        <v>25</v>
      </c>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C114" s="3"/>
      <c r="D114" s="3"/>
      <c r="E114" s="3" t="s">
        <v>25</v>
      </c>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C115" s="3"/>
      <c r="D115" s="3"/>
      <c r="E115" s="3" t="s">
        <v>25</v>
      </c>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C116" s="3"/>
      <c r="D116" s="3"/>
      <c r="E116" s="3" t="s">
        <v>25</v>
      </c>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C117" s="3"/>
      <c r="D117" s="3"/>
      <c r="E117" s="3" t="s">
        <v>25</v>
      </c>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C118" s="3"/>
      <c r="D118" s="3"/>
      <c r="E118" s="3" t="s">
        <v>25</v>
      </c>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C119" s="3"/>
      <c r="D119" s="3"/>
      <c r="E119" s="3" t="s">
        <v>25</v>
      </c>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C120" s="3"/>
      <c r="D120" s="3"/>
      <c r="E120" s="3" t="s">
        <v>25</v>
      </c>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C121" s="3"/>
      <c r="D121" s="3"/>
      <c r="E121" s="3" t="s">
        <v>25</v>
      </c>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C122" s="3"/>
      <c r="D122" s="3"/>
      <c r="E122" s="3" t="s">
        <v>25</v>
      </c>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C123" s="3"/>
      <c r="D123" s="3"/>
      <c r="E123" s="3" t="s">
        <v>25</v>
      </c>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C124" s="3"/>
      <c r="D124" s="3"/>
      <c r="E124" s="3" t="s">
        <v>25</v>
      </c>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C125" s="3"/>
      <c r="D125" s="3"/>
      <c r="E125" s="3" t="s">
        <v>25</v>
      </c>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C126" s="3"/>
      <c r="D126" s="3"/>
      <c r="E126" s="3" t="s">
        <v>25</v>
      </c>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C127" s="3"/>
      <c r="D127" s="3"/>
      <c r="E127" s="3" t="s">
        <v>25</v>
      </c>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C128" s="3"/>
      <c r="D128" s="3"/>
      <c r="E128" s="3" t="s">
        <v>25</v>
      </c>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C129" s="3"/>
      <c r="D129" s="3"/>
      <c r="E129" s="3" t="s">
        <v>25</v>
      </c>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C130" s="3"/>
      <c r="D130" s="3"/>
      <c r="E130" s="3" t="s">
        <v>25</v>
      </c>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C131" s="3"/>
      <c r="D131" s="3"/>
      <c r="E131" s="3" t="s">
        <v>25</v>
      </c>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C132" s="3"/>
      <c r="D132" s="3"/>
      <c r="E132" s="3" t="s">
        <v>25</v>
      </c>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C133" s="3"/>
      <c r="D133" s="3"/>
      <c r="E133" s="3" t="s">
        <v>25</v>
      </c>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C134" s="3"/>
      <c r="D134" s="3"/>
      <c r="E134" s="3" t="s">
        <v>25</v>
      </c>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C135" s="3"/>
      <c r="D135" s="3"/>
      <c r="E135" s="3" t="s">
        <v>25</v>
      </c>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t="s">
        <v>25</v>
      </c>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t="s">
        <v>25</v>
      </c>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t="s">
        <v>25</v>
      </c>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t="s">
        <v>25</v>
      </c>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t="s">
        <v>25</v>
      </c>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t="s">
        <v>25</v>
      </c>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t="s">
        <v>25</v>
      </c>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t="s">
        <v>25</v>
      </c>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t="s">
        <v>25</v>
      </c>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t="s">
        <v>25</v>
      </c>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t="s">
        <v>25</v>
      </c>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t="s">
        <v>25</v>
      </c>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t="s">
        <v>25</v>
      </c>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t="s">
        <v>25</v>
      </c>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t="s">
        <v>25</v>
      </c>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t="s">
        <v>25</v>
      </c>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t="s">
        <v>25</v>
      </c>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t="s">
        <v>25</v>
      </c>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t="s">
        <v>25</v>
      </c>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t="s">
        <v>25</v>
      </c>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t="s">
        <v>25</v>
      </c>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t="s">
        <v>25</v>
      </c>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t="s">
        <v>25</v>
      </c>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t="s">
        <v>25</v>
      </c>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t="s">
        <v>25</v>
      </c>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t="s">
        <v>25</v>
      </c>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t="s">
        <v>25</v>
      </c>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t="s">
        <v>25</v>
      </c>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t="s">
        <v>25</v>
      </c>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t="s">
        <v>25</v>
      </c>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t="s">
        <v>25</v>
      </c>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t="s">
        <v>25</v>
      </c>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t="s">
        <v>25</v>
      </c>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t="s">
        <v>25</v>
      </c>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N1" workbookViewId="0">
      <pane ySplit="1" topLeftCell="A4" activePane="bottomLeft" state="frozen"/>
      <selection pane="bottomLeft" activeCell="AD8" sqref="AD8"/>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128</v>
      </c>
      <c r="J2" s="3" t="s">
        <v>129</v>
      </c>
      <c r="K2" s="3">
        <v>1</v>
      </c>
      <c r="L2" s="3" t="s">
        <v>130</v>
      </c>
      <c r="M2" s="3" t="str">
        <f>IF(B2="","","LIST"&amp;"_"&amp;IFERROR(VLOOKUP(B2,LOOKUPS!$K$2:$L$9,2,FALSE),"UNK")&amp;"_"&amp;IFERROR(VLOOKUP(C2,LOOKUPS!$N$2:$O$8,2,FALSE),"UNK")&amp;"_"&amp;UPPER(L2))</f>
        <v>LIST_ITNIC_REQ_EIS</v>
      </c>
      <c r="N2" s="3">
        <f>IF(M2="","",COUNTIF($M$2:M2,M2))</f>
        <v>1</v>
      </c>
      <c r="O2" s="3" t="s">
        <v>149</v>
      </c>
      <c r="P2" s="3">
        <v>4</v>
      </c>
      <c r="Q2" s="3" t="s">
        <v>150</v>
      </c>
      <c r="R2" s="3">
        <v>1000000</v>
      </c>
      <c r="S2" s="3" t="s">
        <v>24</v>
      </c>
      <c r="T2" s="3" t="s">
        <v>151</v>
      </c>
      <c r="U2" s="3">
        <v>0.3</v>
      </c>
      <c r="V2" s="3" t="s">
        <v>24</v>
      </c>
      <c r="W2" s="3" t="s">
        <v>152</v>
      </c>
      <c r="X2" s="3">
        <v>200000</v>
      </c>
      <c r="Y2" s="3" t="s">
        <v>24</v>
      </c>
      <c r="Z2" s="3" t="s">
        <v>153</v>
      </c>
      <c r="AA2" s="3">
        <v>0.5</v>
      </c>
      <c r="AB2" s="3" t="s">
        <v>24</v>
      </c>
      <c r="AC2" s="3"/>
      <c r="AD2" s="3"/>
      <c r="AE2" s="3"/>
      <c r="AF2" s="3" t="s">
        <v>17</v>
      </c>
      <c r="AG2" s="3" t="s">
        <v>154</v>
      </c>
    </row>
    <row r="3" spans="1:33" ht="86.4" x14ac:dyDescent="0.3">
      <c r="A3" s="3" t="str">
        <f t="shared" si="0"/>
        <v>LIST_ITNIC_REQ_EIS_002</v>
      </c>
      <c r="B3" s="3" t="s">
        <v>21</v>
      </c>
      <c r="C3" s="3" t="s">
        <v>22</v>
      </c>
      <c r="D3" s="3" t="s">
        <v>118</v>
      </c>
      <c r="E3" s="3" t="s">
        <v>31</v>
      </c>
      <c r="F3" s="3">
        <v>3</v>
      </c>
      <c r="G3" s="3" t="s">
        <v>16</v>
      </c>
      <c r="H3" s="3" t="s">
        <v>17</v>
      </c>
      <c r="I3" s="3" t="s">
        <v>128</v>
      </c>
      <c r="J3" s="3" t="s">
        <v>129</v>
      </c>
      <c r="K3" s="3">
        <v>1</v>
      </c>
      <c r="L3" s="3" t="s">
        <v>130</v>
      </c>
      <c r="M3" s="3" t="str">
        <f>IF(B3="","","LIST"&amp;"_"&amp;IFERROR(VLOOKUP(B3,LOOKUPS!$K$2:$L$9,2,FALSE),"UNK")&amp;"_"&amp;IFERROR(VLOOKUP(C3,LOOKUPS!$N$2:$O$8,2,FALSE),"UNK")&amp;"_"&amp;UPPER(L3))</f>
        <v>LIST_ITNIC_REQ_EIS</v>
      </c>
      <c r="N3" s="3">
        <f>IF(M3="","",COUNTIF($M$2:M3,M3))</f>
        <v>2</v>
      </c>
      <c r="O3" s="3" t="s">
        <v>155</v>
      </c>
      <c r="P3" s="3">
        <v>3</v>
      </c>
      <c r="Q3" s="3" t="s">
        <v>156</v>
      </c>
      <c r="R3" s="3">
        <v>1</v>
      </c>
      <c r="S3" s="3" t="s">
        <v>24</v>
      </c>
      <c r="T3" s="3" t="s">
        <v>157</v>
      </c>
      <c r="U3" s="3">
        <v>3</v>
      </c>
      <c r="V3" s="3" t="s">
        <v>24</v>
      </c>
      <c r="W3" s="3" t="s">
        <v>158</v>
      </c>
      <c r="X3" s="3" t="s">
        <v>159</v>
      </c>
      <c r="Y3" s="3" t="s">
        <v>24</v>
      </c>
      <c r="Z3" s="3"/>
      <c r="AA3" s="3"/>
      <c r="AB3" s="3"/>
      <c r="AC3" s="3"/>
      <c r="AD3" s="3"/>
      <c r="AE3" s="3"/>
      <c r="AF3" s="3" t="s">
        <v>17</v>
      </c>
      <c r="AG3" s="3" t="s">
        <v>160</v>
      </c>
    </row>
    <row r="4" spans="1:33" ht="72" x14ac:dyDescent="0.3">
      <c r="A4" s="3" t="str">
        <f t="shared" si="0"/>
        <v>LIST_ITNIC_REQ_PSC_001</v>
      </c>
      <c r="B4" s="3" t="s">
        <v>21</v>
      </c>
      <c r="C4" s="3" t="s">
        <v>22</v>
      </c>
      <c r="D4" s="3" t="s">
        <v>170</v>
      </c>
      <c r="E4" s="3" t="s">
        <v>31</v>
      </c>
      <c r="F4" s="3">
        <v>3</v>
      </c>
      <c r="G4" s="3" t="s">
        <v>16</v>
      </c>
      <c r="H4" s="3" t="s">
        <v>17</v>
      </c>
      <c r="I4" s="3" t="s">
        <v>180</v>
      </c>
      <c r="J4" s="3" t="s">
        <v>129</v>
      </c>
      <c r="K4" s="3">
        <v>1</v>
      </c>
      <c r="L4" s="3" t="s">
        <v>172</v>
      </c>
      <c r="M4" s="3" t="str">
        <f>IF(B4="","","LIST"&amp;"_"&amp;IFERROR(VLOOKUP(B4,LOOKUPS!$K$2:$L$9,2,FALSE),"UNK")&amp;"_"&amp;IFERROR(VLOOKUP(C4,LOOKUPS!$N$2:$O$8,2,FALSE),"UNK")&amp;"_"&amp;UPPER(L4))</f>
        <v>LIST_ITNIC_REQ_PSC</v>
      </c>
      <c r="N4" s="3">
        <f>IF(M4="","",COUNTIF($M$2:M4,M4))</f>
        <v>1</v>
      </c>
      <c r="O4" s="3" t="s">
        <v>192</v>
      </c>
      <c r="P4" s="3">
        <v>5</v>
      </c>
      <c r="Q4" s="3" t="s">
        <v>193</v>
      </c>
      <c r="R4" s="3" t="s">
        <v>194</v>
      </c>
      <c r="S4" s="3" t="s">
        <v>24</v>
      </c>
      <c r="T4" s="3" t="s">
        <v>195</v>
      </c>
      <c r="U4" s="3" t="s">
        <v>196</v>
      </c>
      <c r="V4" s="3" t="s">
        <v>24</v>
      </c>
      <c r="W4" s="3" t="s">
        <v>197</v>
      </c>
      <c r="X4" s="3" t="s">
        <v>198</v>
      </c>
      <c r="Y4" s="3" t="s">
        <v>24</v>
      </c>
      <c r="Z4" s="3" t="s">
        <v>199</v>
      </c>
      <c r="AA4" s="3" t="s">
        <v>200</v>
      </c>
      <c r="AB4" s="3" t="s">
        <v>24</v>
      </c>
      <c r="AC4" s="3" t="s">
        <v>201</v>
      </c>
      <c r="AD4" s="3" t="s">
        <v>202</v>
      </c>
      <c r="AE4" s="3" t="s">
        <v>24</v>
      </c>
      <c r="AF4" s="3" t="s">
        <v>17</v>
      </c>
      <c r="AG4" s="3" t="s">
        <v>203</v>
      </c>
    </row>
    <row r="5" spans="1:33" ht="100.8" x14ac:dyDescent="0.3">
      <c r="A5" s="3" t="str">
        <f t="shared" si="0"/>
        <v>LIST_ITNIC_REQ_PSC_002</v>
      </c>
      <c r="B5" s="3" t="s">
        <v>21</v>
      </c>
      <c r="C5" s="3" t="s">
        <v>22</v>
      </c>
      <c r="D5" s="3" t="s">
        <v>170</v>
      </c>
      <c r="E5" s="3" t="s">
        <v>31</v>
      </c>
      <c r="F5" s="3">
        <v>3</v>
      </c>
      <c r="G5" s="3" t="s">
        <v>16</v>
      </c>
      <c r="H5" s="3" t="s">
        <v>17</v>
      </c>
      <c r="I5" s="3" t="s">
        <v>204</v>
      </c>
      <c r="J5" s="3" t="s">
        <v>129</v>
      </c>
      <c r="K5" s="3">
        <v>1</v>
      </c>
      <c r="L5" s="3" t="s">
        <v>172</v>
      </c>
      <c r="M5" s="3" t="str">
        <f>IF(B5="","","LIST"&amp;"_"&amp;IFERROR(VLOOKUP(B5,LOOKUPS!$K$2:$L$9,2,FALSE),"UNK")&amp;"_"&amp;IFERROR(VLOOKUP(C5,LOOKUPS!$N$2:$O$8,2,FALSE),"UNK")&amp;"_"&amp;UPPER(L5))</f>
        <v>LIST_ITNIC_REQ_PSC</v>
      </c>
      <c r="N5" s="3">
        <f>IF(M5="","",COUNTIF($M$2:M5,M5))</f>
        <v>2</v>
      </c>
      <c r="O5" s="3" t="s">
        <v>205</v>
      </c>
      <c r="P5" s="3">
        <v>4</v>
      </c>
      <c r="Q5" s="3" t="s">
        <v>206</v>
      </c>
      <c r="R5" s="3" t="s">
        <v>207</v>
      </c>
      <c r="S5" s="3" t="s">
        <v>24</v>
      </c>
      <c r="T5" s="3" t="s">
        <v>208</v>
      </c>
      <c r="U5" s="3" t="s">
        <v>209</v>
      </c>
      <c r="V5" s="3" t="s">
        <v>24</v>
      </c>
      <c r="W5" s="3" t="s">
        <v>210</v>
      </c>
      <c r="X5" s="3">
        <v>45</v>
      </c>
      <c r="Y5" s="3" t="s">
        <v>24</v>
      </c>
      <c r="Z5" s="3" t="s">
        <v>211</v>
      </c>
      <c r="AA5" s="3" t="s">
        <v>212</v>
      </c>
      <c r="AB5" s="3" t="s">
        <v>24</v>
      </c>
      <c r="AC5" s="3"/>
      <c r="AD5" s="3"/>
      <c r="AE5" s="3"/>
      <c r="AF5" s="3" t="s">
        <v>17</v>
      </c>
      <c r="AG5" s="3" t="s">
        <v>213</v>
      </c>
    </row>
    <row r="6" spans="1:33" ht="57.6" x14ac:dyDescent="0.3">
      <c r="A6" s="3" t="str">
        <f t="shared" si="0"/>
        <v>LIST_ITNIC_REQ_SHS_001</v>
      </c>
      <c r="B6" t="s">
        <v>21</v>
      </c>
      <c r="C6" t="s">
        <v>22</v>
      </c>
      <c r="D6" t="s">
        <v>282</v>
      </c>
      <c r="E6" t="s">
        <v>31</v>
      </c>
      <c r="F6">
        <v>3</v>
      </c>
      <c r="G6" t="s">
        <v>16</v>
      </c>
      <c r="H6" t="s">
        <v>17</v>
      </c>
      <c r="I6" t="s">
        <v>283</v>
      </c>
      <c r="J6" t="s">
        <v>129</v>
      </c>
      <c r="K6">
        <v>1</v>
      </c>
      <c r="L6" t="s">
        <v>223</v>
      </c>
      <c r="M6" s="3" t="str">
        <f>IF(B6="","","LIST"&amp;"_"&amp;IFERROR(VLOOKUP(B6,LOOKUPS!$K$2:$L$9,2,FALSE),"UNK")&amp;"_"&amp;IFERROR(VLOOKUP(C6,LOOKUPS!$N$2:$O$8,2,FALSE),"UNK")&amp;"_"&amp;UPPER(L6))</f>
        <v>LIST_ITNIC_REQ_SHS</v>
      </c>
      <c r="N6" s="3">
        <f>IF(M6="","",COUNTIF($M$2:M6,M6))</f>
        <v>1</v>
      </c>
      <c r="O6" t="s">
        <v>284</v>
      </c>
      <c r="P6">
        <v>3</v>
      </c>
      <c r="Q6" t="s">
        <v>285</v>
      </c>
      <c r="R6" t="s">
        <v>286</v>
      </c>
      <c r="S6" t="s">
        <v>24</v>
      </c>
      <c r="T6" t="s">
        <v>287</v>
      </c>
      <c r="U6" t="s">
        <v>288</v>
      </c>
      <c r="V6" t="s">
        <v>24</v>
      </c>
      <c r="W6" t="s">
        <v>289</v>
      </c>
      <c r="X6" t="s">
        <v>290</v>
      </c>
      <c r="Y6" t="s">
        <v>24</v>
      </c>
      <c r="AF6" t="s">
        <v>17</v>
      </c>
      <c r="AG6" s="6" t="s">
        <v>291</v>
      </c>
    </row>
    <row r="7" spans="1:33" ht="72" x14ac:dyDescent="0.3">
      <c r="A7" s="3" t="str">
        <f t="shared" si="0"/>
        <v>LIST_ITNIC_REQ_SHS_002</v>
      </c>
      <c r="B7" s="3" t="s">
        <v>21</v>
      </c>
      <c r="C7" s="3" t="s">
        <v>22</v>
      </c>
      <c r="D7" s="3" t="s">
        <v>221</v>
      </c>
      <c r="E7" s="3" t="s">
        <v>31</v>
      </c>
      <c r="F7" s="3">
        <v>3</v>
      </c>
      <c r="G7" s="3" t="s">
        <v>16</v>
      </c>
      <c r="H7" s="3" t="s">
        <v>17</v>
      </c>
      <c r="I7" s="3" t="s">
        <v>243</v>
      </c>
      <c r="J7" s="3" t="s">
        <v>129</v>
      </c>
      <c r="K7" s="3">
        <v>1</v>
      </c>
      <c r="L7" s="3" t="s">
        <v>223</v>
      </c>
      <c r="M7" s="3" t="str">
        <f>IF(B7="","","LIST"&amp;"_"&amp;IFERROR(VLOOKUP(B7,LOOKUPS!$K$2:$L$9,2,FALSE),"UNK")&amp;"_"&amp;IFERROR(VLOOKUP(C7,LOOKUPS!$N$2:$O$8,2,FALSE),"UNK")&amp;"_"&amp;UPPER(L7))</f>
        <v>LIST_ITNIC_REQ_SHS</v>
      </c>
      <c r="N7" s="3">
        <f>IF(M7="","",COUNTIF($M$2:M7,M7))</f>
        <v>2</v>
      </c>
      <c r="O7" s="3" t="s">
        <v>244</v>
      </c>
      <c r="P7" s="3">
        <v>5</v>
      </c>
      <c r="Q7" s="3" t="s">
        <v>245</v>
      </c>
      <c r="R7" s="3">
        <v>60000</v>
      </c>
      <c r="S7" s="3" t="s">
        <v>24</v>
      </c>
      <c r="T7" s="3" t="s">
        <v>246</v>
      </c>
      <c r="U7" s="3">
        <v>3</v>
      </c>
      <c r="V7" s="3" t="s">
        <v>24</v>
      </c>
      <c r="W7" s="3" t="s">
        <v>247</v>
      </c>
      <c r="X7" s="3">
        <v>10</v>
      </c>
      <c r="Y7" s="3" t="s">
        <v>24</v>
      </c>
      <c r="Z7" s="3" t="s">
        <v>248</v>
      </c>
      <c r="AA7" s="3">
        <v>250000</v>
      </c>
      <c r="AB7" s="3" t="s">
        <v>24</v>
      </c>
      <c r="AC7" s="3" t="s">
        <v>249</v>
      </c>
      <c r="AD7" s="3">
        <v>3000000</v>
      </c>
      <c r="AE7" s="3" t="s">
        <v>24</v>
      </c>
      <c r="AF7" s="3" t="s">
        <v>17</v>
      </c>
      <c r="AG7" s="3" t="s">
        <v>250</v>
      </c>
    </row>
    <row r="8" spans="1:33" ht="100.8" x14ac:dyDescent="0.3">
      <c r="A8" s="3" t="str">
        <f t="shared" si="0"/>
        <v>LIST_ITNIC_REQ_SHS_003</v>
      </c>
      <c r="B8" s="3" t="s">
        <v>21</v>
      </c>
      <c r="C8" s="3" t="s">
        <v>22</v>
      </c>
      <c r="D8" s="3" t="s">
        <v>221</v>
      </c>
      <c r="E8" s="3" t="s">
        <v>31</v>
      </c>
      <c r="F8" s="3">
        <v>3</v>
      </c>
      <c r="G8" s="3" t="s">
        <v>16</v>
      </c>
      <c r="H8" s="3" t="s">
        <v>17</v>
      </c>
      <c r="I8" s="3" t="s">
        <v>251</v>
      </c>
      <c r="J8" s="3" t="s">
        <v>129</v>
      </c>
      <c r="K8" s="3">
        <v>1</v>
      </c>
      <c r="L8" s="3" t="s">
        <v>223</v>
      </c>
      <c r="M8" s="3" t="str">
        <f>IF(B8="","","LIST"&amp;"_"&amp;IFERROR(VLOOKUP(B8,LOOKUPS!$K$2:$L$9,2,FALSE),"UNK")&amp;"_"&amp;IFERROR(VLOOKUP(C8,LOOKUPS!$N$2:$O$8,2,FALSE),"UNK")&amp;"_"&amp;UPPER(L8))</f>
        <v>LIST_ITNIC_REQ_SHS</v>
      </c>
      <c r="N8" s="3">
        <f>IF(M8="","",COUNTIF($M$2:M8,M8))</f>
        <v>3</v>
      </c>
      <c r="O8" s="3" t="s">
        <v>252</v>
      </c>
      <c r="P8" s="3">
        <v>5</v>
      </c>
      <c r="Q8" s="3" t="s">
        <v>253</v>
      </c>
      <c r="R8" s="3">
        <v>5</v>
      </c>
      <c r="S8" s="3" t="s">
        <v>24</v>
      </c>
      <c r="T8" s="3" t="s">
        <v>254</v>
      </c>
      <c r="U8" s="3">
        <v>3</v>
      </c>
      <c r="V8" s="3" t="s">
        <v>24</v>
      </c>
      <c r="W8" s="3" t="s">
        <v>255</v>
      </c>
      <c r="X8" s="3" t="s">
        <v>256</v>
      </c>
      <c r="Y8" s="3" t="s">
        <v>24</v>
      </c>
      <c r="Z8" s="3" t="s">
        <v>257</v>
      </c>
      <c r="AA8" s="3">
        <v>3</v>
      </c>
      <c r="AB8" s="3" t="s">
        <v>24</v>
      </c>
      <c r="AC8" s="3" t="s">
        <v>258</v>
      </c>
      <c r="AD8" s="3">
        <v>5</v>
      </c>
      <c r="AE8" s="3" t="s">
        <v>24</v>
      </c>
      <c r="AF8" s="3" t="s">
        <v>17</v>
      </c>
      <c r="AG8" s="3" t="s">
        <v>259</v>
      </c>
    </row>
    <row r="9" spans="1:33" x14ac:dyDescent="0.3">
      <c r="A9" s="3" t="str">
        <f t="shared" si="0"/>
        <v/>
      </c>
      <c r="B9" s="3"/>
      <c r="C9" s="3"/>
      <c r="D9" s="3"/>
      <c r="E9" s="3" t="s">
        <v>31</v>
      </c>
      <c r="F9" s="3"/>
      <c r="G9" s="3"/>
      <c r="H9" s="3"/>
      <c r="I9" s="3"/>
      <c r="J9" s="3"/>
      <c r="K9" s="3"/>
      <c r="L9" s="3"/>
      <c r="M9" s="3" t="str">
        <f>IF(B9="","","LIST"&amp;"_"&amp;IFERROR(VLOOKUP(B9,LOOKUPS!$K$2:$L$9,2,FALSE),"UNK")&amp;"_"&amp;IFERROR(VLOOKUP(C9,LOOKUPS!$N$2:$O$8,2,FALSE),"UNK")&amp;"_"&amp;UPPER(L9))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c r="AD9" s="3"/>
      <c r="AE9" s="3"/>
      <c r="AF9" s="3"/>
      <c r="AG9" s="3"/>
    </row>
    <row r="10" spans="1:33" x14ac:dyDescent="0.3">
      <c r="A10" s="3" t="str">
        <f t="shared" si="0"/>
        <v/>
      </c>
      <c r="B10" s="3"/>
      <c r="C10" s="3"/>
      <c r="D10" s="3"/>
      <c r="E10" s="3" t="s">
        <v>31</v>
      </c>
      <c r="F10" s="3"/>
      <c r="G10" s="3"/>
      <c r="H10" s="3"/>
      <c r="I10" s="3"/>
      <c r="J10" s="3"/>
      <c r="K10" s="3"/>
      <c r="L10" s="3"/>
      <c r="M10" s="3" t="str">
        <f>IF(B10="","","LIST"&amp;"_"&amp;IFERROR(VLOOKUP(B10,LOOKUPS!$K$2:$L$9,2,FALSE),"UNK")&amp;"_"&amp;IFERROR(VLOOKUP(C10,LOOKUPS!$N$2:$O$8,2,FALSE),"UNK")&amp;"_"&amp;UPPER(L10))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c r="AD10" s="3"/>
      <c r="AE10" s="3"/>
      <c r="AF10" s="3"/>
      <c r="AG10" s="3"/>
    </row>
    <row r="11" spans="1:33" x14ac:dyDescent="0.3">
      <c r="A11" s="3" t="str">
        <f t="shared" si="0"/>
        <v/>
      </c>
      <c r="B11" s="3"/>
      <c r="C11" s="3"/>
      <c r="D11" s="3"/>
      <c r="E11" s="3" t="s">
        <v>31</v>
      </c>
      <c r="F11" s="3"/>
      <c r="G11" s="3"/>
      <c r="H11" s="3"/>
      <c r="I11" s="3"/>
      <c r="J11" s="3"/>
      <c r="K11" s="3"/>
      <c r="L11" s="3"/>
      <c r="M11" s="3" t="str">
        <f>IF(B11="","","LIST"&amp;"_"&amp;IFERROR(VLOOKUP(B11,LOOKUPS!$K$2:$L$9,2,FALSE),"UNK")&amp;"_"&amp;IFERROR(VLOOKUP(C11,LOOKUPS!$N$2:$O$8,2,FALSE),"UNK")&amp;"_"&amp;UPPER(L11))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c r="AD11" s="3"/>
      <c r="AE11" s="3"/>
      <c r="AF11" s="3"/>
      <c r="AG11" s="3"/>
    </row>
    <row r="12" spans="1:33" x14ac:dyDescent="0.3">
      <c r="A12" s="3" t="str">
        <f t="shared" si="0"/>
        <v/>
      </c>
      <c r="B12" s="3"/>
      <c r="C12" s="3"/>
      <c r="D12" s="3"/>
      <c r="E12" s="3" t="s">
        <v>31</v>
      </c>
      <c r="F12" s="3"/>
      <c r="G12" s="3"/>
      <c r="H12" s="3"/>
      <c r="I12" s="3"/>
      <c r="J12" s="3"/>
      <c r="K12" s="3"/>
      <c r="L12" s="3"/>
      <c r="M12" s="3" t="str">
        <f>IF(B12="","","LIST"&amp;"_"&amp;IFERROR(VLOOKUP(B12,LOOKUPS!$K$2:$L$9,2,FALSE),"UNK")&amp;"_"&amp;IFERROR(VLOOKUP(C12,LOOKUPS!$N$2:$O$8,2,FALSE),"UNK")&amp;"_"&amp;UPPER(L12))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c r="AD12" s="3"/>
      <c r="AE12" s="3"/>
      <c r="AF12" s="3"/>
      <c r="AG12" s="3"/>
    </row>
    <row r="13" spans="1:33" x14ac:dyDescent="0.3">
      <c r="A13" s="3" t="str">
        <f t="shared" si="0"/>
        <v/>
      </c>
      <c r="B13" s="3"/>
      <c r="C13" s="3"/>
      <c r="D13" s="3"/>
      <c r="E13" s="3" t="s">
        <v>31</v>
      </c>
      <c r="F13" s="3"/>
      <c r="G13" s="3"/>
      <c r="H13" s="3"/>
      <c r="I13" s="3"/>
      <c r="J13" s="3"/>
      <c r="K13" s="3"/>
      <c r="L13" s="3"/>
      <c r="M13" s="3" t="str">
        <f>IF(B13="","","LIST"&amp;"_"&amp;IFERROR(VLOOKUP(B13,LOOKUPS!$K$2:$L$9,2,FALSE),"UNK")&amp;"_"&amp;IFERROR(VLOOKUP(C13,LOOKUPS!$N$2:$O$8,2,FALSE),"UNK")&amp;"_"&amp;UPPER(L13))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c r="AD13" s="3"/>
      <c r="AE13" s="3"/>
      <c r="AF13" s="3"/>
      <c r="AG13" s="3"/>
    </row>
    <row r="14" spans="1:33" x14ac:dyDescent="0.3">
      <c r="A14" s="3" t="str">
        <f t="shared" si="0"/>
        <v/>
      </c>
      <c r="B14" s="3"/>
      <c r="C14" s="3"/>
      <c r="D14" s="3"/>
      <c r="E14" s="3" t="s">
        <v>31</v>
      </c>
      <c r="F14" s="3"/>
      <c r="G14" s="3"/>
      <c r="H14" s="3"/>
      <c r="I14" s="3"/>
      <c r="J14" s="3"/>
      <c r="K14" s="3"/>
      <c r="L14" s="3"/>
      <c r="M14" s="3" t="str">
        <f>IF(B14="","","LIST"&amp;"_"&amp;IFERROR(VLOOKUP(B14,LOOKUPS!$K$2:$L$9,2,FALSE),"UNK")&amp;"_"&amp;IFERROR(VLOOKUP(C14,LOOKUPS!$N$2:$O$8,2,FALSE),"UNK")&amp;"_"&amp;UPPER(L14))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c r="AD14" s="3"/>
      <c r="AE14" s="3"/>
      <c r="AF14" s="3"/>
      <c r="AG14" s="3"/>
    </row>
    <row r="15" spans="1:33" x14ac:dyDescent="0.3">
      <c r="A15" s="3" t="str">
        <f t="shared" si="0"/>
        <v/>
      </c>
      <c r="B15" s="3"/>
      <c r="C15" s="3"/>
      <c r="D15" s="3"/>
      <c r="E15" s="3" t="s">
        <v>31</v>
      </c>
      <c r="F15" s="3"/>
      <c r="G15" s="3"/>
      <c r="H15" s="3"/>
      <c r="I15" s="3"/>
      <c r="J15" s="3"/>
      <c r="K15" s="3"/>
      <c r="L15" s="3"/>
      <c r="M15" s="3" t="str">
        <f>IF(B15="","","LIST"&amp;"_"&amp;IFERROR(VLOOKUP(B15,LOOKUPS!$K$2:$L$9,2,FALSE),"UNK")&amp;"_"&amp;IFERROR(VLOOKUP(C15,LOOKUPS!$N$2:$O$8,2,FALSE),"UNK")&amp;"_"&amp;UPPER(L15))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c r="AD15" s="3"/>
      <c r="AE15" s="3"/>
      <c r="AF15" s="3"/>
      <c r="AG15" s="3"/>
    </row>
    <row r="16" spans="1:33" x14ac:dyDescent="0.3">
      <c r="A16" s="3" t="str">
        <f t="shared" si="0"/>
        <v/>
      </c>
      <c r="B16" s="3"/>
      <c r="C16" s="3"/>
      <c r="D16" s="3"/>
      <c r="E16" s="3" t="s">
        <v>31</v>
      </c>
      <c r="F16" s="3"/>
      <c r="G16" s="3"/>
      <c r="H16" s="3"/>
      <c r="I16" s="3"/>
      <c r="J16" s="3"/>
      <c r="K16" s="3"/>
      <c r="L16" s="3"/>
      <c r="M16" s="3" t="str">
        <f>IF(B16="","","LIST"&amp;"_"&amp;IFERROR(VLOOKUP(B16,LOOKUPS!$K$2:$L$9,2,FALSE),"UNK")&amp;"_"&amp;IFERROR(VLOOKUP(C16,LOOKUPS!$N$2:$O$8,2,FALSE),"UNK")&amp;"_"&amp;UPPER(L16))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c r="AD16" s="3"/>
      <c r="AE16" s="3"/>
      <c r="AF16" s="3"/>
      <c r="AG16" s="3"/>
    </row>
    <row r="17" spans="1:33" x14ac:dyDescent="0.3">
      <c r="A17" s="3" t="str">
        <f t="shared" si="0"/>
        <v/>
      </c>
      <c r="B17" s="3"/>
      <c r="C17" s="3"/>
      <c r="D17" s="3"/>
      <c r="E17" s="3" t="s">
        <v>31</v>
      </c>
      <c r="F17" s="3"/>
      <c r="G17" s="3"/>
      <c r="H17" s="3"/>
      <c r="I17" s="3"/>
      <c r="J17" s="3"/>
      <c r="K17" s="3"/>
      <c r="L17" s="3"/>
      <c r="M17" s="3" t="str">
        <f>IF(B17="","","LIST"&amp;"_"&amp;IFERROR(VLOOKUP(B17,LOOKUPS!$K$2:$L$9,2,FALSE),"UNK")&amp;"_"&amp;IFERROR(VLOOKUP(C17,LOOKUPS!$N$2:$O$8,2,FALSE),"UNK")&amp;"_"&amp;UPPER(L17))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c r="AD17" s="3"/>
      <c r="AE17" s="3"/>
      <c r="AF17" s="3"/>
      <c r="AG17" s="3"/>
    </row>
    <row r="18" spans="1:33" x14ac:dyDescent="0.3">
      <c r="A18" s="3" t="str">
        <f t="shared" si="0"/>
        <v/>
      </c>
      <c r="B18" s="3"/>
      <c r="C18" s="3"/>
      <c r="D18" s="3"/>
      <c r="E18" s="3" t="s">
        <v>31</v>
      </c>
      <c r="F18" s="3"/>
      <c r="G18" s="3"/>
      <c r="H18" s="3"/>
      <c r="I18" s="3"/>
      <c r="J18" s="3"/>
      <c r="K18" s="3"/>
      <c r="L18" s="3"/>
      <c r="M18" s="3" t="str">
        <f>IF(B18="","","LIST"&amp;"_"&amp;IFERROR(VLOOKUP(B18,LOOKUPS!$K$2:$L$9,2,FALSE),"UNK")&amp;"_"&amp;IFERROR(VLOOKUP(C18,LOOKUPS!$N$2:$O$8,2,FALSE),"UNK")&amp;"_"&amp;UPPER(L18))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c r="AD18" s="3"/>
      <c r="AE18" s="3"/>
      <c r="AF18" s="3"/>
      <c r="AG18" s="3"/>
    </row>
    <row r="19" spans="1:33" x14ac:dyDescent="0.3">
      <c r="A19" s="3" t="str">
        <f t="shared" si="0"/>
        <v/>
      </c>
      <c r="B19" s="3"/>
      <c r="C19" s="3"/>
      <c r="D19" s="3"/>
      <c r="E19" s="3" t="s">
        <v>31</v>
      </c>
      <c r="F19" s="3"/>
      <c r="G19" s="3"/>
      <c r="H19" s="3"/>
      <c r="I19" s="3"/>
      <c r="J19" s="3"/>
      <c r="K19" s="3"/>
      <c r="L19" s="3"/>
      <c r="M19" s="3" t="str">
        <f>IF(B19="","","LIST"&amp;"_"&amp;IFERROR(VLOOKUP(B19,LOOKUPS!$K$2:$L$9,2,FALSE),"UNK")&amp;"_"&amp;IFERROR(VLOOKUP(C19,LOOKUPS!$N$2:$O$8,2,FALSE),"UNK")&amp;"_"&amp;UPPER(L19))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c r="AD19" s="3"/>
      <c r="AE19" s="3"/>
      <c r="AF19" s="3"/>
      <c r="AG19" s="3"/>
    </row>
    <row r="20" spans="1:33" x14ac:dyDescent="0.3">
      <c r="A20" s="3" t="str">
        <f t="shared" si="0"/>
        <v/>
      </c>
      <c r="B20" s="3"/>
      <c r="C20" s="3"/>
      <c r="D20" s="3"/>
      <c r="E20" s="3" t="s">
        <v>31</v>
      </c>
      <c r="F20" s="3"/>
      <c r="G20" s="3"/>
      <c r="H20" s="3"/>
      <c r="I20" s="3"/>
      <c r="J20" s="3"/>
      <c r="K20" s="3"/>
      <c r="L20" s="3"/>
      <c r="M20" s="3" t="str">
        <f>IF(B20="","","LIST"&amp;"_"&amp;IFERROR(VLOOKUP(B20,LOOKUPS!$K$2:$L$9,2,FALSE),"UNK")&amp;"_"&amp;IFERROR(VLOOKUP(C20,LOOKUPS!$N$2:$O$8,2,FALSE),"UNK")&amp;"_"&amp;UPPER(L20))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c r="AD20" s="3"/>
      <c r="AE20" s="3"/>
      <c r="AF20" s="3"/>
      <c r="AG20" s="3"/>
    </row>
    <row r="21" spans="1:33" x14ac:dyDescent="0.3">
      <c r="A21" s="3" t="str">
        <f t="shared" si="0"/>
        <v/>
      </c>
      <c r="B21" s="3"/>
      <c r="C21" s="3"/>
      <c r="D21" s="3"/>
      <c r="E21" s="3" t="s">
        <v>31</v>
      </c>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t="s">
        <v>31</v>
      </c>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t="s">
        <v>31</v>
      </c>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t="s">
        <v>31</v>
      </c>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t="s">
        <v>31</v>
      </c>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t="s">
        <v>31</v>
      </c>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t="s">
        <v>31</v>
      </c>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t="s">
        <v>31</v>
      </c>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t="s">
        <v>31</v>
      </c>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t="s">
        <v>31</v>
      </c>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t="s">
        <v>31</v>
      </c>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t="s">
        <v>31</v>
      </c>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t="s">
        <v>31</v>
      </c>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t="s">
        <v>31</v>
      </c>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t="s">
        <v>31</v>
      </c>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t="s">
        <v>31</v>
      </c>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t="s">
        <v>31</v>
      </c>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t="s">
        <v>31</v>
      </c>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t="s">
        <v>31</v>
      </c>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t="s">
        <v>31</v>
      </c>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t="s">
        <v>31</v>
      </c>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t="s">
        <v>31</v>
      </c>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t="s">
        <v>31</v>
      </c>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t="s">
        <v>31</v>
      </c>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t="s">
        <v>31</v>
      </c>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t="s">
        <v>31</v>
      </c>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t="s">
        <v>31</v>
      </c>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t="s">
        <v>31</v>
      </c>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t="s">
        <v>31</v>
      </c>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t="s">
        <v>31</v>
      </c>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t="s">
        <v>31</v>
      </c>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t="s">
        <v>31</v>
      </c>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t="s">
        <v>31</v>
      </c>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t="s">
        <v>31</v>
      </c>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t="s">
        <v>31</v>
      </c>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t="s">
        <v>31</v>
      </c>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t="s">
        <v>31</v>
      </c>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t="s">
        <v>31</v>
      </c>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t="s">
        <v>31</v>
      </c>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t="s">
        <v>31</v>
      </c>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t="s">
        <v>31</v>
      </c>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t="s">
        <v>31</v>
      </c>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t="s">
        <v>31</v>
      </c>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t="s">
        <v>31</v>
      </c>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t="s">
        <v>31</v>
      </c>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t="s">
        <v>31</v>
      </c>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t="s">
        <v>31</v>
      </c>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t="s">
        <v>31</v>
      </c>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t="s">
        <v>31</v>
      </c>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t="s">
        <v>31</v>
      </c>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t="s">
        <v>31</v>
      </c>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t="s">
        <v>31</v>
      </c>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t="s">
        <v>31</v>
      </c>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t="s">
        <v>31</v>
      </c>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t="s">
        <v>31</v>
      </c>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t="s">
        <v>31</v>
      </c>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t="s">
        <v>31</v>
      </c>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t="s">
        <v>31</v>
      </c>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t="s">
        <v>31</v>
      </c>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t="s">
        <v>31</v>
      </c>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t="s">
        <v>31</v>
      </c>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t="s">
        <v>31</v>
      </c>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t="s">
        <v>31</v>
      </c>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t="s">
        <v>31</v>
      </c>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t="s">
        <v>31</v>
      </c>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t="s">
        <v>31</v>
      </c>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t="s">
        <v>31</v>
      </c>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t="s">
        <v>31</v>
      </c>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t="s">
        <v>31</v>
      </c>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t="s">
        <v>31</v>
      </c>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t="s">
        <v>31</v>
      </c>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t="s">
        <v>31</v>
      </c>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t="s">
        <v>31</v>
      </c>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t="s">
        <v>31</v>
      </c>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t="s">
        <v>31</v>
      </c>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t="s">
        <v>31</v>
      </c>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t="s">
        <v>31</v>
      </c>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t="s">
        <v>31</v>
      </c>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t="s">
        <v>31</v>
      </c>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t="s">
        <v>31</v>
      </c>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t="s">
        <v>31</v>
      </c>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t="s">
        <v>31</v>
      </c>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t="s">
        <v>31</v>
      </c>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t="s">
        <v>31</v>
      </c>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t="s">
        <v>31</v>
      </c>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t="s">
        <v>31</v>
      </c>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t="s">
        <v>31</v>
      </c>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t="s">
        <v>31</v>
      </c>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t="s">
        <v>31</v>
      </c>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t="s">
        <v>31</v>
      </c>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t="s">
        <v>31</v>
      </c>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t="s">
        <v>31</v>
      </c>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t="s">
        <v>31</v>
      </c>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t="s">
        <v>31</v>
      </c>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t="s">
        <v>31</v>
      </c>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t="s">
        <v>31</v>
      </c>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t="s">
        <v>31</v>
      </c>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t="s">
        <v>31</v>
      </c>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t="s">
        <v>31</v>
      </c>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t="s">
        <v>31</v>
      </c>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t="s">
        <v>31</v>
      </c>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t="s">
        <v>31</v>
      </c>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t="s">
        <v>31</v>
      </c>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t="s">
        <v>31</v>
      </c>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t="s">
        <v>31</v>
      </c>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t="s">
        <v>31</v>
      </c>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t="s">
        <v>31</v>
      </c>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t="s">
        <v>31</v>
      </c>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t="s">
        <v>31</v>
      </c>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t="s">
        <v>31</v>
      </c>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t="s">
        <v>31</v>
      </c>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t="s">
        <v>31</v>
      </c>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t="s">
        <v>31</v>
      </c>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t="s">
        <v>31</v>
      </c>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t="s">
        <v>31</v>
      </c>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t="s">
        <v>31</v>
      </c>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t="s">
        <v>31</v>
      </c>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t="s">
        <v>31</v>
      </c>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t="s">
        <v>31</v>
      </c>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t="s">
        <v>31</v>
      </c>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t="s">
        <v>31</v>
      </c>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t="s">
        <v>31</v>
      </c>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t="s">
        <v>31</v>
      </c>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t="s">
        <v>31</v>
      </c>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t="s">
        <v>31</v>
      </c>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t="s">
        <v>31</v>
      </c>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t="s">
        <v>31</v>
      </c>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t="s">
        <v>31</v>
      </c>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t="s">
        <v>31</v>
      </c>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t="s">
        <v>31</v>
      </c>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t="s">
        <v>31</v>
      </c>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t="s">
        <v>31</v>
      </c>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t="s">
        <v>31</v>
      </c>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t="s">
        <v>31</v>
      </c>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t="s">
        <v>31</v>
      </c>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t="s">
        <v>31</v>
      </c>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t="s">
        <v>31</v>
      </c>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t="s">
        <v>31</v>
      </c>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t="s">
        <v>31</v>
      </c>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t="s">
        <v>31</v>
      </c>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t="s">
        <v>31</v>
      </c>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t="s">
        <v>31</v>
      </c>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t="s">
        <v>31</v>
      </c>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t="s">
        <v>31</v>
      </c>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t="s">
        <v>31</v>
      </c>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t="s">
        <v>31</v>
      </c>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t="s">
        <v>31</v>
      </c>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t="s">
        <v>31</v>
      </c>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t="s">
        <v>31</v>
      </c>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t="s">
        <v>31</v>
      </c>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t="s">
        <v>31</v>
      </c>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t="s">
        <v>31</v>
      </c>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t="s">
        <v>31</v>
      </c>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t="s">
        <v>31</v>
      </c>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t="s">
        <v>31</v>
      </c>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t="s">
        <v>31</v>
      </c>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t="s">
        <v>31</v>
      </c>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t="s">
        <v>31</v>
      </c>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t="s">
        <v>31</v>
      </c>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t="s">
        <v>31</v>
      </c>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t="s">
        <v>31</v>
      </c>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t="s">
        <v>31</v>
      </c>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t="s">
        <v>31</v>
      </c>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t="s">
        <v>31</v>
      </c>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t="s">
        <v>31</v>
      </c>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t="s">
        <v>31</v>
      </c>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t="s">
        <v>31</v>
      </c>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t="s">
        <v>31</v>
      </c>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t="s">
        <v>31</v>
      </c>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t="s">
        <v>31</v>
      </c>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t="s">
        <v>31</v>
      </c>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t="s">
        <v>31</v>
      </c>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t="s">
        <v>31</v>
      </c>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t="s">
        <v>31</v>
      </c>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t="s">
        <v>31</v>
      </c>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t="s">
        <v>31</v>
      </c>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t="s">
        <v>31</v>
      </c>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t="s">
        <v>31</v>
      </c>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t="s">
        <v>31</v>
      </c>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t="s">
        <v>31</v>
      </c>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7" activePane="bottomLeft" state="frozen"/>
      <selection pane="bottomLeft" activeCell="R7" sqref="R7"/>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121</v>
      </c>
      <c r="J3" s="3" t="s">
        <v>122</v>
      </c>
      <c r="K3" s="3">
        <v>1</v>
      </c>
      <c r="L3" s="3" t="s">
        <v>123</v>
      </c>
      <c r="M3" s="3" t="str">
        <f>IF(B3="","","PF"&amp;"_"&amp;IFERROR(VLOOKUP(B3,LOOKUPS!$K$2:$L$9,2,FALSE),"UNK")&amp;"_"&amp;IFERROR(VLOOKUP(C3,LOOKUPS!$N$2:$O$8,2,FALSE),"UNK")&amp;"_"&amp;UPPER(L3))</f>
        <v>PF_ITNIC_PF_IR35</v>
      </c>
      <c r="N3" s="3">
        <f>IF(M3="","",COUNTIF($M$2:M3,M3))</f>
        <v>1</v>
      </c>
      <c r="O3" s="3" t="s">
        <v>264</v>
      </c>
      <c r="P3" s="3" t="s">
        <v>265</v>
      </c>
      <c r="Q3" s="3" t="s">
        <v>124</v>
      </c>
      <c r="R3" s="3" t="s">
        <v>125</v>
      </c>
      <c r="S3" s="3" t="s">
        <v>126</v>
      </c>
      <c r="T3" s="3" t="s">
        <v>127</v>
      </c>
    </row>
    <row r="4" spans="1:32" ht="374.4" x14ac:dyDescent="0.3">
      <c r="A4" s="3" t="str">
        <f t="shared" si="0"/>
        <v>PF_ITNIC_REQ_EIS_001</v>
      </c>
      <c r="B4" s="3" t="s">
        <v>21</v>
      </c>
      <c r="C4" s="3" t="s">
        <v>22</v>
      </c>
      <c r="D4" s="3" t="s">
        <v>118</v>
      </c>
      <c r="E4" s="3" t="s">
        <v>36</v>
      </c>
      <c r="F4" s="3">
        <v>3</v>
      </c>
      <c r="G4" s="3" t="s">
        <v>16</v>
      </c>
      <c r="H4" s="3" t="s">
        <v>17</v>
      </c>
      <c r="I4" s="3" t="s">
        <v>128</v>
      </c>
      <c r="J4" s="3" t="s">
        <v>129</v>
      </c>
      <c r="K4" s="3">
        <v>1</v>
      </c>
      <c r="L4" s="3" t="s">
        <v>130</v>
      </c>
      <c r="M4" s="3" t="str">
        <f>IF(B4="","","PF"&amp;"_"&amp;IFERROR(VLOOKUP(B4,LOOKUPS!$K$2:$L$9,2,FALSE),"UNK")&amp;"_"&amp;IFERROR(VLOOKUP(C4,LOOKUPS!$N$2:$O$8,2,FALSE),"UNK")&amp;"_"&amp;UPPER(L4))</f>
        <v>PF_ITNIC_REQ_EIS</v>
      </c>
      <c r="N4" s="3">
        <f>IF(M4="","",COUNTIF($M$2:M4,M4))</f>
        <v>1</v>
      </c>
      <c r="O4" s="3" t="s">
        <v>163</v>
      </c>
      <c r="P4" s="3" t="s">
        <v>164</v>
      </c>
      <c r="Q4" s="3" t="s">
        <v>165</v>
      </c>
      <c r="R4" s="3" t="s">
        <v>166</v>
      </c>
      <c r="S4" s="3" t="s">
        <v>167</v>
      </c>
      <c r="T4" s="3" t="s">
        <v>168</v>
      </c>
    </row>
    <row r="5" spans="1:32" ht="345.6" x14ac:dyDescent="0.3">
      <c r="A5" s="3" t="str">
        <f t="shared" si="0"/>
        <v>PF_ITNIC_REQ_PSC_001</v>
      </c>
      <c r="B5" s="3" t="s">
        <v>21</v>
      </c>
      <c r="C5" s="3" t="s">
        <v>22</v>
      </c>
      <c r="D5" s="3" t="s">
        <v>170</v>
      </c>
      <c r="E5" s="3" t="s">
        <v>36</v>
      </c>
      <c r="F5" s="3">
        <v>3</v>
      </c>
      <c r="G5" s="3" t="s">
        <v>16</v>
      </c>
      <c r="H5" s="3" t="s">
        <v>17</v>
      </c>
      <c r="I5" s="3" t="s">
        <v>214</v>
      </c>
      <c r="J5" s="3" t="s">
        <v>129</v>
      </c>
      <c r="K5" s="3">
        <v>1</v>
      </c>
      <c r="L5" s="3" t="s">
        <v>172</v>
      </c>
      <c r="M5" s="3" t="str">
        <f>IF(B5="","","PF"&amp;"_"&amp;IFERROR(VLOOKUP(B5,LOOKUPS!$K$2:$L$9,2,FALSE),"UNK")&amp;"_"&amp;IFERROR(VLOOKUP(C5,LOOKUPS!$N$2:$O$8,2,FALSE),"UNK")&amp;"_"&amp;UPPER(L5))</f>
        <v>PF_ITNIC_REQ_PSC</v>
      </c>
      <c r="N5" s="3">
        <f>IF(M5="","",COUNTIF($M$2:M5,M5))</f>
        <v>1</v>
      </c>
      <c r="O5" s="3" t="s">
        <v>215</v>
      </c>
      <c r="P5" s="3" t="s">
        <v>216</v>
      </c>
      <c r="Q5" s="3" t="s">
        <v>217</v>
      </c>
      <c r="R5" s="3" t="s">
        <v>218</v>
      </c>
      <c r="S5" s="3" t="s">
        <v>219</v>
      </c>
      <c r="T5" s="3" t="s">
        <v>220</v>
      </c>
      <c r="AF5" s="3" t="s">
        <v>17</v>
      </c>
    </row>
    <row r="6" spans="1:32" ht="158.4" x14ac:dyDescent="0.3">
      <c r="A6" s="3" t="str">
        <f t="shared" si="0"/>
        <v>PF_ITNIC_REQ_PSC_002</v>
      </c>
      <c r="B6" s="3" t="s">
        <v>21</v>
      </c>
      <c r="C6" s="3" t="s">
        <v>22</v>
      </c>
      <c r="D6" s="3" t="s">
        <v>170</v>
      </c>
      <c r="E6" s="3" t="s">
        <v>36</v>
      </c>
      <c r="F6" s="3">
        <v>3</v>
      </c>
      <c r="G6" s="3" t="s">
        <v>16</v>
      </c>
      <c r="H6" s="3" t="s">
        <v>17</v>
      </c>
      <c r="I6" s="3" t="s">
        <v>214</v>
      </c>
      <c r="J6" s="3" t="s">
        <v>129</v>
      </c>
      <c r="K6" s="3">
        <v>1</v>
      </c>
      <c r="L6" s="3" t="s">
        <v>172</v>
      </c>
      <c r="M6" s="3" t="str">
        <f>IF(B6="","","PF"&amp;"_"&amp;IFERROR(VLOOKUP(B6,LOOKUPS!$K$2:$L$9,2,FALSE),"UNK")&amp;"_"&amp;IFERROR(VLOOKUP(C6,LOOKUPS!$N$2:$O$8,2,FALSE),"UNK")&amp;"_"&amp;UPPER(L6))</f>
        <v>PF_ITNIC_REQ_PSC</v>
      </c>
      <c r="N6" s="3">
        <f>IF(M6="","",COUNTIF($M$2:M6,M6))</f>
        <v>2</v>
      </c>
      <c r="O6" s="3" t="s">
        <v>215</v>
      </c>
      <c r="P6" s="3" t="s">
        <v>266</v>
      </c>
      <c r="Q6" s="3" t="s">
        <v>267</v>
      </c>
      <c r="R6" s="3" t="s">
        <v>268</v>
      </c>
      <c r="S6" s="3" t="s">
        <v>269</v>
      </c>
      <c r="T6" s="3" t="s">
        <v>270</v>
      </c>
    </row>
    <row r="7" spans="1:32" ht="409.6" x14ac:dyDescent="0.3">
      <c r="A7" s="3" t="str">
        <f t="shared" si="0"/>
        <v>PF_ITNIC_PF_ITCOMP_001</v>
      </c>
      <c r="B7" s="3" t="s">
        <v>21</v>
      </c>
      <c r="C7" s="3" t="s">
        <v>35</v>
      </c>
      <c r="D7" s="3" t="s">
        <v>385</v>
      </c>
      <c r="E7" s="3" t="s">
        <v>36</v>
      </c>
      <c r="F7" s="3">
        <v>3</v>
      </c>
      <c r="G7" s="3" t="s">
        <v>16</v>
      </c>
      <c r="H7" s="3" t="s">
        <v>17</v>
      </c>
      <c r="I7" s="3" t="s">
        <v>386</v>
      </c>
      <c r="J7" s="3" t="s">
        <v>387</v>
      </c>
      <c r="K7" s="3">
        <v>1</v>
      </c>
      <c r="L7" s="3" t="s">
        <v>388</v>
      </c>
      <c r="M7" s="3" t="str">
        <f>IF(B7="","","PF"&amp;"_"&amp;IFERROR(VLOOKUP(B7,LOOKUPS!$K$2:$L$9,2,FALSE),"UNK")&amp;"_"&amp;IFERROR(VLOOKUP(C7,LOOKUPS!$N$2:$O$8,2,FALSE),"UNK")&amp;"_"&amp;UPPER(L7))</f>
        <v>PF_ITNIC_PF_ITCOMP</v>
      </c>
      <c r="N7" s="3">
        <f>IF(M7="","",COUNTIF($M$2:M7,M7))</f>
        <v>1</v>
      </c>
      <c r="O7" s="3" t="s">
        <v>385</v>
      </c>
      <c r="P7" s="3" t="s">
        <v>389</v>
      </c>
      <c r="Q7" s="3" t="s">
        <v>394</v>
      </c>
      <c r="R7" s="3" t="s">
        <v>395</v>
      </c>
      <c r="S7" s="3" t="s">
        <v>392</v>
      </c>
      <c r="T7" s="3" t="s">
        <v>393</v>
      </c>
    </row>
    <row r="8" spans="1:32" x14ac:dyDescent="0.3">
      <c r="A8" s="3" t="str">
        <f t="shared" si="0"/>
        <v/>
      </c>
      <c r="E8" s="3" t="s">
        <v>36</v>
      </c>
      <c r="M8" s="3" t="str">
        <f>IF(B8="","","PF"&amp;"_"&amp;IFERROR(VLOOKUP(B8,LOOKUPS!$K$2:$L$9,2,FALSE),"UNK")&amp;"_"&amp;IFERROR(VLOOKUP(C8,LOOKUPS!$N$2:$O$8,2,FALSE),"UNK")&amp;"_"&amp;UPPER(L8))</f>
        <v/>
      </c>
      <c r="N8" s="3" t="str">
        <f>IF(M8="","",COUNTIF($M$2:M8,M8))</f>
        <v/>
      </c>
    </row>
    <row r="9" spans="1:32" x14ac:dyDescent="0.3">
      <c r="A9" s="3" t="str">
        <f t="shared" si="0"/>
        <v/>
      </c>
      <c r="E9" s="3" t="s">
        <v>36</v>
      </c>
      <c r="M9" s="3" t="str">
        <f>IF(B9="","","PF"&amp;"_"&amp;IFERROR(VLOOKUP(B9,LOOKUPS!$K$2:$L$9,2,FALSE),"UNK")&amp;"_"&amp;IFERROR(VLOOKUP(C9,LOOKUPS!$N$2:$O$8,2,FALSE),"UNK")&amp;"_"&amp;UPPER(L9))</f>
        <v/>
      </c>
      <c r="N9" s="3" t="str">
        <f>IF(M9="","",COUNTIF($M$2:M9,M9))</f>
        <v/>
      </c>
    </row>
    <row r="10" spans="1:32" x14ac:dyDescent="0.3">
      <c r="A10" s="3" t="str">
        <f t="shared" si="0"/>
        <v/>
      </c>
      <c r="E10" s="3" t="s">
        <v>36</v>
      </c>
      <c r="M10" s="3" t="str">
        <f>IF(B10="","","PF"&amp;"_"&amp;IFERROR(VLOOKUP(B10,LOOKUPS!$K$2:$L$9,2,FALSE),"UNK")&amp;"_"&amp;IFERROR(VLOOKUP(C10,LOOKUPS!$N$2:$O$8,2,FALSE),"UNK")&amp;"_"&amp;UPPER(L10))</f>
        <v/>
      </c>
      <c r="N10" s="3" t="str">
        <f>IF(M10="","",COUNTIF($M$2:M10,M10))</f>
        <v/>
      </c>
    </row>
    <row r="11" spans="1:32" x14ac:dyDescent="0.3">
      <c r="A11" s="3" t="str">
        <f t="shared" si="0"/>
        <v/>
      </c>
      <c r="E11" s="3" t="s">
        <v>36</v>
      </c>
      <c r="M11" s="3" t="str">
        <f>IF(B11="","","PF"&amp;"_"&amp;IFERROR(VLOOKUP(B11,LOOKUPS!$K$2:$L$9,2,FALSE),"UNK")&amp;"_"&amp;IFERROR(VLOOKUP(C11,LOOKUPS!$N$2:$O$8,2,FALSE),"UNK")&amp;"_"&amp;UPPER(L11))</f>
        <v/>
      </c>
      <c r="N11" s="3" t="str">
        <f>IF(M11="","",COUNTIF($M$2:M11,M11))</f>
        <v/>
      </c>
    </row>
    <row r="12" spans="1:32" x14ac:dyDescent="0.3">
      <c r="A12" s="3" t="str">
        <f t="shared" si="0"/>
        <v/>
      </c>
      <c r="E12" s="3" t="s">
        <v>36</v>
      </c>
      <c r="M12" s="3" t="str">
        <f>IF(B12="","","PF"&amp;"_"&amp;IFERROR(VLOOKUP(B12,LOOKUPS!$K$2:$L$9,2,FALSE),"UNK")&amp;"_"&amp;IFERROR(VLOOKUP(C12,LOOKUPS!$N$2:$O$8,2,FALSE),"UNK")&amp;"_"&amp;UPPER(L12))</f>
        <v/>
      </c>
      <c r="N12" s="3" t="str">
        <f>IF(M12="","",COUNTIF($M$2:M12,M12))</f>
        <v/>
      </c>
    </row>
    <row r="13" spans="1:32" x14ac:dyDescent="0.3">
      <c r="A13" s="3" t="str">
        <f t="shared" si="0"/>
        <v/>
      </c>
      <c r="E13" s="3" t="s">
        <v>36</v>
      </c>
      <c r="M13" s="3" t="str">
        <f>IF(B13="","","PF"&amp;"_"&amp;IFERROR(VLOOKUP(B13,LOOKUPS!$K$2:$L$9,2,FALSE),"UNK")&amp;"_"&amp;IFERROR(VLOOKUP(C13,LOOKUPS!$N$2:$O$8,2,FALSE),"UNK")&amp;"_"&amp;UPPER(L13))</f>
        <v/>
      </c>
      <c r="N13" s="3" t="str">
        <f>IF(M13="","",COUNTIF($M$2:M13,M13))</f>
        <v/>
      </c>
    </row>
    <row r="14" spans="1:32" x14ac:dyDescent="0.3">
      <c r="A14" s="3" t="str">
        <f t="shared" si="0"/>
        <v/>
      </c>
      <c r="E14" s="3" t="s">
        <v>36</v>
      </c>
      <c r="M14" s="3" t="str">
        <f>IF(B14="","","PF"&amp;"_"&amp;IFERROR(VLOOKUP(B14,LOOKUPS!$K$2:$L$9,2,FALSE),"UNK")&amp;"_"&amp;IFERROR(VLOOKUP(C14,LOOKUPS!$N$2:$O$8,2,FALSE),"UNK")&amp;"_"&amp;UPPER(L14))</f>
        <v/>
      </c>
      <c r="N14" s="3" t="str">
        <f>IF(M14="","",COUNTIF($M$2:M14,M14))</f>
        <v/>
      </c>
    </row>
    <row r="15" spans="1:32" x14ac:dyDescent="0.3">
      <c r="A15" s="3" t="str">
        <f t="shared" si="0"/>
        <v/>
      </c>
      <c r="E15" s="3" t="s">
        <v>36</v>
      </c>
      <c r="M15" s="3" t="str">
        <f>IF(B15="","","PF"&amp;"_"&amp;IFERROR(VLOOKUP(B15,LOOKUPS!$K$2:$L$9,2,FALSE),"UNK")&amp;"_"&amp;IFERROR(VLOOKUP(C15,LOOKUPS!$N$2:$O$8,2,FALSE),"UNK")&amp;"_"&amp;UPPER(L15))</f>
        <v/>
      </c>
      <c r="N15" s="3" t="str">
        <f>IF(M15="","",COUNTIF($M$2:M15,M15))</f>
        <v/>
      </c>
    </row>
    <row r="16" spans="1:32" x14ac:dyDescent="0.3">
      <c r="A16" s="3" t="str">
        <f t="shared" si="0"/>
        <v/>
      </c>
      <c r="E16" s="3" t="s">
        <v>36</v>
      </c>
      <c r="M16" s="3" t="str">
        <f>IF(B16="","","PF"&amp;"_"&amp;IFERROR(VLOOKUP(B16,LOOKUPS!$K$2:$L$9,2,FALSE),"UNK")&amp;"_"&amp;IFERROR(VLOOKUP(C16,LOOKUPS!$N$2:$O$8,2,FALSE),"UNK")&amp;"_"&amp;UPPER(L16))</f>
        <v/>
      </c>
      <c r="N16" s="3" t="str">
        <f>IF(M16="","",COUNTIF($M$2:M16,M16))</f>
        <v/>
      </c>
    </row>
    <row r="17" spans="1:14" x14ac:dyDescent="0.3">
      <c r="A17" s="3" t="str">
        <f t="shared" si="0"/>
        <v/>
      </c>
      <c r="E17" s="3" t="s">
        <v>36</v>
      </c>
      <c r="M17" s="3" t="str">
        <f>IF(B17="","","PF"&amp;"_"&amp;IFERROR(VLOOKUP(B17,LOOKUPS!$K$2:$L$9,2,FALSE),"UNK")&amp;"_"&amp;IFERROR(VLOOKUP(C17,LOOKUPS!$N$2:$O$8,2,FALSE),"UNK")&amp;"_"&amp;UPPER(L17))</f>
        <v/>
      </c>
      <c r="N17" s="3" t="str">
        <f>IF(M17="","",COUNTIF($M$2:M17,M17))</f>
        <v/>
      </c>
    </row>
    <row r="18" spans="1:14" x14ac:dyDescent="0.3">
      <c r="A18" s="3" t="str">
        <f t="shared" si="0"/>
        <v/>
      </c>
      <c r="E18" s="3" t="s">
        <v>36</v>
      </c>
      <c r="M18" s="3" t="str">
        <f>IF(B18="","","PF"&amp;"_"&amp;IFERROR(VLOOKUP(B18,LOOKUPS!$K$2:$L$9,2,FALSE),"UNK")&amp;"_"&amp;IFERROR(VLOOKUP(C18,LOOKUPS!$N$2:$O$8,2,FALSE),"UNK")&amp;"_"&amp;UPPER(L18))</f>
        <v/>
      </c>
      <c r="N18" s="3" t="str">
        <f>IF(M18="","",COUNTIF($M$2:M18,M18))</f>
        <v/>
      </c>
    </row>
    <row r="19" spans="1:14" x14ac:dyDescent="0.3">
      <c r="A19" s="3" t="str">
        <f t="shared" si="0"/>
        <v/>
      </c>
      <c r="E19" s="3" t="s">
        <v>36</v>
      </c>
      <c r="M19" s="3" t="str">
        <f>IF(B19="","","PF"&amp;"_"&amp;IFERROR(VLOOKUP(B19,LOOKUPS!$K$2:$L$9,2,FALSE),"UNK")&amp;"_"&amp;IFERROR(VLOOKUP(C19,LOOKUPS!$N$2:$O$8,2,FALSE),"UNK")&amp;"_"&amp;UPPER(L19))</f>
        <v/>
      </c>
      <c r="N19" s="3" t="str">
        <f>IF(M19="","",COUNTIF($M$2:M19,M19))</f>
        <v/>
      </c>
    </row>
    <row r="20" spans="1:14" x14ac:dyDescent="0.3">
      <c r="A20" s="3" t="str">
        <f t="shared" si="0"/>
        <v/>
      </c>
      <c r="E20" s="3" t="s">
        <v>36</v>
      </c>
      <c r="M20" s="3" t="str">
        <f>IF(B20="","","PF"&amp;"_"&amp;IFERROR(VLOOKUP(B20,LOOKUPS!$K$2:$L$9,2,FALSE),"UNK")&amp;"_"&amp;IFERROR(VLOOKUP(C20,LOOKUPS!$N$2:$O$8,2,FALSE),"UNK")&amp;"_"&amp;UPPER(L20))</f>
        <v/>
      </c>
      <c r="N20" s="3" t="str">
        <f>IF(M20="","",COUNTIF($M$2:M20,M20))</f>
        <v/>
      </c>
    </row>
    <row r="21" spans="1:14" x14ac:dyDescent="0.3">
      <c r="A21" s="3" t="str">
        <f t="shared" si="0"/>
        <v/>
      </c>
      <c r="E21" s="3" t="s">
        <v>36</v>
      </c>
      <c r="M21" s="3" t="str">
        <f>IF(B21="","","PF"&amp;"_"&amp;IFERROR(VLOOKUP(B21,LOOKUPS!$K$2:$L$9,2,FALSE),"UNK")&amp;"_"&amp;IFERROR(VLOOKUP(C21,LOOKUPS!$N$2:$O$8,2,FALSE),"UNK")&amp;"_"&amp;UPPER(L21))</f>
        <v/>
      </c>
      <c r="N21" s="3" t="str">
        <f>IF(M21="","",COUNTIF($M$2:M21,M21))</f>
        <v/>
      </c>
    </row>
    <row r="22" spans="1:14" x14ac:dyDescent="0.3">
      <c r="A22" s="3" t="str">
        <f t="shared" si="0"/>
        <v/>
      </c>
      <c r="E22" s="3" t="s">
        <v>36</v>
      </c>
      <c r="M22" s="3" t="str">
        <f>IF(B22="","","PF"&amp;"_"&amp;IFERROR(VLOOKUP(B22,LOOKUPS!$K$2:$L$9,2,FALSE),"UNK")&amp;"_"&amp;IFERROR(VLOOKUP(C22,LOOKUPS!$N$2:$O$8,2,FALSE),"UNK")&amp;"_"&amp;UPPER(L22))</f>
        <v/>
      </c>
      <c r="N22" s="3" t="str">
        <f>IF(M22="","",COUNTIF($M$2:M22,M22))</f>
        <v/>
      </c>
    </row>
    <row r="23" spans="1:14" x14ac:dyDescent="0.3">
      <c r="A23" s="3" t="str">
        <f t="shared" si="0"/>
        <v/>
      </c>
      <c r="E23" s="3" t="s">
        <v>36</v>
      </c>
      <c r="M23" s="3" t="str">
        <f>IF(B23="","","PF"&amp;"_"&amp;IFERROR(VLOOKUP(B23,LOOKUPS!$K$2:$L$9,2,FALSE),"UNK")&amp;"_"&amp;IFERROR(VLOOKUP(C23,LOOKUPS!$N$2:$O$8,2,FALSE),"UNK")&amp;"_"&amp;UPPER(L23))</f>
        <v/>
      </c>
      <c r="N23" s="3" t="str">
        <f>IF(M23="","",COUNTIF($M$2:M23,M23))</f>
        <v/>
      </c>
    </row>
    <row r="24" spans="1:14" x14ac:dyDescent="0.3">
      <c r="A24" s="3" t="str">
        <f t="shared" si="0"/>
        <v/>
      </c>
      <c r="E24" s="3" t="s">
        <v>36</v>
      </c>
      <c r="M24" s="3" t="str">
        <f>IF(B24="","","PF"&amp;"_"&amp;IFERROR(VLOOKUP(B24,LOOKUPS!$K$2:$L$9,2,FALSE),"UNK")&amp;"_"&amp;IFERROR(VLOOKUP(C24,LOOKUPS!$N$2:$O$8,2,FALSE),"UNK")&amp;"_"&amp;UPPER(L24))</f>
        <v/>
      </c>
      <c r="N24" s="3" t="str">
        <f>IF(M24="","",COUNTIF($M$2:M24,M24))</f>
        <v/>
      </c>
    </row>
    <row r="25" spans="1:14" x14ac:dyDescent="0.3">
      <c r="A25" s="3" t="str">
        <f t="shared" si="0"/>
        <v/>
      </c>
      <c r="E25" s="3" t="s">
        <v>36</v>
      </c>
      <c r="M25" s="3" t="str">
        <f>IF(B25="","","PF"&amp;"_"&amp;IFERROR(VLOOKUP(B25,LOOKUPS!$K$2:$L$9,2,FALSE),"UNK")&amp;"_"&amp;IFERROR(VLOOKUP(C25,LOOKUPS!$N$2:$O$8,2,FALSE),"UNK")&amp;"_"&amp;UPPER(L25))</f>
        <v/>
      </c>
      <c r="N25" s="3" t="str">
        <f>IF(M25="","",COUNTIF($M$2:M25,M25))</f>
        <v/>
      </c>
    </row>
    <row r="26" spans="1:14" x14ac:dyDescent="0.3">
      <c r="A26" s="3" t="str">
        <f t="shared" si="0"/>
        <v/>
      </c>
      <c r="E26" s="3" t="s">
        <v>36</v>
      </c>
      <c r="M26" s="3" t="str">
        <f>IF(B26="","","PF"&amp;"_"&amp;IFERROR(VLOOKUP(B26,LOOKUPS!$K$2:$L$9,2,FALSE),"UNK")&amp;"_"&amp;IFERROR(VLOOKUP(C26,LOOKUPS!$N$2:$O$8,2,FALSE),"UNK")&amp;"_"&amp;UPPER(L26))</f>
        <v/>
      </c>
      <c r="N26" s="3" t="str">
        <f>IF(M26="","",COUNTIF($M$2:M26,M26))</f>
        <v/>
      </c>
    </row>
    <row r="27" spans="1:14" x14ac:dyDescent="0.3">
      <c r="A27" s="3" t="str">
        <f t="shared" si="0"/>
        <v/>
      </c>
      <c r="E27" s="3" t="s">
        <v>36</v>
      </c>
      <c r="M27" s="3" t="str">
        <f>IF(B27="","","PF"&amp;"_"&amp;IFERROR(VLOOKUP(B27,LOOKUPS!$K$2:$L$9,2,FALSE),"UNK")&amp;"_"&amp;IFERROR(VLOOKUP(C27,LOOKUPS!$N$2:$O$8,2,FALSE),"UNK")&amp;"_"&amp;UPPER(L27))</f>
        <v/>
      </c>
      <c r="N27" s="3" t="str">
        <f>IF(M27="","",COUNTIF($M$2:M27,M27))</f>
        <v/>
      </c>
    </row>
    <row r="28" spans="1:14" x14ac:dyDescent="0.3">
      <c r="A28" s="3" t="str">
        <f t="shared" si="0"/>
        <v/>
      </c>
      <c r="E28" s="3" t="s">
        <v>36</v>
      </c>
      <c r="M28" s="3" t="str">
        <f>IF(B28="","","PF"&amp;"_"&amp;IFERROR(VLOOKUP(B28,LOOKUPS!$K$2:$L$9,2,FALSE),"UNK")&amp;"_"&amp;IFERROR(VLOOKUP(C28,LOOKUPS!$N$2:$O$8,2,FALSE),"UNK")&amp;"_"&amp;UPPER(L28))</f>
        <v/>
      </c>
      <c r="N28" s="3" t="str">
        <f>IF(M28="","",COUNTIF($M$2:M28,M28))</f>
        <v/>
      </c>
    </row>
    <row r="29" spans="1:14" x14ac:dyDescent="0.3">
      <c r="A29" s="3" t="str">
        <f t="shared" si="0"/>
        <v/>
      </c>
      <c r="E29" s="3" t="s">
        <v>36</v>
      </c>
      <c r="M29" s="3" t="str">
        <f>IF(B29="","","PF"&amp;"_"&amp;IFERROR(VLOOKUP(B29,LOOKUPS!$K$2:$L$9,2,FALSE),"UNK")&amp;"_"&amp;IFERROR(VLOOKUP(C29,LOOKUPS!$N$2:$O$8,2,FALSE),"UNK")&amp;"_"&amp;UPPER(L29))</f>
        <v/>
      </c>
      <c r="N29" s="3" t="str">
        <f>IF(M29="","",COUNTIF($M$2:M29,M29))</f>
        <v/>
      </c>
    </row>
    <row r="30" spans="1:14" x14ac:dyDescent="0.3">
      <c r="A30" s="3" t="str">
        <f t="shared" si="0"/>
        <v/>
      </c>
      <c r="E30" s="3" t="s">
        <v>36</v>
      </c>
      <c r="M30" s="3" t="str">
        <f>IF(B30="","","PF"&amp;"_"&amp;IFERROR(VLOOKUP(B30,LOOKUPS!$K$2:$L$9,2,FALSE),"UNK")&amp;"_"&amp;IFERROR(VLOOKUP(C30,LOOKUPS!$N$2:$O$8,2,FALSE),"UNK")&amp;"_"&amp;UPPER(L30))</f>
        <v/>
      </c>
      <c r="N30" s="3" t="str">
        <f>IF(M30="","",COUNTIF($M$2:M30,M30))</f>
        <v/>
      </c>
    </row>
    <row r="31" spans="1:14" x14ac:dyDescent="0.3">
      <c r="A31" s="3" t="str">
        <f t="shared" si="0"/>
        <v/>
      </c>
      <c r="E31" s="3" t="s">
        <v>36</v>
      </c>
      <c r="M31" s="3" t="str">
        <f>IF(B31="","","PF"&amp;"_"&amp;IFERROR(VLOOKUP(B31,LOOKUPS!$K$2:$L$9,2,FALSE),"UNK")&amp;"_"&amp;IFERROR(VLOOKUP(C31,LOOKUPS!$N$2:$O$8,2,FALSE),"UNK")&amp;"_"&amp;UPPER(L31))</f>
        <v/>
      </c>
      <c r="N31" s="3" t="str">
        <f>IF(M31="","",COUNTIF($M$2:M31,M31))</f>
        <v/>
      </c>
    </row>
    <row r="32" spans="1:14" x14ac:dyDescent="0.3">
      <c r="A32" s="3" t="str">
        <f t="shared" si="0"/>
        <v/>
      </c>
      <c r="E32" s="3" t="s">
        <v>36</v>
      </c>
      <c r="M32" s="3" t="str">
        <f>IF(B32="","","PF"&amp;"_"&amp;IFERROR(VLOOKUP(B32,LOOKUPS!$K$2:$L$9,2,FALSE),"UNK")&amp;"_"&amp;IFERROR(VLOOKUP(C32,LOOKUPS!$N$2:$O$8,2,FALSE),"UNK")&amp;"_"&amp;UPPER(L32))</f>
        <v/>
      </c>
      <c r="N32" s="3" t="str">
        <f>IF(M32="","",COUNTIF($M$2:M32,M32))</f>
        <v/>
      </c>
    </row>
    <row r="33" spans="1:14" x14ac:dyDescent="0.3">
      <c r="A33" s="3" t="str">
        <f t="shared" si="0"/>
        <v/>
      </c>
      <c r="E33" s="3" t="s">
        <v>36</v>
      </c>
      <c r="M33" s="3" t="str">
        <f>IF(B33="","","PF"&amp;"_"&amp;IFERROR(VLOOKUP(B33,LOOKUPS!$K$2:$L$9,2,FALSE),"UNK")&amp;"_"&amp;IFERROR(VLOOKUP(C33,LOOKUPS!$N$2:$O$8,2,FALSE),"UNK")&amp;"_"&amp;UPPER(L33))</f>
        <v/>
      </c>
      <c r="N33" s="3" t="str">
        <f>IF(M33="","",COUNTIF($M$2:M33,M33))</f>
        <v/>
      </c>
    </row>
    <row r="34" spans="1:14" x14ac:dyDescent="0.3">
      <c r="A34" s="3" t="str">
        <f t="shared" si="0"/>
        <v/>
      </c>
      <c r="E34" s="3" t="s">
        <v>36</v>
      </c>
      <c r="M34" s="3" t="str">
        <f>IF(B34="","","PF"&amp;"_"&amp;IFERROR(VLOOKUP(B34,LOOKUPS!$K$2:$L$9,2,FALSE),"UNK")&amp;"_"&amp;IFERROR(VLOOKUP(C34,LOOKUPS!$N$2:$O$8,2,FALSE),"UNK")&amp;"_"&amp;UPPER(L34))</f>
        <v/>
      </c>
      <c r="N34" s="3" t="str">
        <f>IF(M34="","",COUNTIF($M$2:M34,M34))</f>
        <v/>
      </c>
    </row>
    <row r="35" spans="1:14" x14ac:dyDescent="0.3">
      <c r="A35" s="3" t="str">
        <f t="shared" si="0"/>
        <v/>
      </c>
      <c r="E35" s="3" t="s">
        <v>36</v>
      </c>
      <c r="M35" s="3" t="str">
        <f>IF(B35="","","PF"&amp;"_"&amp;IFERROR(VLOOKUP(B35,LOOKUPS!$K$2:$L$9,2,FALSE),"UNK")&amp;"_"&amp;IFERROR(VLOOKUP(C35,LOOKUPS!$N$2:$O$8,2,FALSE),"UNK")&amp;"_"&amp;UPPER(L35))</f>
        <v/>
      </c>
      <c r="N35" s="3" t="str">
        <f>IF(M35="","",COUNTIF($M$2:M35,M35))</f>
        <v/>
      </c>
    </row>
    <row r="36" spans="1:14" x14ac:dyDescent="0.3">
      <c r="A36" s="3" t="str">
        <f t="shared" si="0"/>
        <v/>
      </c>
      <c r="E36" s="3" t="s">
        <v>36</v>
      </c>
      <c r="M36" s="3" t="str">
        <f>IF(B36="","","PF"&amp;"_"&amp;IFERROR(VLOOKUP(B36,LOOKUPS!$K$2:$L$9,2,FALSE),"UNK")&amp;"_"&amp;IFERROR(VLOOKUP(C36,LOOKUPS!$N$2:$O$8,2,FALSE),"UNK")&amp;"_"&amp;UPPER(L36))</f>
        <v/>
      </c>
      <c r="N36" s="3" t="str">
        <f>IF(M36="","",COUNTIF($M$2:M36,M36))</f>
        <v/>
      </c>
    </row>
    <row r="37" spans="1:14" x14ac:dyDescent="0.3">
      <c r="A37" s="3" t="str">
        <f t="shared" si="0"/>
        <v/>
      </c>
      <c r="E37" s="3" t="s">
        <v>36</v>
      </c>
      <c r="M37" s="3" t="str">
        <f>IF(B37="","","PF"&amp;"_"&amp;IFERROR(VLOOKUP(B37,LOOKUPS!$K$2:$L$9,2,FALSE),"UNK")&amp;"_"&amp;IFERROR(VLOOKUP(C37,LOOKUPS!$N$2:$O$8,2,FALSE),"UNK")&amp;"_"&amp;UPPER(L37))</f>
        <v/>
      </c>
      <c r="N37" s="3" t="str">
        <f>IF(M37="","",COUNTIF($M$2:M37,M37))</f>
        <v/>
      </c>
    </row>
    <row r="38" spans="1:14" x14ac:dyDescent="0.3">
      <c r="A38" s="3" t="str">
        <f t="shared" si="0"/>
        <v/>
      </c>
      <c r="E38" s="3" t="s">
        <v>36</v>
      </c>
      <c r="M38" s="3" t="str">
        <f>IF(B38="","","PF"&amp;"_"&amp;IFERROR(VLOOKUP(B38,LOOKUPS!$K$2:$L$9,2,FALSE),"UNK")&amp;"_"&amp;IFERROR(VLOOKUP(C38,LOOKUPS!$N$2:$O$8,2,FALSE),"UNK")&amp;"_"&amp;UPPER(L38))</f>
        <v/>
      </c>
      <c r="N38" s="3" t="str">
        <f>IF(M38="","",COUNTIF($M$2:M38,M38))</f>
        <v/>
      </c>
    </row>
    <row r="39" spans="1:14" x14ac:dyDescent="0.3">
      <c r="A39" s="3" t="str">
        <f t="shared" si="0"/>
        <v/>
      </c>
      <c r="E39" s="3" t="s">
        <v>36</v>
      </c>
      <c r="M39" s="3" t="str">
        <f>IF(B39="","","PF"&amp;"_"&amp;IFERROR(VLOOKUP(B39,LOOKUPS!$K$2:$L$9,2,FALSE),"UNK")&amp;"_"&amp;IFERROR(VLOOKUP(C39,LOOKUPS!$N$2:$O$8,2,FALSE),"UNK")&amp;"_"&amp;UPPER(L39))</f>
        <v/>
      </c>
      <c r="N39" s="3" t="str">
        <f>IF(M39="","",COUNTIF($M$2:M39,M39))</f>
        <v/>
      </c>
    </row>
    <row r="40" spans="1:14" x14ac:dyDescent="0.3">
      <c r="A40" s="3" t="str">
        <f t="shared" si="0"/>
        <v/>
      </c>
      <c r="E40" s="3" t="s">
        <v>36</v>
      </c>
      <c r="M40" s="3" t="str">
        <f>IF(B40="","","PF"&amp;"_"&amp;IFERROR(VLOOKUP(B40,LOOKUPS!$K$2:$L$9,2,FALSE),"UNK")&amp;"_"&amp;IFERROR(VLOOKUP(C40,LOOKUPS!$N$2:$O$8,2,FALSE),"UNK")&amp;"_"&amp;UPPER(L40))</f>
        <v/>
      </c>
      <c r="N40" s="3" t="str">
        <f>IF(M40="","",COUNTIF($M$2:M40,M40))</f>
        <v/>
      </c>
    </row>
    <row r="41" spans="1:14" x14ac:dyDescent="0.3">
      <c r="A41" s="3" t="str">
        <f t="shared" si="0"/>
        <v/>
      </c>
      <c r="E41" s="3" t="s">
        <v>36</v>
      </c>
      <c r="M41" s="3" t="str">
        <f>IF(B41="","","PF"&amp;"_"&amp;IFERROR(VLOOKUP(B41,LOOKUPS!$K$2:$L$9,2,FALSE),"UNK")&amp;"_"&amp;IFERROR(VLOOKUP(C41,LOOKUPS!$N$2:$O$8,2,FALSE),"UNK")&amp;"_"&amp;UPPER(L41))</f>
        <v/>
      </c>
      <c r="N41" s="3" t="str">
        <f>IF(M41="","",COUNTIF($M$2:M41,M41))</f>
        <v/>
      </c>
    </row>
    <row r="42" spans="1:14" x14ac:dyDescent="0.3">
      <c r="A42" s="3" t="str">
        <f t="shared" si="0"/>
        <v/>
      </c>
      <c r="E42" s="3" t="s">
        <v>36</v>
      </c>
      <c r="M42" s="3" t="str">
        <f>IF(B42="","","PF"&amp;"_"&amp;IFERROR(VLOOKUP(B42,LOOKUPS!$K$2:$L$9,2,FALSE),"UNK")&amp;"_"&amp;IFERROR(VLOOKUP(C42,LOOKUPS!$N$2:$O$8,2,FALSE),"UNK")&amp;"_"&amp;UPPER(L42))</f>
        <v/>
      </c>
      <c r="N42" s="3" t="str">
        <f>IF(M42="","",COUNTIF($M$2:M42,M42))</f>
        <v/>
      </c>
    </row>
    <row r="43" spans="1:14" x14ac:dyDescent="0.3">
      <c r="A43" s="3" t="str">
        <f t="shared" si="0"/>
        <v/>
      </c>
      <c r="E43" s="3" t="s">
        <v>36</v>
      </c>
      <c r="M43" s="3" t="str">
        <f>IF(B43="","","PF"&amp;"_"&amp;IFERROR(VLOOKUP(B43,LOOKUPS!$K$2:$L$9,2,FALSE),"UNK")&amp;"_"&amp;IFERROR(VLOOKUP(C43,LOOKUPS!$N$2:$O$8,2,FALSE),"UNK")&amp;"_"&amp;UPPER(L43))</f>
        <v/>
      </c>
      <c r="N43" s="3" t="str">
        <f>IF(M43="","",COUNTIF($M$2:M43,M43))</f>
        <v/>
      </c>
    </row>
    <row r="44" spans="1:14" x14ac:dyDescent="0.3">
      <c r="A44" s="3" t="str">
        <f t="shared" si="0"/>
        <v/>
      </c>
      <c r="E44" s="3" t="s">
        <v>36</v>
      </c>
      <c r="M44" s="3" t="str">
        <f>IF(B44="","","PF"&amp;"_"&amp;IFERROR(VLOOKUP(B44,LOOKUPS!$K$2:$L$9,2,FALSE),"UNK")&amp;"_"&amp;IFERROR(VLOOKUP(C44,LOOKUPS!$N$2:$O$8,2,FALSE),"UNK")&amp;"_"&amp;UPPER(L44))</f>
        <v/>
      </c>
      <c r="N44" s="3" t="str">
        <f>IF(M44="","",COUNTIF($M$2:M44,M44))</f>
        <v/>
      </c>
    </row>
    <row r="45" spans="1:14" x14ac:dyDescent="0.3">
      <c r="A45" s="3" t="str">
        <f t="shared" si="0"/>
        <v/>
      </c>
      <c r="E45" s="3" t="s">
        <v>36</v>
      </c>
      <c r="M45" s="3" t="str">
        <f>IF(B45="","","PF"&amp;"_"&amp;IFERROR(VLOOKUP(B45,LOOKUPS!$K$2:$L$9,2,FALSE),"UNK")&amp;"_"&amp;IFERROR(VLOOKUP(C45,LOOKUPS!$N$2:$O$8,2,FALSE),"UNK")&amp;"_"&amp;UPPER(L45))</f>
        <v/>
      </c>
      <c r="N45" s="3" t="str">
        <f>IF(M45="","",COUNTIF($M$2:M45,M45))</f>
        <v/>
      </c>
    </row>
    <row r="46" spans="1:14" x14ac:dyDescent="0.3">
      <c r="A46" s="3" t="str">
        <f t="shared" si="0"/>
        <v/>
      </c>
      <c r="E46" s="3" t="s">
        <v>36</v>
      </c>
      <c r="M46" s="3" t="str">
        <f>IF(B46="","","PF"&amp;"_"&amp;IFERROR(VLOOKUP(B46,LOOKUPS!$K$2:$L$9,2,FALSE),"UNK")&amp;"_"&amp;IFERROR(VLOOKUP(C46,LOOKUPS!$N$2:$O$8,2,FALSE),"UNK")&amp;"_"&amp;UPPER(L46))</f>
        <v/>
      </c>
      <c r="N46" s="3" t="str">
        <f>IF(M46="","",COUNTIF($M$2:M46,M46))</f>
        <v/>
      </c>
    </row>
    <row r="47" spans="1:14" x14ac:dyDescent="0.3">
      <c r="A47" s="3" t="str">
        <f t="shared" si="0"/>
        <v/>
      </c>
      <c r="E47" s="3" t="s">
        <v>36</v>
      </c>
      <c r="M47" s="3" t="str">
        <f>IF(B47="","","PF"&amp;"_"&amp;IFERROR(VLOOKUP(B47,LOOKUPS!$K$2:$L$9,2,FALSE),"UNK")&amp;"_"&amp;IFERROR(VLOOKUP(C47,LOOKUPS!$N$2:$O$8,2,FALSE),"UNK")&amp;"_"&amp;UPPER(L47))</f>
        <v/>
      </c>
      <c r="N47" s="3" t="str">
        <f>IF(M47="","",COUNTIF($M$2:M47,M47))</f>
        <v/>
      </c>
    </row>
    <row r="48" spans="1:14" x14ac:dyDescent="0.3">
      <c r="A48" s="3" t="str">
        <f t="shared" si="0"/>
        <v/>
      </c>
      <c r="E48" s="3" t="s">
        <v>36</v>
      </c>
      <c r="M48" s="3" t="str">
        <f>IF(B48="","","PF"&amp;"_"&amp;IFERROR(VLOOKUP(B48,LOOKUPS!$K$2:$L$9,2,FALSE),"UNK")&amp;"_"&amp;IFERROR(VLOOKUP(C48,LOOKUPS!$N$2:$O$8,2,FALSE),"UNK")&amp;"_"&amp;UPPER(L48))</f>
        <v/>
      </c>
      <c r="N48" s="3" t="str">
        <f>IF(M48="","",COUNTIF($M$2:M48,M48))</f>
        <v/>
      </c>
    </row>
    <row r="49" spans="1:14" x14ac:dyDescent="0.3">
      <c r="A49" s="3" t="str">
        <f t="shared" si="0"/>
        <v/>
      </c>
      <c r="E49" s="3" t="s">
        <v>36</v>
      </c>
      <c r="M49" s="3" t="str">
        <f>IF(B49="","","PF"&amp;"_"&amp;IFERROR(VLOOKUP(B49,LOOKUPS!$K$2:$L$9,2,FALSE),"UNK")&amp;"_"&amp;IFERROR(VLOOKUP(C49,LOOKUPS!$N$2:$O$8,2,FALSE),"UNK")&amp;"_"&amp;UPPER(L49))</f>
        <v/>
      </c>
      <c r="N49" s="3" t="str">
        <f>IF(M49="","",COUNTIF($M$2:M49,M49))</f>
        <v/>
      </c>
    </row>
    <row r="50" spans="1:14" x14ac:dyDescent="0.3">
      <c r="A50" s="3" t="str">
        <f t="shared" si="0"/>
        <v/>
      </c>
      <c r="E50" s="3" t="s">
        <v>36</v>
      </c>
      <c r="M50" s="3" t="str">
        <f>IF(B50="","","PF"&amp;"_"&amp;IFERROR(VLOOKUP(B50,LOOKUPS!$K$2:$L$9,2,FALSE),"UNK")&amp;"_"&amp;IFERROR(VLOOKUP(C50,LOOKUPS!$N$2:$O$8,2,FALSE),"UNK")&amp;"_"&amp;UPPER(L50))</f>
        <v/>
      </c>
      <c r="N50" s="3" t="str">
        <f>IF(M50="","",COUNTIF($M$2:M50,M50))</f>
        <v/>
      </c>
    </row>
    <row r="51" spans="1:14" x14ac:dyDescent="0.3">
      <c r="A51" s="3" t="str">
        <f t="shared" si="0"/>
        <v/>
      </c>
      <c r="E51" s="3" t="s">
        <v>36</v>
      </c>
      <c r="M51" s="3" t="str">
        <f>IF(B51="","","PF"&amp;"_"&amp;IFERROR(VLOOKUP(B51,LOOKUPS!$K$2:$L$9,2,FALSE),"UNK")&amp;"_"&amp;IFERROR(VLOOKUP(C51,LOOKUPS!$N$2:$O$8,2,FALSE),"UNK")&amp;"_"&amp;UPPER(L51))</f>
        <v/>
      </c>
      <c r="N51" s="3" t="str">
        <f>IF(M51="","",COUNTIF($M$2:M51,M51))</f>
        <v/>
      </c>
    </row>
    <row r="52" spans="1:14" x14ac:dyDescent="0.3">
      <c r="A52" s="3" t="str">
        <f t="shared" si="0"/>
        <v/>
      </c>
      <c r="E52" s="3" t="s">
        <v>36</v>
      </c>
      <c r="M52" s="3" t="str">
        <f>IF(B52="","","PF"&amp;"_"&amp;IFERROR(VLOOKUP(B52,LOOKUPS!$K$2:$L$9,2,FALSE),"UNK")&amp;"_"&amp;IFERROR(VLOOKUP(C52,LOOKUPS!$N$2:$O$8,2,FALSE),"UNK")&amp;"_"&amp;UPPER(L52))</f>
        <v/>
      </c>
      <c r="N52" s="3" t="str">
        <f>IF(M52="","",COUNTIF($M$2:M52,M52))</f>
        <v/>
      </c>
    </row>
    <row r="53" spans="1:14" x14ac:dyDescent="0.3">
      <c r="A53" s="3" t="str">
        <f t="shared" si="0"/>
        <v/>
      </c>
      <c r="E53" s="3" t="s">
        <v>36</v>
      </c>
      <c r="M53" s="3" t="str">
        <f>IF(B53="","","PF"&amp;"_"&amp;IFERROR(VLOOKUP(B53,LOOKUPS!$K$2:$L$9,2,FALSE),"UNK")&amp;"_"&amp;IFERROR(VLOOKUP(C53,LOOKUPS!$N$2:$O$8,2,FALSE),"UNK")&amp;"_"&amp;UPPER(L53))</f>
        <v/>
      </c>
      <c r="N53" s="3" t="str">
        <f>IF(M53="","",COUNTIF($M$2:M53,M53))</f>
        <v/>
      </c>
    </row>
    <row r="54" spans="1:14" x14ac:dyDescent="0.3">
      <c r="A54" s="3" t="str">
        <f t="shared" si="0"/>
        <v/>
      </c>
      <c r="E54" s="3" t="s">
        <v>36</v>
      </c>
      <c r="M54" s="3" t="str">
        <f>IF(B54="","","PF"&amp;"_"&amp;IFERROR(VLOOKUP(B54,LOOKUPS!$K$2:$L$9,2,FALSE),"UNK")&amp;"_"&amp;IFERROR(VLOOKUP(C54,LOOKUPS!$N$2:$O$8,2,FALSE),"UNK")&amp;"_"&amp;UPPER(L54))</f>
        <v/>
      </c>
      <c r="N54" s="3" t="str">
        <f>IF(M54="","",COUNTIF($M$2:M54,M54))</f>
        <v/>
      </c>
    </row>
    <row r="55" spans="1:14" x14ac:dyDescent="0.3">
      <c r="A55" s="3" t="str">
        <f t="shared" si="0"/>
        <v/>
      </c>
      <c r="E55" s="3" t="s">
        <v>36</v>
      </c>
      <c r="M55" s="3" t="str">
        <f>IF(B55="","","PF"&amp;"_"&amp;IFERROR(VLOOKUP(B55,LOOKUPS!$K$2:$L$9,2,FALSE),"UNK")&amp;"_"&amp;IFERROR(VLOOKUP(C55,LOOKUPS!$N$2:$O$8,2,FALSE),"UNK")&amp;"_"&amp;UPPER(L55))</f>
        <v/>
      </c>
      <c r="N55" s="3" t="str">
        <f>IF(M55="","",COUNTIF($M$2:M55,M55))</f>
        <v/>
      </c>
    </row>
    <row r="56" spans="1:14" x14ac:dyDescent="0.3">
      <c r="A56" s="3" t="str">
        <f t="shared" si="0"/>
        <v/>
      </c>
      <c r="E56" s="3" t="s">
        <v>36</v>
      </c>
      <c r="M56" s="3" t="str">
        <f>IF(B56="","","PF"&amp;"_"&amp;IFERROR(VLOOKUP(B56,LOOKUPS!$K$2:$L$9,2,FALSE),"UNK")&amp;"_"&amp;IFERROR(VLOOKUP(C56,LOOKUPS!$N$2:$O$8,2,FALSE),"UNK")&amp;"_"&amp;UPPER(L56))</f>
        <v/>
      </c>
      <c r="N56" s="3" t="str">
        <f>IF(M56="","",COUNTIF($M$2:M56,M56))</f>
        <v/>
      </c>
    </row>
    <row r="57" spans="1:14" x14ac:dyDescent="0.3">
      <c r="A57" s="3" t="str">
        <f t="shared" si="0"/>
        <v/>
      </c>
      <c r="E57" s="3" t="s">
        <v>36</v>
      </c>
      <c r="M57" s="3" t="str">
        <f>IF(B57="","","PF"&amp;"_"&amp;IFERROR(VLOOKUP(B57,LOOKUPS!$K$2:$L$9,2,FALSE),"UNK")&amp;"_"&amp;IFERROR(VLOOKUP(C57,LOOKUPS!$N$2:$O$8,2,FALSE),"UNK")&amp;"_"&amp;UPPER(L57))</f>
        <v/>
      </c>
      <c r="N57" s="3" t="str">
        <f>IF(M57="","",COUNTIF($M$2:M57,M57))</f>
        <v/>
      </c>
    </row>
    <row r="58" spans="1:14" x14ac:dyDescent="0.3">
      <c r="A58" s="3" t="str">
        <f t="shared" si="0"/>
        <v/>
      </c>
      <c r="E58" s="3" t="s">
        <v>36</v>
      </c>
      <c r="M58" s="3" t="str">
        <f>IF(B58="","","PF"&amp;"_"&amp;IFERROR(VLOOKUP(B58,LOOKUPS!$K$2:$L$9,2,FALSE),"UNK")&amp;"_"&amp;IFERROR(VLOOKUP(C58,LOOKUPS!$N$2:$O$8,2,FALSE),"UNK")&amp;"_"&amp;UPPER(L58))</f>
        <v/>
      </c>
      <c r="N58" s="3" t="str">
        <f>IF(M58="","",COUNTIF($M$2:M58,M58))</f>
        <v/>
      </c>
    </row>
    <row r="59" spans="1:14" x14ac:dyDescent="0.3">
      <c r="A59" s="3" t="str">
        <f t="shared" si="0"/>
        <v/>
      </c>
      <c r="E59" s="3" t="s">
        <v>36</v>
      </c>
      <c r="M59" s="3" t="str">
        <f>IF(B59="","","PF"&amp;"_"&amp;IFERROR(VLOOKUP(B59,LOOKUPS!$K$2:$L$9,2,FALSE),"UNK")&amp;"_"&amp;IFERROR(VLOOKUP(C59,LOOKUPS!$N$2:$O$8,2,FALSE),"UNK")&amp;"_"&amp;UPPER(L59))</f>
        <v/>
      </c>
      <c r="N59" s="3" t="str">
        <f>IF(M59="","",COUNTIF($M$2:M59,M59))</f>
        <v/>
      </c>
    </row>
    <row r="60" spans="1:14" x14ac:dyDescent="0.3">
      <c r="A60" s="3" t="str">
        <f t="shared" si="0"/>
        <v/>
      </c>
      <c r="E60" s="3" t="s">
        <v>36</v>
      </c>
      <c r="M60" s="3" t="str">
        <f>IF(B60="","","PF"&amp;"_"&amp;IFERROR(VLOOKUP(B60,LOOKUPS!$K$2:$L$9,2,FALSE),"UNK")&amp;"_"&amp;IFERROR(VLOOKUP(C60,LOOKUPS!$N$2:$O$8,2,FALSE),"UNK")&amp;"_"&amp;UPPER(L60))</f>
        <v/>
      </c>
      <c r="N60" s="3" t="str">
        <f>IF(M60="","",COUNTIF($M$2:M60,M60))</f>
        <v/>
      </c>
    </row>
    <row r="61" spans="1:14" x14ac:dyDescent="0.3">
      <c r="A61" s="3" t="str">
        <f t="shared" si="0"/>
        <v/>
      </c>
      <c r="E61" s="3" t="s">
        <v>36</v>
      </c>
      <c r="M61" s="3" t="str">
        <f>IF(B61="","","PF"&amp;"_"&amp;IFERROR(VLOOKUP(B61,LOOKUPS!$K$2:$L$9,2,FALSE),"UNK")&amp;"_"&amp;IFERROR(VLOOKUP(C61,LOOKUPS!$N$2:$O$8,2,FALSE),"UNK")&amp;"_"&amp;UPPER(L61))</f>
        <v/>
      </c>
      <c r="N61" s="3" t="str">
        <f>IF(M61="","",COUNTIF($M$2:M61,M61))</f>
        <v/>
      </c>
    </row>
    <row r="62" spans="1:14" x14ac:dyDescent="0.3">
      <c r="A62" s="3" t="str">
        <f t="shared" si="0"/>
        <v/>
      </c>
      <c r="E62" s="3" t="s">
        <v>36</v>
      </c>
      <c r="M62" s="3" t="str">
        <f>IF(B62="","","PF"&amp;"_"&amp;IFERROR(VLOOKUP(B62,LOOKUPS!$K$2:$L$9,2,FALSE),"UNK")&amp;"_"&amp;IFERROR(VLOOKUP(C62,LOOKUPS!$N$2:$O$8,2,FALSE),"UNK")&amp;"_"&amp;UPPER(L62))</f>
        <v/>
      </c>
      <c r="N62" s="3" t="str">
        <f>IF(M62="","",COUNTIF($M$2:M62,M62))</f>
        <v/>
      </c>
    </row>
    <row r="63" spans="1:14" x14ac:dyDescent="0.3">
      <c r="A63" s="3" t="str">
        <f t="shared" si="0"/>
        <v/>
      </c>
      <c r="E63" s="3" t="s">
        <v>36</v>
      </c>
      <c r="M63" s="3" t="str">
        <f>IF(B63="","","PF"&amp;"_"&amp;IFERROR(VLOOKUP(B63,LOOKUPS!$K$2:$L$9,2,FALSE),"UNK")&amp;"_"&amp;IFERROR(VLOOKUP(C63,LOOKUPS!$N$2:$O$8,2,FALSE),"UNK")&amp;"_"&amp;UPPER(L63))</f>
        <v/>
      </c>
      <c r="N63" s="3" t="str">
        <f>IF(M63="","",COUNTIF($M$2:M63,M63))</f>
        <v/>
      </c>
    </row>
    <row r="64" spans="1:14" x14ac:dyDescent="0.3">
      <c r="A64" s="3" t="str">
        <f t="shared" si="0"/>
        <v/>
      </c>
      <c r="E64" s="3" t="s">
        <v>36</v>
      </c>
      <c r="M64" s="3" t="str">
        <f>IF(B64="","","PF"&amp;"_"&amp;IFERROR(VLOOKUP(B64,LOOKUPS!$K$2:$L$9,2,FALSE),"UNK")&amp;"_"&amp;IFERROR(VLOOKUP(C64,LOOKUPS!$N$2:$O$8,2,FALSE),"UNK")&amp;"_"&amp;UPPER(L64))</f>
        <v/>
      </c>
      <c r="N64" s="3" t="str">
        <f>IF(M64="","",COUNTIF($M$2:M64,M64))</f>
        <v/>
      </c>
    </row>
    <row r="65" spans="1:14" x14ac:dyDescent="0.3">
      <c r="A65" s="3" t="str">
        <f t="shared" si="0"/>
        <v/>
      </c>
      <c r="E65" s="3" t="s">
        <v>36</v>
      </c>
      <c r="M65" s="3" t="str">
        <f>IF(B65="","","PF"&amp;"_"&amp;IFERROR(VLOOKUP(B65,LOOKUPS!$K$2:$L$9,2,FALSE),"UNK")&amp;"_"&amp;IFERROR(VLOOKUP(C65,LOOKUPS!$N$2:$O$8,2,FALSE),"UNK")&amp;"_"&amp;UPPER(L65))</f>
        <v/>
      </c>
      <c r="N65" s="3" t="str">
        <f>IF(M65="","",COUNTIF($M$2:M65,M65))</f>
        <v/>
      </c>
    </row>
    <row r="66" spans="1:14" x14ac:dyDescent="0.3">
      <c r="A66" s="3" t="str">
        <f t="shared" si="0"/>
        <v/>
      </c>
      <c r="E66" s="3" t="s">
        <v>36</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E67" s="3" t="s">
        <v>36</v>
      </c>
      <c r="M67" s="3" t="str">
        <f>IF(B67="","","PF"&amp;"_"&amp;IFERROR(VLOOKUP(B67,LOOKUPS!$K$2:$L$9,2,FALSE),"UNK")&amp;"_"&amp;IFERROR(VLOOKUP(C67,LOOKUPS!$N$2:$O$8,2,FALSE),"UNK")&amp;"_"&amp;UPPER(L67))</f>
        <v/>
      </c>
      <c r="N67" s="3" t="str">
        <f>IF(M67="","",COUNTIF($M$2:M67,M67))</f>
        <v/>
      </c>
    </row>
    <row r="68" spans="1:14" x14ac:dyDescent="0.3">
      <c r="A68" s="3" t="str">
        <f t="shared" si="1"/>
        <v/>
      </c>
      <c r="E68" s="3" t="s">
        <v>36</v>
      </c>
      <c r="M68" s="3" t="str">
        <f>IF(B68="","","PF"&amp;"_"&amp;IFERROR(VLOOKUP(B68,LOOKUPS!$K$2:$L$9,2,FALSE),"UNK")&amp;"_"&amp;IFERROR(VLOOKUP(C68,LOOKUPS!$N$2:$O$8,2,FALSE),"UNK")&amp;"_"&amp;UPPER(L68))</f>
        <v/>
      </c>
      <c r="N68" s="3" t="str">
        <f>IF(M68="","",COUNTIF($M$2:M68,M68))</f>
        <v/>
      </c>
    </row>
    <row r="69" spans="1:14" x14ac:dyDescent="0.3">
      <c r="A69" s="3" t="str">
        <f t="shared" si="1"/>
        <v/>
      </c>
      <c r="E69" s="3" t="s">
        <v>36</v>
      </c>
      <c r="M69" s="3" t="str">
        <f>IF(B69="","","PF"&amp;"_"&amp;IFERROR(VLOOKUP(B69,LOOKUPS!$K$2:$L$9,2,FALSE),"UNK")&amp;"_"&amp;IFERROR(VLOOKUP(C69,LOOKUPS!$N$2:$O$8,2,FALSE),"UNK")&amp;"_"&amp;UPPER(L69))</f>
        <v/>
      </c>
      <c r="N69" s="3" t="str">
        <f>IF(M69="","",COUNTIF($M$2:M69,M69))</f>
        <v/>
      </c>
    </row>
    <row r="70" spans="1:14" x14ac:dyDescent="0.3">
      <c r="A70" s="3" t="str">
        <f t="shared" si="1"/>
        <v/>
      </c>
      <c r="E70" s="3" t="s">
        <v>36</v>
      </c>
      <c r="M70" s="3" t="str">
        <f>IF(B70="","","PF"&amp;"_"&amp;IFERROR(VLOOKUP(B70,LOOKUPS!$K$2:$L$9,2,FALSE),"UNK")&amp;"_"&amp;IFERROR(VLOOKUP(C70,LOOKUPS!$N$2:$O$8,2,FALSE),"UNK")&amp;"_"&amp;UPPER(L70))</f>
        <v/>
      </c>
      <c r="N70" s="3" t="str">
        <f>IF(M70="","",COUNTIF($M$2:M70,M70))</f>
        <v/>
      </c>
    </row>
    <row r="71" spans="1:14" x14ac:dyDescent="0.3">
      <c r="A71" s="3" t="str">
        <f t="shared" si="1"/>
        <v/>
      </c>
      <c r="E71" s="3" t="s">
        <v>36</v>
      </c>
      <c r="M71" s="3" t="str">
        <f>IF(B71="","","PF"&amp;"_"&amp;IFERROR(VLOOKUP(B71,LOOKUPS!$K$2:$L$9,2,FALSE),"UNK")&amp;"_"&amp;IFERROR(VLOOKUP(C71,LOOKUPS!$N$2:$O$8,2,FALSE),"UNK")&amp;"_"&amp;UPPER(L71))</f>
        <v/>
      </c>
      <c r="N71" s="3" t="str">
        <f>IF(M71="","",COUNTIF($M$2:M71,M71))</f>
        <v/>
      </c>
    </row>
    <row r="72" spans="1:14" x14ac:dyDescent="0.3">
      <c r="A72" s="3" t="str">
        <f t="shared" si="1"/>
        <v/>
      </c>
      <c r="E72" s="3" t="s">
        <v>36</v>
      </c>
      <c r="M72" s="3" t="str">
        <f>IF(B72="","","PF"&amp;"_"&amp;IFERROR(VLOOKUP(B72,LOOKUPS!$K$2:$L$9,2,FALSE),"UNK")&amp;"_"&amp;IFERROR(VLOOKUP(C72,LOOKUPS!$N$2:$O$8,2,FALSE),"UNK")&amp;"_"&amp;UPPER(L72))</f>
        <v/>
      </c>
      <c r="N72" s="3" t="str">
        <f>IF(M72="","",COUNTIF($M$2:M72,M72))</f>
        <v/>
      </c>
    </row>
    <row r="73" spans="1:14" x14ac:dyDescent="0.3">
      <c r="A73" s="3" t="str">
        <f t="shared" si="1"/>
        <v/>
      </c>
      <c r="E73" s="3" t="s">
        <v>36</v>
      </c>
      <c r="M73" s="3" t="str">
        <f>IF(B73="","","PF"&amp;"_"&amp;IFERROR(VLOOKUP(B73,LOOKUPS!$K$2:$L$9,2,FALSE),"UNK")&amp;"_"&amp;IFERROR(VLOOKUP(C73,LOOKUPS!$N$2:$O$8,2,FALSE),"UNK")&amp;"_"&amp;UPPER(L73))</f>
        <v/>
      </c>
      <c r="N73" s="3" t="str">
        <f>IF(M73="","",COUNTIF($M$2:M73,M73))</f>
        <v/>
      </c>
    </row>
    <row r="74" spans="1:14" x14ac:dyDescent="0.3">
      <c r="A74" s="3" t="str">
        <f t="shared" si="1"/>
        <v/>
      </c>
      <c r="E74" s="3" t="s">
        <v>36</v>
      </c>
      <c r="M74" s="3" t="str">
        <f>IF(B74="","","PF"&amp;"_"&amp;IFERROR(VLOOKUP(B74,LOOKUPS!$K$2:$L$9,2,FALSE),"UNK")&amp;"_"&amp;IFERROR(VLOOKUP(C74,LOOKUPS!$N$2:$O$8,2,FALSE),"UNK")&amp;"_"&amp;UPPER(L74))</f>
        <v/>
      </c>
      <c r="N74" s="3" t="str">
        <f>IF(M74="","",COUNTIF($M$2:M74,M74))</f>
        <v/>
      </c>
    </row>
    <row r="75" spans="1:14" x14ac:dyDescent="0.3">
      <c r="A75" s="3" t="str">
        <f t="shared" si="1"/>
        <v/>
      </c>
      <c r="E75" s="3" t="s">
        <v>36</v>
      </c>
      <c r="M75" s="3" t="str">
        <f>IF(B75="","","PF"&amp;"_"&amp;IFERROR(VLOOKUP(B75,LOOKUPS!$K$2:$L$9,2,FALSE),"UNK")&amp;"_"&amp;IFERROR(VLOOKUP(C75,LOOKUPS!$N$2:$O$8,2,FALSE),"UNK")&amp;"_"&amp;UPPER(L75))</f>
        <v/>
      </c>
      <c r="N75" s="3" t="str">
        <f>IF(M75="","",COUNTIF($M$2:M75,M75))</f>
        <v/>
      </c>
    </row>
    <row r="76" spans="1:14" x14ac:dyDescent="0.3">
      <c r="A76" s="3" t="str">
        <f t="shared" si="1"/>
        <v/>
      </c>
      <c r="E76" s="3" t="s">
        <v>36</v>
      </c>
      <c r="M76" s="3" t="str">
        <f>IF(B76="","","PF"&amp;"_"&amp;IFERROR(VLOOKUP(B76,LOOKUPS!$K$2:$L$9,2,FALSE),"UNK")&amp;"_"&amp;IFERROR(VLOOKUP(C76,LOOKUPS!$N$2:$O$8,2,FALSE),"UNK")&amp;"_"&amp;UPPER(L76))</f>
        <v/>
      </c>
      <c r="N76" s="3" t="str">
        <f>IF(M76="","",COUNTIF($M$2:M76,M76))</f>
        <v/>
      </c>
    </row>
    <row r="77" spans="1:14" x14ac:dyDescent="0.3">
      <c r="A77" s="3" t="str">
        <f t="shared" si="1"/>
        <v/>
      </c>
      <c r="E77" s="3" t="s">
        <v>36</v>
      </c>
      <c r="M77" s="3" t="str">
        <f>IF(B77="","","PF"&amp;"_"&amp;IFERROR(VLOOKUP(B77,LOOKUPS!$K$2:$L$9,2,FALSE),"UNK")&amp;"_"&amp;IFERROR(VLOOKUP(C77,LOOKUPS!$N$2:$O$8,2,FALSE),"UNK")&amp;"_"&amp;UPPER(L77))</f>
        <v/>
      </c>
      <c r="N77" s="3" t="str">
        <f>IF(M77="","",COUNTIF($M$2:M77,M77))</f>
        <v/>
      </c>
    </row>
    <row r="78" spans="1:14" x14ac:dyDescent="0.3">
      <c r="A78" s="3" t="str">
        <f t="shared" si="1"/>
        <v/>
      </c>
      <c r="E78" s="3" t="s">
        <v>36</v>
      </c>
      <c r="M78" s="3" t="str">
        <f>IF(B78="","","PF"&amp;"_"&amp;IFERROR(VLOOKUP(B78,LOOKUPS!$K$2:$L$9,2,FALSE),"UNK")&amp;"_"&amp;IFERROR(VLOOKUP(C78,LOOKUPS!$N$2:$O$8,2,FALSE),"UNK")&amp;"_"&amp;UPPER(L78))</f>
        <v/>
      </c>
      <c r="N78" s="3" t="str">
        <f>IF(M78="","",COUNTIF($M$2:M78,M78))</f>
        <v/>
      </c>
    </row>
    <row r="79" spans="1:14" x14ac:dyDescent="0.3">
      <c r="A79" s="3" t="str">
        <f t="shared" si="1"/>
        <v/>
      </c>
      <c r="E79" s="3" t="s">
        <v>36</v>
      </c>
      <c r="M79" s="3" t="str">
        <f>IF(B79="","","PF"&amp;"_"&amp;IFERROR(VLOOKUP(B79,LOOKUPS!$K$2:$L$9,2,FALSE),"UNK")&amp;"_"&amp;IFERROR(VLOOKUP(C79,LOOKUPS!$N$2:$O$8,2,FALSE),"UNK")&amp;"_"&amp;UPPER(L79))</f>
        <v/>
      </c>
      <c r="N79" s="3" t="str">
        <f>IF(M79="","",COUNTIF($M$2:M79,M79))</f>
        <v/>
      </c>
    </row>
    <row r="80" spans="1:14" x14ac:dyDescent="0.3">
      <c r="A80" s="3" t="str">
        <f t="shared" si="1"/>
        <v/>
      </c>
      <c r="E80" s="3" t="s">
        <v>36</v>
      </c>
      <c r="M80" s="3" t="str">
        <f>IF(B80="","","PF"&amp;"_"&amp;IFERROR(VLOOKUP(B80,LOOKUPS!$K$2:$L$9,2,FALSE),"UNK")&amp;"_"&amp;IFERROR(VLOOKUP(C80,LOOKUPS!$N$2:$O$8,2,FALSE),"UNK")&amp;"_"&amp;UPPER(L80))</f>
        <v/>
      </c>
      <c r="N80" s="3" t="str">
        <f>IF(M80="","",COUNTIF($M$2:M80,M80))</f>
        <v/>
      </c>
    </row>
    <row r="81" spans="1:14" x14ac:dyDescent="0.3">
      <c r="A81" s="3" t="str">
        <f t="shared" si="1"/>
        <v/>
      </c>
      <c r="E81" s="3" t="s">
        <v>36</v>
      </c>
      <c r="M81" s="3" t="str">
        <f>IF(B81="","","PF"&amp;"_"&amp;IFERROR(VLOOKUP(B81,LOOKUPS!$K$2:$L$9,2,FALSE),"UNK")&amp;"_"&amp;IFERROR(VLOOKUP(C81,LOOKUPS!$N$2:$O$8,2,FALSE),"UNK")&amp;"_"&amp;UPPER(L81))</f>
        <v/>
      </c>
      <c r="N81" s="3" t="str">
        <f>IF(M81="","",COUNTIF($M$2:M81,M81))</f>
        <v/>
      </c>
    </row>
    <row r="82" spans="1:14" x14ac:dyDescent="0.3">
      <c r="A82" s="3" t="str">
        <f t="shared" si="1"/>
        <v/>
      </c>
      <c r="E82" s="3" t="s">
        <v>36</v>
      </c>
      <c r="M82" s="3" t="str">
        <f>IF(B82="","","PF"&amp;"_"&amp;IFERROR(VLOOKUP(B82,LOOKUPS!$K$2:$L$9,2,FALSE),"UNK")&amp;"_"&amp;IFERROR(VLOOKUP(C82,LOOKUPS!$N$2:$O$8,2,FALSE),"UNK")&amp;"_"&amp;UPPER(L82))</f>
        <v/>
      </c>
      <c r="N82" s="3" t="str">
        <f>IF(M82="","",COUNTIF($M$2:M82,M82))</f>
        <v/>
      </c>
    </row>
    <row r="83" spans="1:14" x14ac:dyDescent="0.3">
      <c r="A83" s="3" t="str">
        <f t="shared" si="1"/>
        <v/>
      </c>
      <c r="E83" s="3" t="s">
        <v>36</v>
      </c>
      <c r="M83" s="3" t="str">
        <f>IF(B83="","","PF"&amp;"_"&amp;IFERROR(VLOOKUP(B83,LOOKUPS!$K$2:$L$9,2,FALSE),"UNK")&amp;"_"&amp;IFERROR(VLOOKUP(C83,LOOKUPS!$N$2:$O$8,2,FALSE),"UNK")&amp;"_"&amp;UPPER(L83))</f>
        <v/>
      </c>
      <c r="N83" s="3" t="str">
        <f>IF(M83="","",COUNTIF($M$2:M83,M83))</f>
        <v/>
      </c>
    </row>
    <row r="84" spans="1:14" x14ac:dyDescent="0.3">
      <c r="A84" s="3" t="str">
        <f t="shared" si="1"/>
        <v/>
      </c>
      <c r="E84" s="3" t="s">
        <v>36</v>
      </c>
      <c r="M84" s="3" t="str">
        <f>IF(B84="","","PF"&amp;"_"&amp;IFERROR(VLOOKUP(B84,LOOKUPS!$K$2:$L$9,2,FALSE),"UNK")&amp;"_"&amp;IFERROR(VLOOKUP(C84,LOOKUPS!$N$2:$O$8,2,FALSE),"UNK")&amp;"_"&amp;UPPER(L84))</f>
        <v/>
      </c>
      <c r="N84" s="3" t="str">
        <f>IF(M84="","",COUNTIF($M$2:M84,M84))</f>
        <v/>
      </c>
    </row>
    <row r="85" spans="1:14" x14ac:dyDescent="0.3">
      <c r="A85" s="3" t="str">
        <f t="shared" si="1"/>
        <v/>
      </c>
      <c r="E85" s="3" t="s">
        <v>36</v>
      </c>
      <c r="M85" s="3" t="str">
        <f>IF(B85="","","PF"&amp;"_"&amp;IFERROR(VLOOKUP(B85,LOOKUPS!$K$2:$L$9,2,FALSE),"UNK")&amp;"_"&amp;IFERROR(VLOOKUP(C85,LOOKUPS!$N$2:$O$8,2,FALSE),"UNK")&amp;"_"&amp;UPPER(L85))</f>
        <v/>
      </c>
      <c r="N85" s="3" t="str">
        <f>IF(M85="","",COUNTIF($M$2:M85,M85))</f>
        <v/>
      </c>
    </row>
    <row r="86" spans="1:14" x14ac:dyDescent="0.3">
      <c r="A86" s="3" t="str">
        <f t="shared" si="1"/>
        <v/>
      </c>
      <c r="E86" s="3" t="s">
        <v>36</v>
      </c>
      <c r="M86" s="3" t="str">
        <f>IF(B86="","","PF"&amp;"_"&amp;IFERROR(VLOOKUP(B86,LOOKUPS!$K$2:$L$9,2,FALSE),"UNK")&amp;"_"&amp;IFERROR(VLOOKUP(C86,LOOKUPS!$N$2:$O$8,2,FALSE),"UNK")&amp;"_"&amp;UPPER(L86))</f>
        <v/>
      </c>
      <c r="N86" s="3" t="str">
        <f>IF(M86="","",COUNTIF($M$2:M86,M86))</f>
        <v/>
      </c>
    </row>
    <row r="87" spans="1:14" x14ac:dyDescent="0.3">
      <c r="A87" s="3" t="str">
        <f t="shared" si="1"/>
        <v/>
      </c>
      <c r="E87" s="3" t="s">
        <v>36</v>
      </c>
      <c r="M87" s="3" t="str">
        <f>IF(B87="","","PF"&amp;"_"&amp;IFERROR(VLOOKUP(B87,LOOKUPS!$K$2:$L$9,2,FALSE),"UNK")&amp;"_"&amp;IFERROR(VLOOKUP(C87,LOOKUPS!$N$2:$O$8,2,FALSE),"UNK")&amp;"_"&amp;UPPER(L87))</f>
        <v/>
      </c>
      <c r="N87" s="3" t="str">
        <f>IF(M87="","",COUNTIF($M$2:M87,M87))</f>
        <v/>
      </c>
    </row>
    <row r="88" spans="1:14" x14ac:dyDescent="0.3">
      <c r="A88" s="3" t="str">
        <f t="shared" si="1"/>
        <v/>
      </c>
      <c r="E88" s="3" t="s">
        <v>36</v>
      </c>
      <c r="M88" s="3" t="str">
        <f>IF(B88="","","PF"&amp;"_"&amp;IFERROR(VLOOKUP(B88,LOOKUPS!$K$2:$L$9,2,FALSE),"UNK")&amp;"_"&amp;IFERROR(VLOOKUP(C88,LOOKUPS!$N$2:$O$8,2,FALSE),"UNK")&amp;"_"&amp;UPPER(L88))</f>
        <v/>
      </c>
      <c r="N88" s="3" t="str">
        <f>IF(M88="","",COUNTIF($M$2:M88,M88))</f>
        <v/>
      </c>
    </row>
    <row r="89" spans="1:14" x14ac:dyDescent="0.3">
      <c r="A89" s="3" t="str">
        <f t="shared" si="1"/>
        <v/>
      </c>
      <c r="E89" s="3" t="s">
        <v>36</v>
      </c>
      <c r="M89" s="3" t="str">
        <f>IF(B89="","","PF"&amp;"_"&amp;IFERROR(VLOOKUP(B89,LOOKUPS!$K$2:$L$9,2,FALSE),"UNK")&amp;"_"&amp;IFERROR(VLOOKUP(C89,LOOKUPS!$N$2:$O$8,2,FALSE),"UNK")&amp;"_"&amp;UPPER(L89))</f>
        <v/>
      </c>
      <c r="N89" s="3" t="str">
        <f>IF(M89="","",COUNTIF($M$2:M89,M89))</f>
        <v/>
      </c>
    </row>
    <row r="90" spans="1:14" x14ac:dyDescent="0.3">
      <c r="A90" s="3" t="str">
        <f t="shared" si="1"/>
        <v/>
      </c>
      <c r="E90" s="3" t="s">
        <v>36</v>
      </c>
      <c r="M90" s="3" t="str">
        <f>IF(B90="","","PF"&amp;"_"&amp;IFERROR(VLOOKUP(B90,LOOKUPS!$K$2:$L$9,2,FALSE),"UNK")&amp;"_"&amp;IFERROR(VLOOKUP(C90,LOOKUPS!$N$2:$O$8,2,FALSE),"UNK")&amp;"_"&amp;UPPER(L90))</f>
        <v/>
      </c>
      <c r="N90" s="3" t="str">
        <f>IF(M90="","",COUNTIF($M$2:M90,M90))</f>
        <v/>
      </c>
    </row>
    <row r="91" spans="1:14" x14ac:dyDescent="0.3">
      <c r="A91" s="3" t="str">
        <f t="shared" si="1"/>
        <v/>
      </c>
      <c r="E91" s="3" t="s">
        <v>36</v>
      </c>
      <c r="M91" s="3" t="str">
        <f>IF(B91="","","PF"&amp;"_"&amp;IFERROR(VLOOKUP(B91,LOOKUPS!$K$2:$L$9,2,FALSE),"UNK")&amp;"_"&amp;IFERROR(VLOOKUP(C91,LOOKUPS!$N$2:$O$8,2,FALSE),"UNK")&amp;"_"&amp;UPPER(L91))</f>
        <v/>
      </c>
      <c r="N91" s="3" t="str">
        <f>IF(M91="","",COUNTIF($M$2:M91,M91))</f>
        <v/>
      </c>
    </row>
    <row r="92" spans="1:14" x14ac:dyDescent="0.3">
      <c r="A92" s="3" t="str">
        <f t="shared" si="1"/>
        <v/>
      </c>
      <c r="E92" s="3" t="s">
        <v>36</v>
      </c>
      <c r="M92" s="3" t="str">
        <f>IF(B92="","","PF"&amp;"_"&amp;IFERROR(VLOOKUP(B92,LOOKUPS!$K$2:$L$9,2,FALSE),"UNK")&amp;"_"&amp;IFERROR(VLOOKUP(C92,LOOKUPS!$N$2:$O$8,2,FALSE),"UNK")&amp;"_"&amp;UPPER(L92))</f>
        <v/>
      </c>
      <c r="N92" s="3" t="str">
        <f>IF(M92="","",COUNTIF($M$2:M92,M92))</f>
        <v/>
      </c>
    </row>
    <row r="93" spans="1:14" x14ac:dyDescent="0.3">
      <c r="A93" s="3" t="str">
        <f t="shared" si="1"/>
        <v/>
      </c>
      <c r="E93" s="3" t="s">
        <v>36</v>
      </c>
      <c r="M93" s="3" t="str">
        <f>IF(B93="","","PF"&amp;"_"&amp;IFERROR(VLOOKUP(B93,LOOKUPS!$K$2:$L$9,2,FALSE),"UNK")&amp;"_"&amp;IFERROR(VLOOKUP(C93,LOOKUPS!$N$2:$O$8,2,FALSE),"UNK")&amp;"_"&amp;UPPER(L93))</f>
        <v/>
      </c>
      <c r="N93" s="3" t="str">
        <f>IF(M93="","",COUNTIF($M$2:M93,M93))</f>
        <v/>
      </c>
    </row>
    <row r="94" spans="1:14" x14ac:dyDescent="0.3">
      <c r="A94" s="3" t="str">
        <f t="shared" si="1"/>
        <v/>
      </c>
      <c r="E94" s="3" t="s">
        <v>36</v>
      </c>
      <c r="M94" s="3" t="str">
        <f>IF(B94="","","PF"&amp;"_"&amp;IFERROR(VLOOKUP(B94,LOOKUPS!$K$2:$L$9,2,FALSE),"UNK")&amp;"_"&amp;IFERROR(VLOOKUP(C94,LOOKUPS!$N$2:$O$8,2,FALSE),"UNK")&amp;"_"&amp;UPPER(L94))</f>
        <v/>
      </c>
      <c r="N94" s="3" t="str">
        <f>IF(M94="","",COUNTIF($M$2:M94,M94))</f>
        <v/>
      </c>
    </row>
    <row r="95" spans="1:14" x14ac:dyDescent="0.3">
      <c r="A95" s="3" t="str">
        <f t="shared" si="1"/>
        <v/>
      </c>
      <c r="E95" s="3" t="s">
        <v>36</v>
      </c>
      <c r="M95" s="3" t="str">
        <f>IF(B95="","","PF"&amp;"_"&amp;IFERROR(VLOOKUP(B95,LOOKUPS!$K$2:$L$9,2,FALSE),"UNK")&amp;"_"&amp;IFERROR(VLOOKUP(C95,LOOKUPS!$N$2:$O$8,2,FALSE),"UNK")&amp;"_"&amp;UPPER(L95))</f>
        <v/>
      </c>
      <c r="N95" s="3" t="str">
        <f>IF(M95="","",COUNTIF($M$2:M95,M95))</f>
        <v/>
      </c>
    </row>
    <row r="96" spans="1:14" x14ac:dyDescent="0.3">
      <c r="A96" s="3" t="str">
        <f t="shared" si="1"/>
        <v/>
      </c>
      <c r="E96" s="3" t="s">
        <v>36</v>
      </c>
      <c r="M96" s="3" t="str">
        <f>IF(B96="","","PF"&amp;"_"&amp;IFERROR(VLOOKUP(B96,LOOKUPS!$K$2:$L$9,2,FALSE),"UNK")&amp;"_"&amp;IFERROR(VLOOKUP(C96,LOOKUPS!$N$2:$O$8,2,FALSE),"UNK")&amp;"_"&amp;UPPER(L96))</f>
        <v/>
      </c>
      <c r="N96" s="3" t="str">
        <f>IF(M96="","",COUNTIF($M$2:M96,M96))</f>
        <v/>
      </c>
    </row>
    <row r="97" spans="1:14" x14ac:dyDescent="0.3">
      <c r="A97" s="3" t="str">
        <f t="shared" si="1"/>
        <v/>
      </c>
      <c r="E97" s="3" t="s">
        <v>36</v>
      </c>
      <c r="M97" s="3" t="str">
        <f>IF(B97="","","PF"&amp;"_"&amp;IFERROR(VLOOKUP(B97,LOOKUPS!$K$2:$L$9,2,FALSE),"UNK")&amp;"_"&amp;IFERROR(VLOOKUP(C97,LOOKUPS!$N$2:$O$8,2,FALSE),"UNK")&amp;"_"&amp;UPPER(L97))</f>
        <v/>
      </c>
      <c r="N97" s="3" t="str">
        <f>IF(M97="","",COUNTIF($M$2:M97,M97))</f>
        <v/>
      </c>
    </row>
    <row r="98" spans="1:14" x14ac:dyDescent="0.3">
      <c r="A98" s="3" t="str">
        <f t="shared" si="1"/>
        <v/>
      </c>
      <c r="E98" s="3" t="s">
        <v>36</v>
      </c>
      <c r="M98" s="3" t="str">
        <f>IF(B98="","","PF"&amp;"_"&amp;IFERROR(VLOOKUP(B98,LOOKUPS!$K$2:$L$9,2,FALSE),"UNK")&amp;"_"&amp;IFERROR(VLOOKUP(C98,LOOKUPS!$N$2:$O$8,2,FALSE),"UNK")&amp;"_"&amp;UPPER(L98))</f>
        <v/>
      </c>
      <c r="N98" s="3" t="str">
        <f>IF(M98="","",COUNTIF($M$2:M98,M98))</f>
        <v/>
      </c>
    </row>
    <row r="99" spans="1:14" x14ac:dyDescent="0.3">
      <c r="A99" s="3" t="str">
        <f t="shared" si="1"/>
        <v/>
      </c>
      <c r="E99" s="3" t="s">
        <v>36</v>
      </c>
      <c r="M99" s="3" t="str">
        <f>IF(B99="","","PF"&amp;"_"&amp;IFERROR(VLOOKUP(B99,LOOKUPS!$K$2:$L$9,2,FALSE),"UNK")&amp;"_"&amp;IFERROR(VLOOKUP(C99,LOOKUPS!$N$2:$O$8,2,FALSE),"UNK")&amp;"_"&amp;UPPER(L99))</f>
        <v/>
      </c>
      <c r="N99" s="3" t="str">
        <f>IF(M99="","",COUNTIF($M$2:M99,M99))</f>
        <v/>
      </c>
    </row>
    <row r="100" spans="1:14" x14ac:dyDescent="0.3">
      <c r="A100" s="3" t="str">
        <f t="shared" si="1"/>
        <v/>
      </c>
      <c r="E100" s="3" t="s">
        <v>36</v>
      </c>
      <c r="M100" s="3" t="str">
        <f>IF(B100="","","PF"&amp;"_"&amp;IFERROR(VLOOKUP(B100,LOOKUPS!$K$2:$L$9,2,FALSE),"UNK")&amp;"_"&amp;IFERROR(VLOOKUP(C100,LOOKUPS!$N$2:$O$8,2,FALSE),"UNK")&amp;"_"&amp;UPPER(L100))</f>
        <v/>
      </c>
      <c r="N100" s="3" t="str">
        <f>IF(M100="","",COUNTIF($M$2:M100,M100))</f>
        <v/>
      </c>
    </row>
    <row r="101" spans="1:14" x14ac:dyDescent="0.3">
      <c r="A101" s="3" t="str">
        <f t="shared" si="1"/>
        <v/>
      </c>
      <c r="E101" s="3" t="s">
        <v>36</v>
      </c>
      <c r="M101" s="3" t="str">
        <f>IF(B101="","","PF"&amp;"_"&amp;IFERROR(VLOOKUP(B101,LOOKUPS!$K$2:$L$9,2,FALSE),"UNK")&amp;"_"&amp;IFERROR(VLOOKUP(C101,LOOKUPS!$N$2:$O$8,2,FALSE),"UNK")&amp;"_"&amp;UPPER(L101))</f>
        <v/>
      </c>
      <c r="N101" s="3" t="str">
        <f>IF(M101="","",COUNTIF($M$2:M101,M101))</f>
        <v/>
      </c>
    </row>
    <row r="102" spans="1:14" x14ac:dyDescent="0.3">
      <c r="A102" s="3" t="str">
        <f t="shared" si="1"/>
        <v/>
      </c>
      <c r="E102" s="3" t="s">
        <v>36</v>
      </c>
      <c r="M102" s="3" t="str">
        <f>IF(B102="","","PF"&amp;"_"&amp;IFERROR(VLOOKUP(B102,LOOKUPS!$K$2:$L$9,2,FALSE),"UNK")&amp;"_"&amp;IFERROR(VLOOKUP(C102,LOOKUPS!$N$2:$O$8,2,FALSE),"UNK")&amp;"_"&amp;UPPER(L102))</f>
        <v/>
      </c>
      <c r="N102" s="3" t="str">
        <f>IF(M102="","",COUNTIF($M$2:M102,M102))</f>
        <v/>
      </c>
    </row>
    <row r="103" spans="1:14" x14ac:dyDescent="0.3">
      <c r="A103" s="3" t="str">
        <f t="shared" si="1"/>
        <v/>
      </c>
      <c r="E103" s="3" t="s">
        <v>36</v>
      </c>
      <c r="M103" s="3" t="str">
        <f>IF(B103="","","PF"&amp;"_"&amp;IFERROR(VLOOKUP(B103,LOOKUPS!$K$2:$L$9,2,FALSE),"UNK")&amp;"_"&amp;IFERROR(VLOOKUP(C103,LOOKUPS!$N$2:$O$8,2,FALSE),"UNK")&amp;"_"&amp;UPPER(L103))</f>
        <v/>
      </c>
      <c r="N103" s="3" t="str">
        <f>IF(M103="","",COUNTIF($M$2:M103,M103))</f>
        <v/>
      </c>
    </row>
    <row r="104" spans="1:14" x14ac:dyDescent="0.3">
      <c r="A104" s="3" t="str">
        <f t="shared" si="1"/>
        <v/>
      </c>
      <c r="E104" s="3" t="s">
        <v>36</v>
      </c>
      <c r="M104" s="3" t="str">
        <f>IF(B104="","","PF"&amp;"_"&amp;IFERROR(VLOOKUP(B104,LOOKUPS!$K$2:$L$9,2,FALSE),"UNK")&amp;"_"&amp;IFERROR(VLOOKUP(C104,LOOKUPS!$N$2:$O$8,2,FALSE),"UNK")&amp;"_"&amp;UPPER(L104))</f>
        <v/>
      </c>
      <c r="N104" s="3" t="str">
        <f>IF(M104="","",COUNTIF($M$2:M104,M104))</f>
        <v/>
      </c>
    </row>
    <row r="105" spans="1:14" x14ac:dyDescent="0.3">
      <c r="A105" s="3" t="str">
        <f t="shared" si="1"/>
        <v/>
      </c>
      <c r="E105" s="3" t="s">
        <v>36</v>
      </c>
      <c r="M105" s="3" t="str">
        <f>IF(B105="","","PF"&amp;"_"&amp;IFERROR(VLOOKUP(B105,LOOKUPS!$K$2:$L$9,2,FALSE),"UNK")&amp;"_"&amp;IFERROR(VLOOKUP(C105,LOOKUPS!$N$2:$O$8,2,FALSE),"UNK")&amp;"_"&amp;UPPER(L105))</f>
        <v/>
      </c>
      <c r="N105" s="3" t="str">
        <f>IF(M105="","",COUNTIF($M$2:M105,M105))</f>
        <v/>
      </c>
    </row>
    <row r="106" spans="1:14" x14ac:dyDescent="0.3">
      <c r="A106" s="3" t="str">
        <f t="shared" si="1"/>
        <v/>
      </c>
      <c r="E106" s="3" t="s">
        <v>36</v>
      </c>
      <c r="M106" s="3" t="str">
        <f>IF(B106="","","PF"&amp;"_"&amp;IFERROR(VLOOKUP(B106,LOOKUPS!$K$2:$L$9,2,FALSE),"UNK")&amp;"_"&amp;IFERROR(VLOOKUP(C106,LOOKUPS!$N$2:$O$8,2,FALSE),"UNK")&amp;"_"&amp;UPPER(L106))</f>
        <v/>
      </c>
      <c r="N106" s="3" t="str">
        <f>IF(M106="","",COUNTIF($M$2:M106,M106))</f>
        <v/>
      </c>
    </row>
    <row r="107" spans="1:14" x14ac:dyDescent="0.3">
      <c r="A107" s="3" t="str">
        <f t="shared" si="1"/>
        <v/>
      </c>
      <c r="E107" s="3" t="s">
        <v>36</v>
      </c>
      <c r="M107" s="3" t="str">
        <f>IF(B107="","","PF"&amp;"_"&amp;IFERROR(VLOOKUP(B107,LOOKUPS!$K$2:$L$9,2,FALSE),"UNK")&amp;"_"&amp;IFERROR(VLOOKUP(C107,LOOKUPS!$N$2:$O$8,2,FALSE),"UNK")&amp;"_"&amp;UPPER(L107))</f>
        <v/>
      </c>
      <c r="N107" s="3" t="str">
        <f>IF(M107="","",COUNTIF($M$2:M107,M107))</f>
        <v/>
      </c>
    </row>
    <row r="108" spans="1:14" x14ac:dyDescent="0.3">
      <c r="A108" s="3" t="str">
        <f t="shared" si="1"/>
        <v/>
      </c>
      <c r="E108" s="3" t="s">
        <v>36</v>
      </c>
      <c r="M108" s="3" t="str">
        <f>IF(B108="","","PF"&amp;"_"&amp;IFERROR(VLOOKUP(B108,LOOKUPS!$K$2:$L$9,2,FALSE),"UNK")&amp;"_"&amp;IFERROR(VLOOKUP(C108,LOOKUPS!$N$2:$O$8,2,FALSE),"UNK")&amp;"_"&amp;UPPER(L108))</f>
        <v/>
      </c>
      <c r="N108" s="3" t="str">
        <f>IF(M108="","",COUNTIF($M$2:M108,M108))</f>
        <v/>
      </c>
    </row>
    <row r="109" spans="1:14" x14ac:dyDescent="0.3">
      <c r="A109" s="3" t="str">
        <f t="shared" si="1"/>
        <v/>
      </c>
      <c r="E109" s="3" t="s">
        <v>36</v>
      </c>
      <c r="M109" s="3" t="str">
        <f>IF(B109="","","PF"&amp;"_"&amp;IFERROR(VLOOKUP(B109,LOOKUPS!$K$2:$L$9,2,FALSE),"UNK")&amp;"_"&amp;IFERROR(VLOOKUP(C109,LOOKUPS!$N$2:$O$8,2,FALSE),"UNK")&amp;"_"&amp;UPPER(L109))</f>
        <v/>
      </c>
      <c r="N109" s="3" t="str">
        <f>IF(M109="","",COUNTIF($M$2:M109,M109))</f>
        <v/>
      </c>
    </row>
    <row r="110" spans="1:14" x14ac:dyDescent="0.3">
      <c r="A110" s="3" t="str">
        <f t="shared" si="1"/>
        <v/>
      </c>
      <c r="E110" s="3" t="s">
        <v>36</v>
      </c>
      <c r="M110" s="3" t="str">
        <f>IF(B110="","","PF"&amp;"_"&amp;IFERROR(VLOOKUP(B110,LOOKUPS!$K$2:$L$9,2,FALSE),"UNK")&amp;"_"&amp;IFERROR(VLOOKUP(C110,LOOKUPS!$N$2:$O$8,2,FALSE),"UNK")&amp;"_"&amp;UPPER(L110))</f>
        <v/>
      </c>
      <c r="N110" s="3" t="str">
        <f>IF(M110="","",COUNTIF($M$2:M110,M110))</f>
        <v/>
      </c>
    </row>
    <row r="111" spans="1:14" x14ac:dyDescent="0.3">
      <c r="A111" s="3" t="str">
        <f t="shared" si="1"/>
        <v/>
      </c>
      <c r="E111" s="3" t="s">
        <v>36</v>
      </c>
      <c r="M111" s="3" t="str">
        <f>IF(B111="","","PF"&amp;"_"&amp;IFERROR(VLOOKUP(B111,LOOKUPS!$K$2:$L$9,2,FALSE),"UNK")&amp;"_"&amp;IFERROR(VLOOKUP(C111,LOOKUPS!$N$2:$O$8,2,FALSE),"UNK")&amp;"_"&amp;UPPER(L111))</f>
        <v/>
      </c>
      <c r="N111" s="3" t="str">
        <f>IF(M111="","",COUNTIF($M$2:M111,M111))</f>
        <v/>
      </c>
    </row>
    <row r="112" spans="1:14" x14ac:dyDescent="0.3">
      <c r="A112" s="3" t="str">
        <f t="shared" si="1"/>
        <v/>
      </c>
      <c r="E112" s="3" t="s">
        <v>36</v>
      </c>
      <c r="M112" s="3" t="str">
        <f>IF(B112="","","PF"&amp;"_"&amp;IFERROR(VLOOKUP(B112,LOOKUPS!$K$2:$L$9,2,FALSE),"UNK")&amp;"_"&amp;IFERROR(VLOOKUP(C112,LOOKUPS!$N$2:$O$8,2,FALSE),"UNK")&amp;"_"&amp;UPPER(L112))</f>
        <v/>
      </c>
      <c r="N112" s="3" t="str">
        <f>IF(M112="","",COUNTIF($M$2:M112,M112))</f>
        <v/>
      </c>
    </row>
    <row r="113" spans="1:14" x14ac:dyDescent="0.3">
      <c r="A113" s="3" t="str">
        <f t="shared" si="1"/>
        <v/>
      </c>
      <c r="E113" s="3" t="s">
        <v>36</v>
      </c>
      <c r="M113" s="3" t="str">
        <f>IF(B113="","","PF"&amp;"_"&amp;IFERROR(VLOOKUP(B113,LOOKUPS!$K$2:$L$9,2,FALSE),"UNK")&amp;"_"&amp;IFERROR(VLOOKUP(C113,LOOKUPS!$N$2:$O$8,2,FALSE),"UNK")&amp;"_"&amp;UPPER(L113))</f>
        <v/>
      </c>
      <c r="N113" s="3" t="str">
        <f>IF(M113="","",COUNTIF($M$2:M113,M113))</f>
        <v/>
      </c>
    </row>
    <row r="114" spans="1:14" x14ac:dyDescent="0.3">
      <c r="A114" s="3" t="str">
        <f t="shared" si="1"/>
        <v/>
      </c>
      <c r="E114" s="3" t="s">
        <v>36</v>
      </c>
      <c r="M114" s="3" t="str">
        <f>IF(B114="","","PF"&amp;"_"&amp;IFERROR(VLOOKUP(B114,LOOKUPS!$K$2:$L$9,2,FALSE),"UNK")&amp;"_"&amp;IFERROR(VLOOKUP(C114,LOOKUPS!$N$2:$O$8,2,FALSE),"UNK")&amp;"_"&amp;UPPER(L114))</f>
        <v/>
      </c>
      <c r="N114" s="3" t="str">
        <f>IF(M114="","",COUNTIF($M$2:M114,M114))</f>
        <v/>
      </c>
    </row>
    <row r="115" spans="1:14" x14ac:dyDescent="0.3">
      <c r="A115" s="3" t="str">
        <f t="shared" si="1"/>
        <v/>
      </c>
      <c r="E115" s="3" t="s">
        <v>36</v>
      </c>
      <c r="M115" s="3" t="str">
        <f>IF(B115="","","PF"&amp;"_"&amp;IFERROR(VLOOKUP(B115,LOOKUPS!$K$2:$L$9,2,FALSE),"UNK")&amp;"_"&amp;IFERROR(VLOOKUP(C115,LOOKUPS!$N$2:$O$8,2,FALSE),"UNK")&amp;"_"&amp;UPPER(L115))</f>
        <v/>
      </c>
      <c r="N115" s="3" t="str">
        <f>IF(M115="","",COUNTIF($M$2:M115,M115))</f>
        <v/>
      </c>
    </row>
    <row r="116" spans="1:14" x14ac:dyDescent="0.3">
      <c r="A116" s="3" t="str">
        <f t="shared" si="1"/>
        <v/>
      </c>
      <c r="E116" s="3" t="s">
        <v>36</v>
      </c>
      <c r="M116" s="3" t="str">
        <f>IF(B116="","","PF"&amp;"_"&amp;IFERROR(VLOOKUP(B116,LOOKUPS!$K$2:$L$9,2,FALSE),"UNK")&amp;"_"&amp;IFERROR(VLOOKUP(C116,LOOKUPS!$N$2:$O$8,2,FALSE),"UNK")&amp;"_"&amp;UPPER(L116))</f>
        <v/>
      </c>
      <c r="N116" s="3" t="str">
        <f>IF(M116="","",COUNTIF($M$2:M116,M116))</f>
        <v/>
      </c>
    </row>
    <row r="117" spans="1:14" x14ac:dyDescent="0.3">
      <c r="A117" s="3" t="str">
        <f t="shared" si="1"/>
        <v/>
      </c>
      <c r="E117" s="3" t="s">
        <v>36</v>
      </c>
      <c r="M117" s="3" t="str">
        <f>IF(B117="","","PF"&amp;"_"&amp;IFERROR(VLOOKUP(B117,LOOKUPS!$K$2:$L$9,2,FALSE),"UNK")&amp;"_"&amp;IFERROR(VLOOKUP(C117,LOOKUPS!$N$2:$O$8,2,FALSE),"UNK")&amp;"_"&amp;UPPER(L117))</f>
        <v/>
      </c>
      <c r="N117" s="3" t="str">
        <f>IF(M117="","",COUNTIF($M$2:M117,M117))</f>
        <v/>
      </c>
    </row>
    <row r="118" spans="1:14" x14ac:dyDescent="0.3">
      <c r="A118" s="3" t="str">
        <f t="shared" si="1"/>
        <v/>
      </c>
      <c r="E118" s="3" t="s">
        <v>36</v>
      </c>
      <c r="M118" s="3" t="str">
        <f>IF(B118="","","PF"&amp;"_"&amp;IFERROR(VLOOKUP(B118,LOOKUPS!$K$2:$L$9,2,FALSE),"UNK")&amp;"_"&amp;IFERROR(VLOOKUP(C118,LOOKUPS!$N$2:$O$8,2,FALSE),"UNK")&amp;"_"&amp;UPPER(L118))</f>
        <v/>
      </c>
      <c r="N118" s="3" t="str">
        <f>IF(M118="","",COUNTIF($M$2:M118,M118))</f>
        <v/>
      </c>
    </row>
    <row r="119" spans="1:14" x14ac:dyDescent="0.3">
      <c r="A119" s="3" t="str">
        <f t="shared" si="1"/>
        <v/>
      </c>
      <c r="E119" s="3" t="s">
        <v>36</v>
      </c>
      <c r="M119" s="3" t="str">
        <f>IF(B119="","","PF"&amp;"_"&amp;IFERROR(VLOOKUP(B119,LOOKUPS!$K$2:$L$9,2,FALSE),"UNK")&amp;"_"&amp;IFERROR(VLOOKUP(C119,LOOKUPS!$N$2:$O$8,2,FALSE),"UNK")&amp;"_"&amp;UPPER(L119))</f>
        <v/>
      </c>
      <c r="N119" s="3" t="str">
        <f>IF(M119="","",COUNTIF($M$2:M119,M119))</f>
        <v/>
      </c>
    </row>
    <row r="120" spans="1:14" x14ac:dyDescent="0.3">
      <c r="A120" s="3" t="str">
        <f t="shared" si="1"/>
        <v/>
      </c>
      <c r="E120" s="3" t="s">
        <v>36</v>
      </c>
      <c r="M120" s="3" t="str">
        <f>IF(B120="","","PF"&amp;"_"&amp;IFERROR(VLOOKUP(B120,LOOKUPS!$K$2:$L$9,2,FALSE),"UNK")&amp;"_"&amp;IFERROR(VLOOKUP(C120,LOOKUPS!$N$2:$O$8,2,FALSE),"UNK")&amp;"_"&amp;UPPER(L120))</f>
        <v/>
      </c>
      <c r="N120" s="3" t="str">
        <f>IF(M120="","",COUNTIF($M$2:M120,M120))</f>
        <v/>
      </c>
    </row>
    <row r="121" spans="1:14" x14ac:dyDescent="0.3">
      <c r="A121" s="3" t="str">
        <f t="shared" si="1"/>
        <v/>
      </c>
      <c r="E121" s="3" t="s">
        <v>36</v>
      </c>
      <c r="M121" s="3" t="str">
        <f>IF(B121="","","PF"&amp;"_"&amp;IFERROR(VLOOKUP(B121,LOOKUPS!$K$2:$L$9,2,FALSE),"UNK")&amp;"_"&amp;IFERROR(VLOOKUP(C121,LOOKUPS!$N$2:$O$8,2,FALSE),"UNK")&amp;"_"&amp;UPPER(L121))</f>
        <v/>
      </c>
      <c r="N121" s="3" t="str">
        <f>IF(M121="","",COUNTIF($M$2:M121,M121))</f>
        <v/>
      </c>
    </row>
    <row r="122" spans="1:14" x14ac:dyDescent="0.3">
      <c r="A122" s="3" t="str">
        <f t="shared" si="1"/>
        <v/>
      </c>
      <c r="E122" s="3" t="s">
        <v>36</v>
      </c>
      <c r="M122" s="3" t="str">
        <f>IF(B122="","","PF"&amp;"_"&amp;IFERROR(VLOOKUP(B122,LOOKUPS!$K$2:$L$9,2,FALSE),"UNK")&amp;"_"&amp;IFERROR(VLOOKUP(C122,LOOKUPS!$N$2:$O$8,2,FALSE),"UNK")&amp;"_"&amp;UPPER(L122))</f>
        <v/>
      </c>
      <c r="N122" s="3" t="str">
        <f>IF(M122="","",COUNTIF($M$2:M122,M122))</f>
        <v/>
      </c>
    </row>
    <row r="123" spans="1:14" x14ac:dyDescent="0.3">
      <c r="A123" s="3" t="str">
        <f t="shared" si="1"/>
        <v/>
      </c>
      <c r="E123" s="3" t="s">
        <v>36</v>
      </c>
      <c r="M123" s="3" t="str">
        <f>IF(B123="","","PF"&amp;"_"&amp;IFERROR(VLOOKUP(B123,LOOKUPS!$K$2:$L$9,2,FALSE),"UNK")&amp;"_"&amp;IFERROR(VLOOKUP(C123,LOOKUPS!$N$2:$O$8,2,FALSE),"UNK")&amp;"_"&amp;UPPER(L123))</f>
        <v/>
      </c>
      <c r="N123" s="3" t="str">
        <f>IF(M123="","",COUNTIF($M$2:M123,M123))</f>
        <v/>
      </c>
    </row>
    <row r="124" spans="1:14" x14ac:dyDescent="0.3">
      <c r="A124" s="3" t="str">
        <f t="shared" si="1"/>
        <v/>
      </c>
      <c r="E124" s="3" t="s">
        <v>36</v>
      </c>
      <c r="M124" s="3" t="str">
        <f>IF(B124="","","PF"&amp;"_"&amp;IFERROR(VLOOKUP(B124,LOOKUPS!$K$2:$L$9,2,FALSE),"UNK")&amp;"_"&amp;IFERROR(VLOOKUP(C124,LOOKUPS!$N$2:$O$8,2,FALSE),"UNK")&amp;"_"&amp;UPPER(L124))</f>
        <v/>
      </c>
      <c r="N124" s="3" t="str">
        <f>IF(M124="","",COUNTIF($M$2:M124,M124))</f>
        <v/>
      </c>
    </row>
    <row r="125" spans="1:14" x14ac:dyDescent="0.3">
      <c r="A125" s="3" t="str">
        <f t="shared" si="1"/>
        <v/>
      </c>
      <c r="E125" s="3" t="s">
        <v>36</v>
      </c>
      <c r="M125" s="3" t="str">
        <f>IF(B125="","","PF"&amp;"_"&amp;IFERROR(VLOOKUP(B125,LOOKUPS!$K$2:$L$9,2,FALSE),"UNK")&amp;"_"&amp;IFERROR(VLOOKUP(C125,LOOKUPS!$N$2:$O$8,2,FALSE),"UNK")&amp;"_"&amp;UPPER(L125))</f>
        <v/>
      </c>
      <c r="N125" s="3" t="str">
        <f>IF(M125="","",COUNTIF($M$2:M125,M125))</f>
        <v/>
      </c>
    </row>
    <row r="126" spans="1:14" x14ac:dyDescent="0.3">
      <c r="A126" s="3" t="str">
        <f t="shared" si="1"/>
        <v/>
      </c>
      <c r="E126" s="3" t="s">
        <v>36</v>
      </c>
      <c r="M126" s="3" t="str">
        <f>IF(B126="","","PF"&amp;"_"&amp;IFERROR(VLOOKUP(B126,LOOKUPS!$K$2:$L$9,2,FALSE),"UNK")&amp;"_"&amp;IFERROR(VLOOKUP(C126,LOOKUPS!$N$2:$O$8,2,FALSE),"UNK")&amp;"_"&amp;UPPER(L126))</f>
        <v/>
      </c>
      <c r="N126" s="3" t="str">
        <f>IF(M126="","",COUNTIF($M$2:M126,M126))</f>
        <v/>
      </c>
    </row>
    <row r="127" spans="1:14" x14ac:dyDescent="0.3">
      <c r="A127" s="3" t="str">
        <f t="shared" si="1"/>
        <v/>
      </c>
      <c r="E127" s="3" t="s">
        <v>36</v>
      </c>
      <c r="M127" s="3" t="str">
        <f>IF(B127="","","PF"&amp;"_"&amp;IFERROR(VLOOKUP(B127,LOOKUPS!$K$2:$L$9,2,FALSE),"UNK")&amp;"_"&amp;IFERROR(VLOOKUP(C127,LOOKUPS!$N$2:$O$8,2,FALSE),"UNK")&amp;"_"&amp;UPPER(L127))</f>
        <v/>
      </c>
      <c r="N127" s="3" t="str">
        <f>IF(M127="","",COUNTIF($M$2:M127,M127))</f>
        <v/>
      </c>
    </row>
    <row r="128" spans="1:14" x14ac:dyDescent="0.3">
      <c r="A128" s="3" t="str">
        <f t="shared" si="1"/>
        <v/>
      </c>
      <c r="E128" s="3" t="s">
        <v>36</v>
      </c>
      <c r="M128" s="3" t="str">
        <f>IF(B128="","","PF"&amp;"_"&amp;IFERROR(VLOOKUP(B128,LOOKUPS!$K$2:$L$9,2,FALSE),"UNK")&amp;"_"&amp;IFERROR(VLOOKUP(C128,LOOKUPS!$N$2:$O$8,2,FALSE),"UNK")&amp;"_"&amp;UPPER(L128))</f>
        <v/>
      </c>
      <c r="N128" s="3" t="str">
        <f>IF(M128="","",COUNTIF($M$2:M128,M128))</f>
        <v/>
      </c>
    </row>
    <row r="129" spans="1:14" x14ac:dyDescent="0.3">
      <c r="A129" s="3" t="str">
        <f t="shared" si="1"/>
        <v/>
      </c>
      <c r="E129" s="3" t="s">
        <v>36</v>
      </c>
      <c r="M129" s="3" t="str">
        <f>IF(B129="","","PF"&amp;"_"&amp;IFERROR(VLOOKUP(B129,LOOKUPS!$K$2:$L$9,2,FALSE),"UNK")&amp;"_"&amp;IFERROR(VLOOKUP(C129,LOOKUPS!$N$2:$O$8,2,FALSE),"UNK")&amp;"_"&amp;UPPER(L129))</f>
        <v/>
      </c>
      <c r="N129" s="3" t="str">
        <f>IF(M129="","",COUNTIF($M$2:M129,M129))</f>
        <v/>
      </c>
    </row>
    <row r="130" spans="1:14" x14ac:dyDescent="0.3">
      <c r="A130" s="3" t="str">
        <f t="shared" si="1"/>
        <v/>
      </c>
      <c r="E130" s="3" t="s">
        <v>36</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E131" s="3" t="s">
        <v>36</v>
      </c>
      <c r="M131" s="3" t="str">
        <f>IF(B131="","","PF"&amp;"_"&amp;IFERROR(VLOOKUP(B131,LOOKUPS!$K$2:$L$9,2,FALSE),"UNK")&amp;"_"&amp;IFERROR(VLOOKUP(C131,LOOKUPS!$N$2:$O$8,2,FALSE),"UNK")&amp;"_"&amp;UPPER(L131))</f>
        <v/>
      </c>
      <c r="N131" s="3" t="str">
        <f>IF(M131="","",COUNTIF($M$2:M131,M131))</f>
        <v/>
      </c>
    </row>
    <row r="132" spans="1:14" x14ac:dyDescent="0.3">
      <c r="A132" s="3" t="str">
        <f t="shared" si="2"/>
        <v/>
      </c>
      <c r="E132" s="3" t="s">
        <v>36</v>
      </c>
      <c r="M132" s="3" t="str">
        <f>IF(B132="","","PF"&amp;"_"&amp;IFERROR(VLOOKUP(B132,LOOKUPS!$K$2:$L$9,2,FALSE),"UNK")&amp;"_"&amp;IFERROR(VLOOKUP(C132,LOOKUPS!$N$2:$O$8,2,FALSE),"UNK")&amp;"_"&amp;UPPER(L132))</f>
        <v/>
      </c>
      <c r="N132" s="3" t="str">
        <f>IF(M132="","",COUNTIF($M$2:M132,M132))</f>
        <v/>
      </c>
    </row>
    <row r="133" spans="1:14" x14ac:dyDescent="0.3">
      <c r="A133" s="3" t="str">
        <f t="shared" si="2"/>
        <v/>
      </c>
      <c r="E133" s="3" t="s">
        <v>36</v>
      </c>
      <c r="M133" s="3" t="str">
        <f>IF(B133="","","PF"&amp;"_"&amp;IFERROR(VLOOKUP(B133,LOOKUPS!$K$2:$L$9,2,FALSE),"UNK")&amp;"_"&amp;IFERROR(VLOOKUP(C133,LOOKUPS!$N$2:$O$8,2,FALSE),"UNK")&amp;"_"&amp;UPPER(L133))</f>
        <v/>
      </c>
      <c r="N133" s="3" t="str">
        <f>IF(M133="","",COUNTIF($M$2:M133,M133))</f>
        <v/>
      </c>
    </row>
    <row r="134" spans="1:14" x14ac:dyDescent="0.3">
      <c r="A134" s="3" t="str">
        <f t="shared" si="2"/>
        <v/>
      </c>
      <c r="E134" s="3" t="s">
        <v>36</v>
      </c>
      <c r="M134" s="3" t="str">
        <f>IF(B134="","","PF"&amp;"_"&amp;IFERROR(VLOOKUP(B134,LOOKUPS!$K$2:$L$9,2,FALSE),"UNK")&amp;"_"&amp;IFERROR(VLOOKUP(C134,LOOKUPS!$N$2:$O$8,2,FALSE),"UNK")&amp;"_"&amp;UPPER(L134))</f>
        <v/>
      </c>
      <c r="N134" s="3" t="str">
        <f>IF(M134="","",COUNTIF($M$2:M134,M134))</f>
        <v/>
      </c>
    </row>
    <row r="135" spans="1:14" x14ac:dyDescent="0.3">
      <c r="A135" s="3" t="str">
        <f t="shared" si="2"/>
        <v/>
      </c>
      <c r="E135" s="3" t="s">
        <v>36</v>
      </c>
      <c r="M135" s="3" t="str">
        <f>IF(B135="","","PF"&amp;"_"&amp;IFERROR(VLOOKUP(B135,LOOKUPS!$K$2:$L$9,2,FALSE),"UNK")&amp;"_"&amp;IFERROR(VLOOKUP(C135,LOOKUPS!$N$2:$O$8,2,FALSE),"UNK")&amp;"_"&amp;UPPER(L135))</f>
        <v/>
      </c>
      <c r="N135" s="3" t="str">
        <f>IF(M135="","",COUNTIF($M$2:M135,M135))</f>
        <v/>
      </c>
    </row>
    <row r="136" spans="1:14" x14ac:dyDescent="0.3">
      <c r="A136" s="3" t="str">
        <f t="shared" si="2"/>
        <v/>
      </c>
      <c r="E136" s="3" t="s">
        <v>36</v>
      </c>
      <c r="M136" s="3" t="str">
        <f>IF(B136="","","PF"&amp;"_"&amp;IFERROR(VLOOKUP(B136,LOOKUPS!$K$2:$L$9,2,FALSE),"UNK")&amp;"_"&amp;IFERROR(VLOOKUP(C136,LOOKUPS!$N$2:$O$8,2,FALSE),"UNK")&amp;"_"&amp;UPPER(L136))</f>
        <v/>
      </c>
      <c r="N136" s="3" t="str">
        <f>IF(M136="","",COUNTIF($M$2:M136,M136))</f>
        <v/>
      </c>
    </row>
    <row r="137" spans="1:14" x14ac:dyDescent="0.3">
      <c r="A137" s="3" t="str">
        <f t="shared" si="2"/>
        <v/>
      </c>
      <c r="E137" s="3" t="s">
        <v>36</v>
      </c>
      <c r="M137" s="3" t="str">
        <f>IF(B137="","","PF"&amp;"_"&amp;IFERROR(VLOOKUP(B137,LOOKUPS!$K$2:$L$9,2,FALSE),"UNK")&amp;"_"&amp;IFERROR(VLOOKUP(C137,LOOKUPS!$N$2:$O$8,2,FALSE),"UNK")&amp;"_"&amp;UPPER(L137))</f>
        <v/>
      </c>
      <c r="N137" s="3" t="str">
        <f>IF(M137="","",COUNTIF($M$2:M137,M137))</f>
        <v/>
      </c>
    </row>
    <row r="138" spans="1:14" x14ac:dyDescent="0.3">
      <c r="A138" s="3" t="str">
        <f t="shared" si="2"/>
        <v/>
      </c>
      <c r="E138" s="3" t="s">
        <v>36</v>
      </c>
      <c r="M138" s="3" t="str">
        <f>IF(B138="","","PF"&amp;"_"&amp;IFERROR(VLOOKUP(B138,LOOKUPS!$K$2:$L$9,2,FALSE),"UNK")&amp;"_"&amp;IFERROR(VLOOKUP(C138,LOOKUPS!$N$2:$O$8,2,FALSE),"UNK")&amp;"_"&amp;UPPER(L138))</f>
        <v/>
      </c>
      <c r="N138" s="3" t="str">
        <f>IF(M138="","",COUNTIF($M$2:M138,M138))</f>
        <v/>
      </c>
    </row>
    <row r="139" spans="1:14" x14ac:dyDescent="0.3">
      <c r="A139" s="3" t="str">
        <f t="shared" si="2"/>
        <v/>
      </c>
      <c r="E139" s="3" t="s">
        <v>36</v>
      </c>
      <c r="M139" s="3" t="str">
        <f>IF(B139="","","PF"&amp;"_"&amp;IFERROR(VLOOKUP(B139,LOOKUPS!$K$2:$L$9,2,FALSE),"UNK")&amp;"_"&amp;IFERROR(VLOOKUP(C139,LOOKUPS!$N$2:$O$8,2,FALSE),"UNK")&amp;"_"&amp;UPPER(L139))</f>
        <v/>
      </c>
      <c r="N139" s="3" t="str">
        <f>IF(M139="","",COUNTIF($M$2:M139,M139))</f>
        <v/>
      </c>
    </row>
    <row r="140" spans="1:14" x14ac:dyDescent="0.3">
      <c r="A140" s="3" t="str">
        <f t="shared" si="2"/>
        <v/>
      </c>
      <c r="E140" s="3" t="s">
        <v>36</v>
      </c>
      <c r="M140" s="3" t="str">
        <f>IF(B140="","","PF"&amp;"_"&amp;IFERROR(VLOOKUP(B140,LOOKUPS!$K$2:$L$9,2,FALSE),"UNK")&amp;"_"&amp;IFERROR(VLOOKUP(C140,LOOKUPS!$N$2:$O$8,2,FALSE),"UNK")&amp;"_"&amp;UPPER(L140))</f>
        <v/>
      </c>
      <c r="N140" s="3" t="str">
        <f>IF(M140="","",COUNTIF($M$2:M140,M140))</f>
        <v/>
      </c>
    </row>
    <row r="141" spans="1:14" x14ac:dyDescent="0.3">
      <c r="A141" s="3" t="str">
        <f t="shared" si="2"/>
        <v/>
      </c>
      <c r="E141" s="3" t="s">
        <v>36</v>
      </c>
      <c r="M141" s="3" t="str">
        <f>IF(B141="","","PF"&amp;"_"&amp;IFERROR(VLOOKUP(B141,LOOKUPS!$K$2:$L$9,2,FALSE),"UNK")&amp;"_"&amp;IFERROR(VLOOKUP(C141,LOOKUPS!$N$2:$O$8,2,FALSE),"UNK")&amp;"_"&amp;UPPER(L141))</f>
        <v/>
      </c>
      <c r="N141" s="3" t="str">
        <f>IF(M141="","",COUNTIF($M$2:M141,M141))</f>
        <v/>
      </c>
    </row>
    <row r="142" spans="1:14" x14ac:dyDescent="0.3">
      <c r="A142" s="3" t="str">
        <f t="shared" si="2"/>
        <v/>
      </c>
      <c r="E142" s="3" t="s">
        <v>36</v>
      </c>
      <c r="M142" s="3" t="str">
        <f>IF(B142="","","PF"&amp;"_"&amp;IFERROR(VLOOKUP(B142,LOOKUPS!$K$2:$L$9,2,FALSE),"UNK")&amp;"_"&amp;IFERROR(VLOOKUP(C142,LOOKUPS!$N$2:$O$8,2,FALSE),"UNK")&amp;"_"&amp;UPPER(L142))</f>
        <v/>
      </c>
      <c r="N142" s="3" t="str">
        <f>IF(M142="","",COUNTIF($M$2:M142,M142))</f>
        <v/>
      </c>
    </row>
    <row r="143" spans="1:14" x14ac:dyDescent="0.3">
      <c r="A143" s="3" t="str">
        <f t="shared" si="2"/>
        <v/>
      </c>
      <c r="E143" s="3" t="s">
        <v>36</v>
      </c>
      <c r="M143" s="3" t="str">
        <f>IF(B143="","","PF"&amp;"_"&amp;IFERROR(VLOOKUP(B143,LOOKUPS!$K$2:$L$9,2,FALSE),"UNK")&amp;"_"&amp;IFERROR(VLOOKUP(C143,LOOKUPS!$N$2:$O$8,2,FALSE),"UNK")&amp;"_"&amp;UPPER(L143))</f>
        <v/>
      </c>
      <c r="N143" s="3" t="str">
        <f>IF(M143="","",COUNTIF($M$2:M143,M143))</f>
        <v/>
      </c>
    </row>
    <row r="144" spans="1:14" x14ac:dyDescent="0.3">
      <c r="A144" s="3" t="str">
        <f t="shared" si="2"/>
        <v/>
      </c>
      <c r="E144" s="3" t="s">
        <v>36</v>
      </c>
      <c r="M144" s="3" t="str">
        <f>IF(B144="","","PF"&amp;"_"&amp;IFERROR(VLOOKUP(B144,LOOKUPS!$K$2:$L$9,2,FALSE),"UNK")&amp;"_"&amp;IFERROR(VLOOKUP(C144,LOOKUPS!$N$2:$O$8,2,FALSE),"UNK")&amp;"_"&amp;UPPER(L144))</f>
        <v/>
      </c>
      <c r="N144" s="3" t="str">
        <f>IF(M144="","",COUNTIF($M$2:M144,M144))</f>
        <v/>
      </c>
    </row>
    <row r="145" spans="1:14" x14ac:dyDescent="0.3">
      <c r="A145" s="3" t="str">
        <f t="shared" si="2"/>
        <v/>
      </c>
      <c r="E145" s="3" t="s">
        <v>36</v>
      </c>
      <c r="M145" s="3" t="str">
        <f>IF(B145="","","PF"&amp;"_"&amp;IFERROR(VLOOKUP(B145,LOOKUPS!$K$2:$L$9,2,FALSE),"UNK")&amp;"_"&amp;IFERROR(VLOOKUP(C145,LOOKUPS!$N$2:$O$8,2,FALSE),"UNK")&amp;"_"&amp;UPPER(L145))</f>
        <v/>
      </c>
      <c r="N145" s="3" t="str">
        <f>IF(M145="","",COUNTIF($M$2:M145,M145))</f>
        <v/>
      </c>
    </row>
    <row r="146" spans="1:14" x14ac:dyDescent="0.3">
      <c r="A146" s="3" t="str">
        <f t="shared" si="2"/>
        <v/>
      </c>
      <c r="E146" s="3" t="s">
        <v>36</v>
      </c>
      <c r="M146" s="3" t="str">
        <f>IF(B146="","","PF"&amp;"_"&amp;IFERROR(VLOOKUP(B146,LOOKUPS!$K$2:$L$9,2,FALSE),"UNK")&amp;"_"&amp;IFERROR(VLOOKUP(C146,LOOKUPS!$N$2:$O$8,2,FALSE),"UNK")&amp;"_"&amp;UPPER(L146))</f>
        <v/>
      </c>
      <c r="N146" s="3" t="str">
        <f>IF(M146="","",COUNTIF($M$2:M146,M146))</f>
        <v/>
      </c>
    </row>
    <row r="147" spans="1:14" x14ac:dyDescent="0.3">
      <c r="A147" s="3" t="str">
        <f t="shared" si="2"/>
        <v/>
      </c>
      <c r="E147" s="3" t="s">
        <v>36</v>
      </c>
      <c r="M147" s="3" t="str">
        <f>IF(B147="","","PF"&amp;"_"&amp;IFERROR(VLOOKUP(B147,LOOKUPS!$K$2:$L$9,2,FALSE),"UNK")&amp;"_"&amp;IFERROR(VLOOKUP(C147,LOOKUPS!$N$2:$O$8,2,FALSE),"UNK")&amp;"_"&amp;UPPER(L147))</f>
        <v/>
      </c>
      <c r="N147" s="3" t="str">
        <f>IF(M147="","",COUNTIF($M$2:M147,M147))</f>
        <v/>
      </c>
    </row>
    <row r="148" spans="1:14" x14ac:dyDescent="0.3">
      <c r="A148" s="3" t="str">
        <f t="shared" si="2"/>
        <v/>
      </c>
      <c r="E148" s="3" t="s">
        <v>36</v>
      </c>
      <c r="M148" s="3" t="str">
        <f>IF(B148="","","PF"&amp;"_"&amp;IFERROR(VLOOKUP(B148,LOOKUPS!$K$2:$L$9,2,FALSE),"UNK")&amp;"_"&amp;IFERROR(VLOOKUP(C148,LOOKUPS!$N$2:$O$8,2,FALSE),"UNK")&amp;"_"&amp;UPPER(L148))</f>
        <v/>
      </c>
      <c r="N148" s="3" t="str">
        <f>IF(M148="","",COUNTIF($M$2:M148,M148))</f>
        <v/>
      </c>
    </row>
    <row r="149" spans="1:14" x14ac:dyDescent="0.3">
      <c r="A149" s="3" t="str">
        <f t="shared" si="2"/>
        <v/>
      </c>
      <c r="E149" s="3" t="s">
        <v>36</v>
      </c>
      <c r="M149" s="3" t="str">
        <f>IF(B149="","","PF"&amp;"_"&amp;IFERROR(VLOOKUP(B149,LOOKUPS!$K$2:$L$9,2,FALSE),"UNK")&amp;"_"&amp;IFERROR(VLOOKUP(C149,LOOKUPS!$N$2:$O$8,2,FALSE),"UNK")&amp;"_"&amp;UPPER(L149))</f>
        <v/>
      </c>
      <c r="N149" s="3" t="str">
        <f>IF(M149="","",COUNTIF($M$2:M149,M149))</f>
        <v/>
      </c>
    </row>
    <row r="150" spans="1:14" x14ac:dyDescent="0.3">
      <c r="A150" s="3" t="str">
        <f t="shared" si="2"/>
        <v/>
      </c>
      <c r="E150" s="3" t="s">
        <v>36</v>
      </c>
      <c r="M150" s="3" t="str">
        <f>IF(B150="","","PF"&amp;"_"&amp;IFERROR(VLOOKUP(B150,LOOKUPS!$K$2:$L$9,2,FALSE),"UNK")&amp;"_"&amp;IFERROR(VLOOKUP(C150,LOOKUPS!$N$2:$O$8,2,FALSE),"UNK")&amp;"_"&amp;UPPER(L150))</f>
        <v/>
      </c>
      <c r="N150" s="3" t="str">
        <f>IF(M150="","",COUNTIF($M$2:M150,M150))</f>
        <v/>
      </c>
    </row>
    <row r="151" spans="1:14" x14ac:dyDescent="0.3">
      <c r="A151" s="3" t="str">
        <f t="shared" si="2"/>
        <v/>
      </c>
      <c r="E151" s="3" t="s">
        <v>36</v>
      </c>
      <c r="M151" s="3" t="str">
        <f>IF(B151="","","PF"&amp;"_"&amp;IFERROR(VLOOKUP(B151,LOOKUPS!$K$2:$L$9,2,FALSE),"UNK")&amp;"_"&amp;IFERROR(VLOOKUP(C151,LOOKUPS!$N$2:$O$8,2,FALSE),"UNK")&amp;"_"&amp;UPPER(L151))</f>
        <v/>
      </c>
      <c r="N151" s="3" t="str">
        <f>IF(M151="","",COUNTIF($M$2:M151,M151))</f>
        <v/>
      </c>
    </row>
    <row r="152" spans="1:14" x14ac:dyDescent="0.3">
      <c r="A152" s="3" t="str">
        <f t="shared" si="2"/>
        <v/>
      </c>
      <c r="E152" s="3" t="s">
        <v>36</v>
      </c>
      <c r="M152" s="3" t="str">
        <f>IF(B152="","","PF"&amp;"_"&amp;IFERROR(VLOOKUP(B152,LOOKUPS!$K$2:$L$9,2,FALSE),"UNK")&amp;"_"&amp;IFERROR(VLOOKUP(C152,LOOKUPS!$N$2:$O$8,2,FALSE),"UNK")&amp;"_"&amp;UPPER(L152))</f>
        <v/>
      </c>
      <c r="N152" s="3" t="str">
        <f>IF(M152="","",COUNTIF($M$2:M152,M152))</f>
        <v/>
      </c>
    </row>
    <row r="153" spans="1:14" x14ac:dyDescent="0.3">
      <c r="A153" s="3" t="str">
        <f t="shared" si="2"/>
        <v/>
      </c>
      <c r="E153" s="3" t="s">
        <v>36</v>
      </c>
      <c r="M153" s="3" t="str">
        <f>IF(B153="","","PF"&amp;"_"&amp;IFERROR(VLOOKUP(B153,LOOKUPS!$K$2:$L$9,2,FALSE),"UNK")&amp;"_"&amp;IFERROR(VLOOKUP(C153,LOOKUPS!$N$2:$O$8,2,FALSE),"UNK")&amp;"_"&amp;UPPER(L153))</f>
        <v/>
      </c>
      <c r="N153" s="3" t="str">
        <f>IF(M153="","",COUNTIF($M$2:M153,M153))</f>
        <v/>
      </c>
    </row>
    <row r="154" spans="1:14" x14ac:dyDescent="0.3">
      <c r="A154" s="3" t="str">
        <f t="shared" si="2"/>
        <v/>
      </c>
      <c r="E154" s="3" t="s">
        <v>36</v>
      </c>
      <c r="M154" s="3" t="str">
        <f>IF(B154="","","PF"&amp;"_"&amp;IFERROR(VLOOKUP(B154,LOOKUPS!$K$2:$L$9,2,FALSE),"UNK")&amp;"_"&amp;IFERROR(VLOOKUP(C154,LOOKUPS!$N$2:$O$8,2,FALSE),"UNK")&amp;"_"&amp;UPPER(L154))</f>
        <v/>
      </c>
      <c r="N154" s="3" t="str">
        <f>IF(M154="","",COUNTIF($M$2:M154,M154))</f>
        <v/>
      </c>
    </row>
    <row r="155" spans="1:14" x14ac:dyDescent="0.3">
      <c r="A155" s="3" t="str">
        <f t="shared" si="2"/>
        <v/>
      </c>
      <c r="E155" s="3" t="s">
        <v>36</v>
      </c>
      <c r="M155" s="3" t="str">
        <f>IF(B155="","","PF"&amp;"_"&amp;IFERROR(VLOOKUP(B155,LOOKUPS!$K$2:$L$9,2,FALSE),"UNK")&amp;"_"&amp;IFERROR(VLOOKUP(C155,LOOKUPS!$N$2:$O$8,2,FALSE),"UNK")&amp;"_"&amp;UPPER(L155))</f>
        <v/>
      </c>
      <c r="N155" s="3" t="str">
        <f>IF(M155="","",COUNTIF($M$2:M155,M155))</f>
        <v/>
      </c>
    </row>
    <row r="156" spans="1:14" x14ac:dyDescent="0.3">
      <c r="A156" s="3" t="str">
        <f t="shared" si="2"/>
        <v/>
      </c>
      <c r="E156" s="3" t="s">
        <v>36</v>
      </c>
      <c r="M156" s="3" t="str">
        <f>IF(B156="","","PF"&amp;"_"&amp;IFERROR(VLOOKUP(B156,LOOKUPS!$K$2:$L$9,2,FALSE),"UNK")&amp;"_"&amp;IFERROR(VLOOKUP(C156,LOOKUPS!$N$2:$O$8,2,FALSE),"UNK")&amp;"_"&amp;UPPER(L156))</f>
        <v/>
      </c>
      <c r="N156" s="3" t="str">
        <f>IF(M156="","",COUNTIF($M$2:M156,M156))</f>
        <v/>
      </c>
    </row>
    <row r="157" spans="1:14" x14ac:dyDescent="0.3">
      <c r="A157" s="3" t="str">
        <f t="shared" si="2"/>
        <v/>
      </c>
      <c r="E157" s="3" t="s">
        <v>36</v>
      </c>
      <c r="M157" s="3" t="str">
        <f>IF(B157="","","PF"&amp;"_"&amp;IFERROR(VLOOKUP(B157,LOOKUPS!$K$2:$L$9,2,FALSE),"UNK")&amp;"_"&amp;IFERROR(VLOOKUP(C157,LOOKUPS!$N$2:$O$8,2,FALSE),"UNK")&amp;"_"&amp;UPPER(L157))</f>
        <v/>
      </c>
      <c r="N157" s="3" t="str">
        <f>IF(M157="","",COUNTIF($M$2:M157,M157))</f>
        <v/>
      </c>
    </row>
    <row r="158" spans="1:14" x14ac:dyDescent="0.3">
      <c r="A158" s="3" t="str">
        <f t="shared" si="2"/>
        <v/>
      </c>
      <c r="E158" s="3" t="s">
        <v>36</v>
      </c>
      <c r="M158" s="3" t="str">
        <f>IF(B158="","","PF"&amp;"_"&amp;IFERROR(VLOOKUP(B158,LOOKUPS!$K$2:$L$9,2,FALSE),"UNK")&amp;"_"&amp;IFERROR(VLOOKUP(C158,LOOKUPS!$N$2:$O$8,2,FALSE),"UNK")&amp;"_"&amp;UPPER(L158))</f>
        <v/>
      </c>
      <c r="N158" s="3" t="str">
        <f>IF(M158="","",COUNTIF($M$2:M158,M158))</f>
        <v/>
      </c>
    </row>
    <row r="159" spans="1:14" x14ac:dyDescent="0.3">
      <c r="A159" s="3" t="str">
        <f t="shared" si="2"/>
        <v/>
      </c>
      <c r="E159" s="3" t="s">
        <v>36</v>
      </c>
      <c r="M159" s="3" t="str">
        <f>IF(B159="","","PF"&amp;"_"&amp;IFERROR(VLOOKUP(B159,LOOKUPS!$K$2:$L$9,2,FALSE),"UNK")&amp;"_"&amp;IFERROR(VLOOKUP(C159,LOOKUPS!$N$2:$O$8,2,FALSE),"UNK")&amp;"_"&amp;UPPER(L159))</f>
        <v/>
      </c>
      <c r="N159" s="3" t="str">
        <f>IF(M159="","",COUNTIF($M$2:M159,M159))</f>
        <v/>
      </c>
    </row>
    <row r="160" spans="1:14" x14ac:dyDescent="0.3">
      <c r="A160" s="3" t="str">
        <f t="shared" si="2"/>
        <v/>
      </c>
      <c r="E160" s="3" t="s">
        <v>36</v>
      </c>
      <c r="M160" s="3" t="str">
        <f>IF(B160="","","PF"&amp;"_"&amp;IFERROR(VLOOKUP(B160,LOOKUPS!$K$2:$L$9,2,FALSE),"UNK")&amp;"_"&amp;IFERROR(VLOOKUP(C160,LOOKUPS!$N$2:$O$8,2,FALSE),"UNK")&amp;"_"&amp;UPPER(L160))</f>
        <v/>
      </c>
      <c r="N160" s="3" t="str">
        <f>IF(M160="","",COUNTIF($M$2:M160,M160))</f>
        <v/>
      </c>
    </row>
    <row r="161" spans="1:14" x14ac:dyDescent="0.3">
      <c r="A161" s="3" t="str">
        <f t="shared" si="2"/>
        <v/>
      </c>
      <c r="E161" s="3" t="s">
        <v>36</v>
      </c>
      <c r="M161" s="3" t="str">
        <f>IF(B161="","","PF"&amp;"_"&amp;IFERROR(VLOOKUP(B161,LOOKUPS!$K$2:$L$9,2,FALSE),"UNK")&amp;"_"&amp;IFERROR(VLOOKUP(C161,LOOKUPS!$N$2:$O$8,2,FALSE),"UNK")&amp;"_"&amp;UPPER(L161))</f>
        <v/>
      </c>
      <c r="N161" s="3" t="str">
        <f>IF(M161="","",COUNTIF($M$2:M161,M161))</f>
        <v/>
      </c>
    </row>
    <row r="162" spans="1:14" x14ac:dyDescent="0.3">
      <c r="A162" s="3" t="str">
        <f t="shared" si="2"/>
        <v/>
      </c>
      <c r="E162" s="3" t="s">
        <v>36</v>
      </c>
      <c r="M162" s="3" t="str">
        <f>IF(B162="","","PF"&amp;"_"&amp;IFERROR(VLOOKUP(B162,LOOKUPS!$K$2:$L$9,2,FALSE),"UNK")&amp;"_"&amp;IFERROR(VLOOKUP(C162,LOOKUPS!$N$2:$O$8,2,FALSE),"UNK")&amp;"_"&amp;UPPER(L162))</f>
        <v/>
      </c>
      <c r="N162" s="3" t="str">
        <f>IF(M162="","",COUNTIF($M$2:M162,M162))</f>
        <v/>
      </c>
    </row>
    <row r="163" spans="1:14" x14ac:dyDescent="0.3">
      <c r="A163" s="3" t="str">
        <f t="shared" si="2"/>
        <v/>
      </c>
      <c r="E163" s="3" t="s">
        <v>36</v>
      </c>
      <c r="M163" s="3" t="str">
        <f>IF(B163="","","PF"&amp;"_"&amp;IFERROR(VLOOKUP(B163,LOOKUPS!$K$2:$L$9,2,FALSE),"UNK")&amp;"_"&amp;IFERROR(VLOOKUP(C163,LOOKUPS!$N$2:$O$8,2,FALSE),"UNK")&amp;"_"&amp;UPPER(L163))</f>
        <v/>
      </c>
      <c r="N163" s="3" t="str">
        <f>IF(M163="","",COUNTIF($M$2:M163,M163))</f>
        <v/>
      </c>
    </row>
    <row r="164" spans="1:14" x14ac:dyDescent="0.3">
      <c r="A164" s="3" t="str">
        <f t="shared" si="2"/>
        <v/>
      </c>
      <c r="E164" s="3" t="s">
        <v>36</v>
      </c>
      <c r="M164" s="3" t="str">
        <f>IF(B164="","","PF"&amp;"_"&amp;IFERROR(VLOOKUP(B164,LOOKUPS!$K$2:$L$9,2,FALSE),"UNK")&amp;"_"&amp;IFERROR(VLOOKUP(C164,LOOKUPS!$N$2:$O$8,2,FALSE),"UNK")&amp;"_"&amp;UPPER(L164))</f>
        <v/>
      </c>
      <c r="N164" s="3" t="str">
        <f>IF(M164="","",COUNTIF($M$2:M164,M164))</f>
        <v/>
      </c>
    </row>
    <row r="165" spans="1:14" x14ac:dyDescent="0.3">
      <c r="A165" s="3" t="str">
        <f t="shared" si="2"/>
        <v/>
      </c>
      <c r="E165" s="3" t="s">
        <v>36</v>
      </c>
      <c r="M165" s="3" t="str">
        <f>IF(B165="","","PF"&amp;"_"&amp;IFERROR(VLOOKUP(B165,LOOKUPS!$K$2:$L$9,2,FALSE),"UNK")&amp;"_"&amp;IFERROR(VLOOKUP(C165,LOOKUPS!$N$2:$O$8,2,FALSE),"UNK")&amp;"_"&amp;UPPER(L165))</f>
        <v/>
      </c>
      <c r="N165" s="3" t="str">
        <f>IF(M165="","",COUNTIF($M$2:M165,M165))</f>
        <v/>
      </c>
    </row>
    <row r="166" spans="1:14" x14ac:dyDescent="0.3">
      <c r="A166" s="3" t="str">
        <f t="shared" si="2"/>
        <v/>
      </c>
      <c r="E166" s="3" t="s">
        <v>36</v>
      </c>
      <c r="M166" s="3" t="str">
        <f>IF(B166="","","PF"&amp;"_"&amp;IFERROR(VLOOKUP(B166,LOOKUPS!$K$2:$L$9,2,FALSE),"UNK")&amp;"_"&amp;IFERROR(VLOOKUP(C166,LOOKUPS!$N$2:$O$8,2,FALSE),"UNK")&amp;"_"&amp;UPPER(L166))</f>
        <v/>
      </c>
      <c r="N166" s="3" t="str">
        <f>IF(M166="","",COUNTIF($M$2:M166,M166))</f>
        <v/>
      </c>
    </row>
    <row r="167" spans="1:14" x14ac:dyDescent="0.3">
      <c r="A167" s="3" t="str">
        <f t="shared" si="2"/>
        <v/>
      </c>
      <c r="E167" s="3" t="s">
        <v>36</v>
      </c>
      <c r="M167" s="3" t="str">
        <f>IF(B167="","","PF"&amp;"_"&amp;IFERROR(VLOOKUP(B167,LOOKUPS!$K$2:$L$9,2,FALSE),"UNK")&amp;"_"&amp;IFERROR(VLOOKUP(C167,LOOKUPS!$N$2:$O$8,2,FALSE),"UNK")&amp;"_"&amp;UPPER(L167))</f>
        <v/>
      </c>
      <c r="N167" s="3" t="str">
        <f>IF(M167="","",COUNTIF($M$2:M167,M167))</f>
        <v/>
      </c>
    </row>
    <row r="168" spans="1:14" x14ac:dyDescent="0.3">
      <c r="A168" s="3" t="str">
        <f t="shared" si="2"/>
        <v/>
      </c>
      <c r="E168" s="3" t="s">
        <v>36</v>
      </c>
      <c r="M168" s="3" t="str">
        <f>IF(B168="","","PF"&amp;"_"&amp;IFERROR(VLOOKUP(B168,LOOKUPS!$K$2:$L$9,2,FALSE),"UNK")&amp;"_"&amp;IFERROR(VLOOKUP(C168,LOOKUPS!$N$2:$O$8,2,FALSE),"UNK")&amp;"_"&amp;UPPER(L168))</f>
        <v/>
      </c>
      <c r="N168" s="3" t="str">
        <f>IF(M168="","",COUNTIF($M$2:M168,M168))</f>
        <v/>
      </c>
    </row>
    <row r="169" spans="1:14" x14ac:dyDescent="0.3">
      <c r="A169" s="3" t="str">
        <f t="shared" si="2"/>
        <v/>
      </c>
      <c r="E169" s="3" t="s">
        <v>36</v>
      </c>
      <c r="M169" s="3" t="str">
        <f>IF(B169="","","PF"&amp;"_"&amp;IFERROR(VLOOKUP(B169,LOOKUPS!$K$2:$L$9,2,FALSE),"UNK")&amp;"_"&amp;IFERROR(VLOOKUP(C169,LOOKUPS!$N$2:$O$8,2,FALSE),"UNK")&amp;"_"&amp;UPPER(L169))</f>
        <v/>
      </c>
      <c r="N169" s="3" t="str">
        <f>IF(M169="","",COUNTIF($M$2:M169,M169))</f>
        <v/>
      </c>
    </row>
    <row r="170" spans="1:14" x14ac:dyDescent="0.3">
      <c r="A170" s="3" t="str">
        <f t="shared" si="2"/>
        <v/>
      </c>
      <c r="E170" s="3" t="s">
        <v>36</v>
      </c>
      <c r="M170" s="3" t="str">
        <f>IF(B170="","","PF"&amp;"_"&amp;IFERROR(VLOOKUP(B170,LOOKUPS!$K$2:$L$9,2,FALSE),"UNK")&amp;"_"&amp;IFERROR(VLOOKUP(C170,LOOKUPS!$N$2:$O$8,2,FALSE),"UNK")&amp;"_"&amp;UPPER(L170))</f>
        <v/>
      </c>
      <c r="N170" s="3" t="str">
        <f>IF(M170="","",COUNTIF($M$2:M170,M170))</f>
        <v/>
      </c>
    </row>
    <row r="171" spans="1:14" x14ac:dyDescent="0.3">
      <c r="A171" s="3" t="str">
        <f t="shared" si="2"/>
        <v/>
      </c>
      <c r="E171" s="3" t="s">
        <v>36</v>
      </c>
      <c r="M171" s="3" t="str">
        <f>IF(B171="","","PF"&amp;"_"&amp;IFERROR(VLOOKUP(B171,LOOKUPS!$K$2:$L$9,2,FALSE),"UNK")&amp;"_"&amp;IFERROR(VLOOKUP(C171,LOOKUPS!$N$2:$O$8,2,FALSE),"UNK")&amp;"_"&amp;UPPER(L171))</f>
        <v/>
      </c>
      <c r="N171" s="3" t="str">
        <f>IF(M171="","",COUNTIF($M$2:M171,M171))</f>
        <v/>
      </c>
    </row>
    <row r="172" spans="1:14" x14ac:dyDescent="0.3">
      <c r="A172" s="3" t="str">
        <f t="shared" si="2"/>
        <v/>
      </c>
      <c r="E172" s="3" t="s">
        <v>36</v>
      </c>
      <c r="M172" s="3" t="str">
        <f>IF(B172="","","PF"&amp;"_"&amp;IFERROR(VLOOKUP(B172,LOOKUPS!$K$2:$L$9,2,FALSE),"UNK")&amp;"_"&amp;IFERROR(VLOOKUP(C172,LOOKUPS!$N$2:$O$8,2,FALSE),"UNK")&amp;"_"&amp;UPPER(L172))</f>
        <v/>
      </c>
      <c r="N172" s="3" t="str">
        <f>IF(M172="","",COUNTIF($M$2:M172,M172))</f>
        <v/>
      </c>
    </row>
    <row r="173" spans="1:14" x14ac:dyDescent="0.3">
      <c r="A173" s="3" t="str">
        <f t="shared" si="2"/>
        <v/>
      </c>
      <c r="E173" s="3" t="s">
        <v>36</v>
      </c>
      <c r="M173" s="3" t="str">
        <f>IF(B173="","","PF"&amp;"_"&amp;IFERROR(VLOOKUP(B173,LOOKUPS!$K$2:$L$9,2,FALSE),"UNK")&amp;"_"&amp;IFERROR(VLOOKUP(C173,LOOKUPS!$N$2:$O$8,2,FALSE),"UNK")&amp;"_"&amp;UPPER(L173))</f>
        <v/>
      </c>
      <c r="N173" s="3" t="str">
        <f>IF(M173="","",COUNTIF($M$2:M173,M173))</f>
        <v/>
      </c>
    </row>
    <row r="174" spans="1:14" x14ac:dyDescent="0.3">
      <c r="A174" s="3" t="str">
        <f t="shared" si="2"/>
        <v/>
      </c>
      <c r="E174" s="3" t="s">
        <v>36</v>
      </c>
      <c r="M174" s="3" t="str">
        <f>IF(B174="","","PF"&amp;"_"&amp;IFERROR(VLOOKUP(B174,LOOKUPS!$K$2:$L$9,2,FALSE),"UNK")&amp;"_"&amp;IFERROR(VLOOKUP(C174,LOOKUPS!$N$2:$O$8,2,FALSE),"UNK")&amp;"_"&amp;UPPER(L174))</f>
        <v/>
      </c>
      <c r="N174" s="3" t="str">
        <f>IF(M174="","",COUNTIF($M$2:M174,M174))</f>
        <v/>
      </c>
    </row>
    <row r="175" spans="1:14" x14ac:dyDescent="0.3">
      <c r="A175" s="3" t="str">
        <f t="shared" si="2"/>
        <v/>
      </c>
      <c r="E175" s="3" t="s">
        <v>36</v>
      </c>
      <c r="M175" s="3" t="str">
        <f>IF(B175="","","PF"&amp;"_"&amp;IFERROR(VLOOKUP(B175,LOOKUPS!$K$2:$L$9,2,FALSE),"UNK")&amp;"_"&amp;IFERROR(VLOOKUP(C175,LOOKUPS!$N$2:$O$8,2,FALSE),"UNK")&amp;"_"&amp;UPPER(L175))</f>
        <v/>
      </c>
      <c r="N175" s="3" t="str">
        <f>IF(M175="","",COUNTIF($M$2:M175,M175))</f>
        <v/>
      </c>
    </row>
    <row r="176" spans="1:14" x14ac:dyDescent="0.3">
      <c r="A176" s="3" t="str">
        <f t="shared" si="2"/>
        <v/>
      </c>
      <c r="E176" s="3" t="s">
        <v>36</v>
      </c>
      <c r="M176" s="3" t="str">
        <f>IF(B176="","","PF"&amp;"_"&amp;IFERROR(VLOOKUP(B176,LOOKUPS!$K$2:$L$9,2,FALSE),"UNK")&amp;"_"&amp;IFERROR(VLOOKUP(C176,LOOKUPS!$N$2:$O$8,2,FALSE),"UNK")&amp;"_"&amp;UPPER(L176))</f>
        <v/>
      </c>
      <c r="N176" s="3" t="str">
        <f>IF(M176="","",COUNTIF($M$2:M176,M176))</f>
        <v/>
      </c>
    </row>
    <row r="177" spans="1:14" x14ac:dyDescent="0.3">
      <c r="A177" s="3" t="str">
        <f t="shared" si="2"/>
        <v/>
      </c>
      <c r="E177" s="3" t="s">
        <v>36</v>
      </c>
      <c r="M177" s="3" t="str">
        <f>IF(B177="","","PF"&amp;"_"&amp;IFERROR(VLOOKUP(B177,LOOKUPS!$K$2:$L$9,2,FALSE),"UNK")&amp;"_"&amp;IFERROR(VLOOKUP(C177,LOOKUPS!$N$2:$O$8,2,FALSE),"UNK")&amp;"_"&amp;UPPER(L177))</f>
        <v/>
      </c>
      <c r="N177" s="3" t="str">
        <f>IF(M177="","",COUNTIF($M$2:M177,M177))</f>
        <v/>
      </c>
    </row>
    <row r="178" spans="1:14" x14ac:dyDescent="0.3">
      <c r="A178" s="3" t="str">
        <f t="shared" si="2"/>
        <v/>
      </c>
      <c r="E178" s="3" t="s">
        <v>36</v>
      </c>
      <c r="M178" s="3" t="str">
        <f>IF(B178="","","PF"&amp;"_"&amp;IFERROR(VLOOKUP(B178,LOOKUPS!$K$2:$L$9,2,FALSE),"UNK")&amp;"_"&amp;IFERROR(VLOOKUP(C178,LOOKUPS!$N$2:$O$8,2,FALSE),"UNK")&amp;"_"&amp;UPPER(L178))</f>
        <v/>
      </c>
      <c r="N178" s="3" t="str">
        <f>IF(M178="","",COUNTIF($M$2:M178,M178))</f>
        <v/>
      </c>
    </row>
    <row r="179" spans="1:14" x14ac:dyDescent="0.3">
      <c r="A179" s="3" t="str">
        <f t="shared" si="2"/>
        <v/>
      </c>
      <c r="E179" s="3" t="s">
        <v>36</v>
      </c>
      <c r="M179" s="3" t="str">
        <f>IF(B179="","","PF"&amp;"_"&amp;IFERROR(VLOOKUP(B179,LOOKUPS!$K$2:$L$9,2,FALSE),"UNK")&amp;"_"&amp;IFERROR(VLOOKUP(C179,LOOKUPS!$N$2:$O$8,2,FALSE),"UNK")&amp;"_"&amp;UPPER(L179))</f>
        <v/>
      </c>
      <c r="N179" s="3" t="str">
        <f>IF(M179="","",COUNTIF($M$2:M179,M179))</f>
        <v/>
      </c>
    </row>
    <row r="180" spans="1:14" x14ac:dyDescent="0.3">
      <c r="A180" s="3" t="str">
        <f t="shared" si="2"/>
        <v/>
      </c>
      <c r="E180" s="3" t="s">
        <v>36</v>
      </c>
      <c r="M180" s="3" t="str">
        <f>IF(B180="","","PF"&amp;"_"&amp;IFERROR(VLOOKUP(B180,LOOKUPS!$K$2:$L$9,2,FALSE),"UNK")&amp;"_"&amp;IFERROR(VLOOKUP(C180,LOOKUPS!$N$2:$O$8,2,FALSE),"UNK")&amp;"_"&amp;UPPER(L180))</f>
        <v/>
      </c>
      <c r="N180" s="3" t="str">
        <f>IF(M180="","",COUNTIF($M$2:M180,M180))</f>
        <v/>
      </c>
    </row>
    <row r="181" spans="1:14" x14ac:dyDescent="0.3">
      <c r="A181" s="3" t="str">
        <f t="shared" si="2"/>
        <v/>
      </c>
      <c r="E181" s="3" t="s">
        <v>36</v>
      </c>
      <c r="M181" s="3" t="str">
        <f>IF(B181="","","PF"&amp;"_"&amp;IFERROR(VLOOKUP(B181,LOOKUPS!$K$2:$L$9,2,FALSE),"UNK")&amp;"_"&amp;IFERROR(VLOOKUP(C181,LOOKUPS!$N$2:$O$8,2,FALSE),"UNK")&amp;"_"&amp;UPPER(L181))</f>
        <v/>
      </c>
      <c r="N181" s="3" t="str">
        <f>IF(M181="","",COUNTIF($M$2:M181,M181))</f>
        <v/>
      </c>
    </row>
    <row r="182" spans="1:14" x14ac:dyDescent="0.3">
      <c r="A182" s="3" t="str">
        <f t="shared" si="2"/>
        <v/>
      </c>
      <c r="E182" s="3" t="s">
        <v>36</v>
      </c>
      <c r="M182" s="3" t="str">
        <f>IF(B182="","","PF"&amp;"_"&amp;IFERROR(VLOOKUP(B182,LOOKUPS!$K$2:$L$9,2,FALSE),"UNK")&amp;"_"&amp;IFERROR(VLOOKUP(C182,LOOKUPS!$N$2:$O$8,2,FALSE),"UNK")&amp;"_"&amp;UPPER(L182))</f>
        <v/>
      </c>
      <c r="N182" s="3" t="str">
        <f>IF(M182="","",COUNTIF($M$2:M182,M182))</f>
        <v/>
      </c>
    </row>
    <row r="183" spans="1:14" x14ac:dyDescent="0.3">
      <c r="A183" s="3" t="str">
        <f t="shared" si="2"/>
        <v/>
      </c>
      <c r="E183" s="3" t="s">
        <v>36</v>
      </c>
      <c r="M183" s="3" t="str">
        <f>IF(B183="","","PF"&amp;"_"&amp;IFERROR(VLOOKUP(B183,LOOKUPS!$K$2:$L$9,2,FALSE),"UNK")&amp;"_"&amp;IFERROR(VLOOKUP(C183,LOOKUPS!$N$2:$O$8,2,FALSE),"UNK")&amp;"_"&amp;UPPER(L183))</f>
        <v/>
      </c>
      <c r="N183" s="3" t="str">
        <f>IF(M183="","",COUNTIF($M$2:M183,M183))</f>
        <v/>
      </c>
    </row>
    <row r="184" spans="1:14" x14ac:dyDescent="0.3">
      <c r="A184" s="3" t="str">
        <f t="shared" si="2"/>
        <v/>
      </c>
      <c r="E184" s="3" t="s">
        <v>36</v>
      </c>
      <c r="M184" s="3" t="str">
        <f>IF(B184="","","PF"&amp;"_"&amp;IFERROR(VLOOKUP(B184,LOOKUPS!$K$2:$L$9,2,FALSE),"UNK")&amp;"_"&amp;IFERROR(VLOOKUP(C184,LOOKUPS!$N$2:$O$8,2,FALSE),"UNK")&amp;"_"&amp;UPPER(L184))</f>
        <v/>
      </c>
      <c r="N184" s="3" t="str">
        <f>IF(M184="","",COUNTIF($M$2:M184,M184))</f>
        <v/>
      </c>
    </row>
    <row r="185" spans="1:14" x14ac:dyDescent="0.3">
      <c r="A185" s="3" t="str">
        <f t="shared" si="2"/>
        <v/>
      </c>
      <c r="E185" s="3" t="s">
        <v>36</v>
      </c>
      <c r="M185" s="3" t="str">
        <f>IF(B185="","","PF"&amp;"_"&amp;IFERROR(VLOOKUP(B185,LOOKUPS!$K$2:$L$9,2,FALSE),"UNK")&amp;"_"&amp;IFERROR(VLOOKUP(C185,LOOKUPS!$N$2:$O$8,2,FALSE),"UNK")&amp;"_"&amp;UPPER(L185))</f>
        <v/>
      </c>
      <c r="N185" s="3" t="str">
        <f>IF(M185="","",COUNTIF($M$2:M185,M185))</f>
        <v/>
      </c>
    </row>
    <row r="186" spans="1:14" x14ac:dyDescent="0.3">
      <c r="A186" s="3" t="str">
        <f t="shared" si="2"/>
        <v/>
      </c>
      <c r="E186" s="3" t="s">
        <v>36</v>
      </c>
      <c r="M186" s="3" t="str">
        <f>IF(B186="","","PF"&amp;"_"&amp;IFERROR(VLOOKUP(B186,LOOKUPS!$K$2:$L$9,2,FALSE),"UNK")&amp;"_"&amp;IFERROR(VLOOKUP(C186,LOOKUPS!$N$2:$O$8,2,FALSE),"UNK")&amp;"_"&amp;UPPER(L186))</f>
        <v/>
      </c>
      <c r="N186" s="3" t="str">
        <f>IF(M186="","",COUNTIF($M$2:M186,M186))</f>
        <v/>
      </c>
    </row>
    <row r="187" spans="1:14" x14ac:dyDescent="0.3">
      <c r="A187" s="3" t="str">
        <f t="shared" si="2"/>
        <v/>
      </c>
      <c r="E187" s="3" t="s">
        <v>36</v>
      </c>
      <c r="M187" s="3" t="str">
        <f>IF(B187="","","PF"&amp;"_"&amp;IFERROR(VLOOKUP(B187,LOOKUPS!$K$2:$L$9,2,FALSE),"UNK")&amp;"_"&amp;IFERROR(VLOOKUP(C187,LOOKUPS!$N$2:$O$8,2,FALSE),"UNK")&amp;"_"&amp;UPPER(L187))</f>
        <v/>
      </c>
      <c r="N187" s="3" t="str">
        <f>IF(M187="","",COUNTIF($M$2:M187,M187))</f>
        <v/>
      </c>
    </row>
    <row r="188" spans="1:14" x14ac:dyDescent="0.3">
      <c r="A188" s="3" t="str">
        <f t="shared" si="2"/>
        <v/>
      </c>
      <c r="E188" s="3" t="s">
        <v>36</v>
      </c>
      <c r="M188" s="3" t="str">
        <f>IF(B188="","","PF"&amp;"_"&amp;IFERROR(VLOOKUP(B188,LOOKUPS!$K$2:$L$9,2,FALSE),"UNK")&amp;"_"&amp;IFERROR(VLOOKUP(C188,LOOKUPS!$N$2:$O$8,2,FALSE),"UNK")&amp;"_"&amp;UPPER(L188))</f>
        <v/>
      </c>
      <c r="N188" s="3" t="str">
        <f>IF(M188="","",COUNTIF($M$2:M188,M188))</f>
        <v/>
      </c>
    </row>
    <row r="189" spans="1:14" x14ac:dyDescent="0.3">
      <c r="A189" s="3" t="str">
        <f t="shared" si="2"/>
        <v/>
      </c>
      <c r="E189" s="3" t="s">
        <v>36</v>
      </c>
      <c r="M189" s="3" t="str">
        <f>IF(B189="","","PF"&amp;"_"&amp;IFERROR(VLOOKUP(B189,LOOKUPS!$K$2:$L$9,2,FALSE),"UNK")&amp;"_"&amp;IFERROR(VLOOKUP(C189,LOOKUPS!$N$2:$O$8,2,FALSE),"UNK")&amp;"_"&amp;UPPER(L189))</f>
        <v/>
      </c>
      <c r="N189" s="3" t="str">
        <f>IF(M189="","",COUNTIF($M$2:M189,M189))</f>
        <v/>
      </c>
    </row>
    <row r="190" spans="1:14" x14ac:dyDescent="0.3">
      <c r="A190" s="3" t="str">
        <f t="shared" si="2"/>
        <v/>
      </c>
      <c r="E190" s="3" t="s">
        <v>36</v>
      </c>
      <c r="M190" s="3" t="str">
        <f>IF(B190="","","PF"&amp;"_"&amp;IFERROR(VLOOKUP(B190,LOOKUPS!$K$2:$L$9,2,FALSE),"UNK")&amp;"_"&amp;IFERROR(VLOOKUP(C190,LOOKUPS!$N$2:$O$8,2,FALSE),"UNK")&amp;"_"&amp;UPPER(L190))</f>
        <v/>
      </c>
      <c r="N190" s="3" t="str">
        <f>IF(M190="","",COUNTIF($M$2:M190,M190))</f>
        <v/>
      </c>
    </row>
    <row r="191" spans="1:14" x14ac:dyDescent="0.3">
      <c r="A191" s="3" t="str">
        <f t="shared" si="2"/>
        <v/>
      </c>
      <c r="E191" s="3" t="s">
        <v>36</v>
      </c>
      <c r="M191" s="3" t="str">
        <f>IF(B191="","","PF"&amp;"_"&amp;IFERROR(VLOOKUP(B191,LOOKUPS!$K$2:$L$9,2,FALSE),"UNK")&amp;"_"&amp;IFERROR(VLOOKUP(C191,LOOKUPS!$N$2:$O$8,2,FALSE),"UNK")&amp;"_"&amp;UPPER(L191))</f>
        <v/>
      </c>
      <c r="N191" s="3" t="str">
        <f>IF(M191="","",COUNTIF($M$2:M191,M191))</f>
        <v/>
      </c>
    </row>
    <row r="192" spans="1:14" x14ac:dyDescent="0.3">
      <c r="A192" s="3" t="str">
        <f t="shared" si="2"/>
        <v/>
      </c>
      <c r="E192" s="3" t="s">
        <v>36</v>
      </c>
      <c r="M192" s="3" t="str">
        <f>IF(B192="","","PF"&amp;"_"&amp;IFERROR(VLOOKUP(B192,LOOKUPS!$K$2:$L$9,2,FALSE),"UNK")&amp;"_"&amp;IFERROR(VLOOKUP(C192,LOOKUPS!$N$2:$O$8,2,FALSE),"UNK")&amp;"_"&amp;UPPER(L192))</f>
        <v/>
      </c>
      <c r="N192" s="3" t="str">
        <f>IF(M192="","",COUNTIF($M$2:M192,M192))</f>
        <v/>
      </c>
    </row>
    <row r="193" spans="1:14" x14ac:dyDescent="0.3">
      <c r="A193" s="3" t="str">
        <f t="shared" si="2"/>
        <v/>
      </c>
      <c r="E193" s="3" t="s">
        <v>36</v>
      </c>
      <c r="M193" s="3" t="str">
        <f>IF(B193="","","PF"&amp;"_"&amp;IFERROR(VLOOKUP(B193,LOOKUPS!$K$2:$L$9,2,FALSE),"UNK")&amp;"_"&amp;IFERROR(VLOOKUP(C193,LOOKUPS!$N$2:$O$8,2,FALSE),"UNK")&amp;"_"&amp;UPPER(L193))</f>
        <v/>
      </c>
      <c r="N193" s="3" t="str">
        <f>IF(M193="","",COUNTIF($M$2:M193,M193))</f>
        <v/>
      </c>
    </row>
    <row r="194" spans="1:14" x14ac:dyDescent="0.3">
      <c r="A194" s="3" t="str">
        <f t="shared" si="2"/>
        <v/>
      </c>
      <c r="E194" s="3" t="s">
        <v>36</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E195" s="3" t="s">
        <v>36</v>
      </c>
      <c r="M195" s="3" t="str">
        <f>IF(B195="","","PF"&amp;"_"&amp;IFERROR(VLOOKUP(B195,LOOKUPS!$K$2:$L$9,2,FALSE),"UNK")&amp;"_"&amp;IFERROR(VLOOKUP(C195,LOOKUPS!$N$2:$O$8,2,FALSE),"UNK")&amp;"_"&amp;UPPER(L195))</f>
        <v/>
      </c>
      <c r="N195" s="3" t="str">
        <f>IF(M195="","",COUNTIF($M$2:M195,M195))</f>
        <v/>
      </c>
    </row>
    <row r="196" spans="1:14" x14ac:dyDescent="0.3">
      <c r="A196" s="3" t="str">
        <f t="shared" si="3"/>
        <v/>
      </c>
      <c r="E196" s="3" t="s">
        <v>36</v>
      </c>
      <c r="M196" s="3" t="str">
        <f>IF(B196="","","PF"&amp;"_"&amp;IFERROR(VLOOKUP(B196,LOOKUPS!$K$2:$L$9,2,FALSE),"UNK")&amp;"_"&amp;IFERROR(VLOOKUP(C196,LOOKUPS!$N$2:$O$8,2,FALSE),"UNK")&amp;"_"&amp;UPPER(L196))</f>
        <v/>
      </c>
      <c r="N196" s="3" t="str">
        <f>IF(M196="","",COUNTIF($M$2:M196,M196))</f>
        <v/>
      </c>
    </row>
    <row r="197" spans="1:14" x14ac:dyDescent="0.3">
      <c r="A197" s="3" t="str">
        <f t="shared" si="3"/>
        <v/>
      </c>
      <c r="E197" s="3" t="s">
        <v>36</v>
      </c>
      <c r="M197" s="3" t="str">
        <f>IF(B197="","","PF"&amp;"_"&amp;IFERROR(VLOOKUP(B197,LOOKUPS!$K$2:$L$9,2,FALSE),"UNK")&amp;"_"&amp;IFERROR(VLOOKUP(C197,LOOKUPS!$N$2:$O$8,2,FALSE),"UNK")&amp;"_"&amp;UPPER(L197))</f>
        <v/>
      </c>
      <c r="N197" s="3" t="str">
        <f>IF(M197="","",COUNTIF($M$2:M197,M197))</f>
        <v/>
      </c>
    </row>
    <row r="198" spans="1:14" x14ac:dyDescent="0.3">
      <c r="A198" s="3" t="str">
        <f t="shared" si="3"/>
        <v/>
      </c>
      <c r="E198" s="3" t="s">
        <v>36</v>
      </c>
      <c r="M198" s="3" t="str">
        <f>IF(B198="","","PF"&amp;"_"&amp;IFERROR(VLOOKUP(B198,LOOKUPS!$K$2:$L$9,2,FALSE),"UNK")&amp;"_"&amp;IFERROR(VLOOKUP(C198,LOOKUPS!$N$2:$O$8,2,FALSE),"UNK")&amp;"_"&amp;UPPER(L198))</f>
        <v/>
      </c>
      <c r="N198" s="3" t="str">
        <f>IF(M198="","",COUNTIF($M$2:M198,M198))</f>
        <v/>
      </c>
    </row>
    <row r="199" spans="1:14" x14ac:dyDescent="0.3">
      <c r="A199" s="3" t="str">
        <f t="shared" si="3"/>
        <v/>
      </c>
      <c r="E199" s="3" t="s">
        <v>36</v>
      </c>
      <c r="M199" s="3" t="str">
        <f>IF(B199="","","PF"&amp;"_"&amp;IFERROR(VLOOKUP(B199,LOOKUPS!$K$2:$L$9,2,FALSE),"UNK")&amp;"_"&amp;IFERROR(VLOOKUP(C199,LOOKUPS!$N$2:$O$8,2,FALSE),"UNK")&amp;"_"&amp;UPPER(L199))</f>
        <v/>
      </c>
      <c r="N199" s="3" t="str">
        <f>IF(M199="","",COUNTIF($M$2:M199,M199))</f>
        <v/>
      </c>
    </row>
    <row r="200" spans="1:14" x14ac:dyDescent="0.3">
      <c r="A200" s="3" t="str">
        <f t="shared" si="3"/>
        <v/>
      </c>
      <c r="E200" s="3" t="s">
        <v>36</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497"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
      </c>
      <c r="B28" s="3">
        <f>IF(ROW()-1&lt;=0,"",IF(ROW()-1&lt;=$L$2,IFERROR(INDEX(MCQ!$A:$K,ROW()-1+1,2),""),IF(ROW()-1&lt;=$L$2+$M$2,IFERROR(INDEX(CLOZE_AB!$A:$K,ROW()-1-$L$2+1,2),""),IF(ROW()-1&lt;=$L$2+$M$2+$N$2,IFERROR(INDEX(CLOZE_LIST!$A:$K,ROW()-1-$L$2-$M$2+1,2),""),IF(ROW()-1&lt;=$L$2+$M$2+$N$2+$O$2,IFERROR(INDEX(PROFORMA!$A:$K,ROW()-1-$L$2-$M$2-$N$2+1,2),""),"")))))</f>
        <v>0</v>
      </c>
      <c r="C28" s="3">
        <f>IF(ROW()-1&lt;=0,"",IF(ROW()-1&lt;=$L$2,IFERROR(INDEX(MCQ!$A:$K,ROW()-1+1,3),""),IF(ROW()-1&lt;=$L$2+$M$2,IFERROR(INDEX(CLOZE_AB!$A:$K,ROW()-1-$L$2+1,3),""),IF(ROW()-1&lt;=$L$2+$M$2+$N$2,IFERROR(INDEX(CLOZE_LIST!$A:$K,ROW()-1-$L$2-$M$2+1,3),""),IF(ROW()-1&lt;=$L$2+$M$2+$N$2+$O$2,IFERROR(INDEX(PROFORMA!$A:$K,ROW()-1-$L$2-$M$2-$N$2+1,3),""),"")))))</f>
        <v>0</v>
      </c>
      <c r="D28" s="3">
        <f>IF(ROW()-1&lt;=0,"",IF(ROW()-1&lt;=$L$2,IFERROR(INDEX(MCQ!$A:$K,ROW()-1+1,4),""),IF(ROW()-1&lt;=$L$2+$M$2,IFERROR(INDEX(CLOZE_AB!$A:$K,ROW()-1-$L$2+1,4),""),IF(ROW()-1&lt;=$L$2+$M$2+$N$2,IFERROR(INDEX(CLOZE_LIST!$A:$K,ROW()-1-$L$2-$M$2+1,4),""),IF(ROW()-1&lt;=$L$2+$M$2+$N$2+$O$2,IFERROR(INDEX(PROFORMA!$A:$K,ROW()-1-$L$2-$M$2-$N$2+1,4),""),"")))))</f>
        <v>0</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0</v>
      </c>
      <c r="G28" s="3">
        <f>IF(ROW()-1&lt;=0,"",IF(ROW()-1&lt;=$L$2,IFERROR(INDEX(MCQ!$A:$K,ROW()-1+1,7),""),IF(ROW()-1&lt;=$L$2+$M$2,IFERROR(INDEX(CLOZE_AB!$A:$K,ROW()-1-$L$2+1,7),""),IF(ROW()-1&lt;=$L$2+$M$2+$N$2,IFERROR(INDEX(CLOZE_LIST!$A:$K,ROW()-1-$L$2-$M$2+1,7),""),IF(ROW()-1&lt;=$L$2+$M$2+$N$2+$O$2,IFERROR(INDEX(PROFORMA!$A:$K,ROW()-1-$L$2-$M$2-$N$2+1,7),""),"")))))</f>
        <v>0</v>
      </c>
      <c r="H28" s="3">
        <f>IF(ROW()-1&lt;=0,"",IF(ROW()-1&lt;=$L$2,IFERROR(INDEX(MCQ!$A:$K,ROW()-1+1,8),""),IF(ROW()-1&lt;=$L$2+$M$2,IFERROR(INDEX(CLOZE_AB!$A:$K,ROW()-1-$L$2+1,8),""),IF(ROW()-1&lt;=$L$2+$M$2+$N$2,IFERROR(INDEX(CLOZE_LIST!$A:$K,ROW()-1-$L$2-$M$2+1,8),""),IF(ROW()-1&lt;=$L$2+$M$2+$N$2+$O$2,IFERROR(INDEX(PROFORMA!$A:$K,ROW()-1-$L$2-$M$2-$N$2+1,8),""),"")))))</f>
        <v>0</v>
      </c>
      <c r="I28" s="3">
        <f>IF(ROW()-1&lt;=0,"",IF(ROW()-1&lt;=$L$2,IFERROR(INDEX(MCQ!$A:$K,ROW()-1+1,9),""),IF(ROW()-1&lt;=$L$2+$M$2,IFERROR(INDEX(CLOZE_AB!$A:$K,ROW()-1-$L$2+1,9),""),IF(ROW()-1&lt;=$L$2+$M$2+$N$2,IFERROR(INDEX(CLOZE_LIST!$A:$K,ROW()-1-$L$2-$M$2+1,9),""),IF(ROW()-1&lt;=$L$2+$M$2+$N$2+$O$2,IFERROR(INDEX(PROFORMA!$A:$K,ROW()-1-$L$2-$M$2-$N$2+1,9),""),"")))))</f>
        <v>0</v>
      </c>
      <c r="J28" s="3">
        <f>IF(ROW()-1&lt;=0,"",IF(ROW()-1&lt;=$L$2,IFERROR(INDEX(MCQ!$A:$K,ROW()-1+1,10),""),IF(ROW()-1&lt;=$L$2+$M$2,IFERROR(INDEX(CLOZE_AB!$A:$K,ROW()-1-$L$2+1,10),""),IF(ROW()-1&lt;=$L$2+$M$2+$N$2,IFERROR(INDEX(CLOZE_LIST!$A:$K,ROW()-1-$L$2-$M$2+1,10),""),IF(ROW()-1&lt;=$L$2+$M$2+$N$2+$O$2,IFERROR(INDEX(PROFORMA!$A:$K,ROW()-1-$L$2-$M$2-$N$2+1,10),""),"")))))</f>
        <v>0</v>
      </c>
      <c r="K28" s="3">
        <f>IF(ROW()-1&lt;=0,"",IF(ROW()-1&lt;=$L$2,IFERROR(INDEX(MCQ!$A:$K,ROW()-1+1,11),""),IF(ROW()-1&lt;=$L$2+$M$2,IFERROR(INDEX(CLOZE_AB!$A:$K,ROW()-1-$L$2+1,11),""),IF(ROW()-1&lt;=$L$2+$M$2+$N$2,IFERROR(INDEX(CLOZE_LIST!$A:$K,ROW()-1-$L$2-$M$2+1,11),""),IF(ROW()-1&lt;=$L$2+$M$2+$N$2+$O$2,IFERROR(INDEX(PROFORMA!$A:$K,ROW()-1-$L$2-$M$2-$N$2+1,11),""),"")))))</f>
        <v>0</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
      </c>
      <c r="B29" s="3">
        <f>IF(ROW()-1&lt;=0,"",IF(ROW()-1&lt;=$L$2,IFERROR(INDEX(MCQ!$A:$K,ROW()-1+1,2),""),IF(ROW()-1&lt;=$L$2+$M$2,IFERROR(INDEX(CLOZE_AB!$A:$K,ROW()-1-$L$2+1,2),""),IF(ROW()-1&lt;=$L$2+$M$2+$N$2,IFERROR(INDEX(CLOZE_LIST!$A:$K,ROW()-1-$L$2-$M$2+1,2),""),IF(ROW()-1&lt;=$L$2+$M$2+$N$2+$O$2,IFERROR(INDEX(PROFORMA!$A:$K,ROW()-1-$L$2-$M$2-$N$2+1,2),""),"")))))</f>
        <v>0</v>
      </c>
      <c r="C29" s="3">
        <f>IF(ROW()-1&lt;=0,"",IF(ROW()-1&lt;=$L$2,IFERROR(INDEX(MCQ!$A:$K,ROW()-1+1,3),""),IF(ROW()-1&lt;=$L$2+$M$2,IFERROR(INDEX(CLOZE_AB!$A:$K,ROW()-1-$L$2+1,3),""),IF(ROW()-1&lt;=$L$2+$M$2+$N$2,IFERROR(INDEX(CLOZE_LIST!$A:$K,ROW()-1-$L$2-$M$2+1,3),""),IF(ROW()-1&lt;=$L$2+$M$2+$N$2+$O$2,IFERROR(INDEX(PROFORMA!$A:$K,ROW()-1-$L$2-$M$2-$N$2+1,3),""),"")))))</f>
        <v>0</v>
      </c>
      <c r="D29" s="3">
        <f>IF(ROW()-1&lt;=0,"",IF(ROW()-1&lt;=$L$2,IFERROR(INDEX(MCQ!$A:$K,ROW()-1+1,4),""),IF(ROW()-1&lt;=$L$2+$M$2,IFERROR(INDEX(CLOZE_AB!$A:$K,ROW()-1-$L$2+1,4),""),IF(ROW()-1&lt;=$L$2+$M$2+$N$2,IFERROR(INDEX(CLOZE_LIST!$A:$K,ROW()-1-$L$2-$M$2+1,4),""),IF(ROW()-1&lt;=$L$2+$M$2+$N$2+$O$2,IFERROR(INDEX(PROFORMA!$A:$K,ROW()-1-$L$2-$M$2-$N$2+1,4),""),"")))))</f>
        <v>0</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0</v>
      </c>
      <c r="G29" s="3">
        <f>IF(ROW()-1&lt;=0,"",IF(ROW()-1&lt;=$L$2,IFERROR(INDEX(MCQ!$A:$K,ROW()-1+1,7),""),IF(ROW()-1&lt;=$L$2+$M$2,IFERROR(INDEX(CLOZE_AB!$A:$K,ROW()-1-$L$2+1,7),""),IF(ROW()-1&lt;=$L$2+$M$2+$N$2,IFERROR(INDEX(CLOZE_LIST!$A:$K,ROW()-1-$L$2-$M$2+1,7),""),IF(ROW()-1&lt;=$L$2+$M$2+$N$2+$O$2,IFERROR(INDEX(PROFORMA!$A:$K,ROW()-1-$L$2-$M$2-$N$2+1,7),""),"")))))</f>
        <v>0</v>
      </c>
      <c r="H29" s="3">
        <f>IF(ROW()-1&lt;=0,"",IF(ROW()-1&lt;=$L$2,IFERROR(INDEX(MCQ!$A:$K,ROW()-1+1,8),""),IF(ROW()-1&lt;=$L$2+$M$2,IFERROR(INDEX(CLOZE_AB!$A:$K,ROW()-1-$L$2+1,8),""),IF(ROW()-1&lt;=$L$2+$M$2+$N$2,IFERROR(INDEX(CLOZE_LIST!$A:$K,ROW()-1-$L$2-$M$2+1,8),""),IF(ROW()-1&lt;=$L$2+$M$2+$N$2+$O$2,IFERROR(INDEX(PROFORMA!$A:$K,ROW()-1-$L$2-$M$2-$N$2+1,8),""),"")))))</f>
        <v>0</v>
      </c>
      <c r="I29" s="3">
        <f>IF(ROW()-1&lt;=0,"",IF(ROW()-1&lt;=$L$2,IFERROR(INDEX(MCQ!$A:$K,ROW()-1+1,9),""),IF(ROW()-1&lt;=$L$2+$M$2,IFERROR(INDEX(CLOZE_AB!$A:$K,ROW()-1-$L$2+1,9),""),IF(ROW()-1&lt;=$L$2+$M$2+$N$2,IFERROR(INDEX(CLOZE_LIST!$A:$K,ROW()-1-$L$2-$M$2+1,9),""),IF(ROW()-1&lt;=$L$2+$M$2+$N$2+$O$2,IFERROR(INDEX(PROFORMA!$A:$K,ROW()-1-$L$2-$M$2-$N$2+1,9),""),"")))))</f>
        <v>0</v>
      </c>
      <c r="J29" s="3">
        <f>IF(ROW()-1&lt;=0,"",IF(ROW()-1&lt;=$L$2,IFERROR(INDEX(MCQ!$A:$K,ROW()-1+1,10),""),IF(ROW()-1&lt;=$L$2+$M$2,IFERROR(INDEX(CLOZE_AB!$A:$K,ROW()-1-$L$2+1,10),""),IF(ROW()-1&lt;=$L$2+$M$2+$N$2,IFERROR(INDEX(CLOZE_LIST!$A:$K,ROW()-1-$L$2-$M$2+1,10),""),IF(ROW()-1&lt;=$L$2+$M$2+$N$2+$O$2,IFERROR(INDEX(PROFORMA!$A:$K,ROW()-1-$L$2-$M$2-$N$2+1,10),""),"")))))</f>
        <v>0</v>
      </c>
      <c r="K29" s="3">
        <f>IF(ROW()-1&lt;=0,"",IF(ROW()-1&lt;=$L$2,IFERROR(INDEX(MCQ!$A:$K,ROW()-1+1,11),""),IF(ROW()-1&lt;=$L$2+$M$2,IFERROR(INDEX(CLOZE_AB!$A:$K,ROW()-1-$L$2+1,11),""),IF(ROW()-1&lt;=$L$2+$M$2+$N$2,IFERROR(INDEX(CLOZE_LIST!$A:$K,ROW()-1-$L$2-$M$2+1,11),""),IF(ROW()-1&lt;=$L$2+$M$2+$N$2+$O$2,IFERROR(INDEX(PROFORMA!$A:$K,ROW()-1-$L$2-$M$2-$N$2+1,11),""),"")))))</f>
        <v>0</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
      </c>
      <c r="B30" s="3">
        <f>IF(ROW()-1&lt;=0,"",IF(ROW()-1&lt;=$L$2,IFERROR(INDEX(MCQ!$A:$K,ROW()-1+1,2),""),IF(ROW()-1&lt;=$L$2+$M$2,IFERROR(INDEX(CLOZE_AB!$A:$K,ROW()-1-$L$2+1,2),""),IF(ROW()-1&lt;=$L$2+$M$2+$N$2,IFERROR(INDEX(CLOZE_LIST!$A:$K,ROW()-1-$L$2-$M$2+1,2),""),IF(ROW()-1&lt;=$L$2+$M$2+$N$2+$O$2,IFERROR(INDEX(PROFORMA!$A:$K,ROW()-1-$L$2-$M$2-$N$2+1,2),""),"")))))</f>
        <v>0</v>
      </c>
      <c r="C30" s="3">
        <f>IF(ROW()-1&lt;=0,"",IF(ROW()-1&lt;=$L$2,IFERROR(INDEX(MCQ!$A:$K,ROW()-1+1,3),""),IF(ROW()-1&lt;=$L$2+$M$2,IFERROR(INDEX(CLOZE_AB!$A:$K,ROW()-1-$L$2+1,3),""),IF(ROW()-1&lt;=$L$2+$M$2+$N$2,IFERROR(INDEX(CLOZE_LIST!$A:$K,ROW()-1-$L$2-$M$2+1,3),""),IF(ROW()-1&lt;=$L$2+$M$2+$N$2+$O$2,IFERROR(INDEX(PROFORMA!$A:$K,ROW()-1-$L$2-$M$2-$N$2+1,3),""),"")))))</f>
        <v>0</v>
      </c>
      <c r="D30" s="3">
        <f>IF(ROW()-1&lt;=0,"",IF(ROW()-1&lt;=$L$2,IFERROR(INDEX(MCQ!$A:$K,ROW()-1+1,4),""),IF(ROW()-1&lt;=$L$2+$M$2,IFERROR(INDEX(CLOZE_AB!$A:$K,ROW()-1-$L$2+1,4),""),IF(ROW()-1&lt;=$L$2+$M$2+$N$2,IFERROR(INDEX(CLOZE_LIST!$A:$K,ROW()-1-$L$2-$M$2+1,4),""),IF(ROW()-1&lt;=$L$2+$M$2+$N$2+$O$2,IFERROR(INDEX(PROFORMA!$A:$K,ROW()-1-$L$2-$M$2-$N$2+1,4),""),"")))))</f>
        <v>0</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0</v>
      </c>
      <c r="G30" s="3">
        <f>IF(ROW()-1&lt;=0,"",IF(ROW()-1&lt;=$L$2,IFERROR(INDEX(MCQ!$A:$K,ROW()-1+1,7),""),IF(ROW()-1&lt;=$L$2+$M$2,IFERROR(INDEX(CLOZE_AB!$A:$K,ROW()-1-$L$2+1,7),""),IF(ROW()-1&lt;=$L$2+$M$2+$N$2,IFERROR(INDEX(CLOZE_LIST!$A:$K,ROW()-1-$L$2-$M$2+1,7),""),IF(ROW()-1&lt;=$L$2+$M$2+$N$2+$O$2,IFERROR(INDEX(PROFORMA!$A:$K,ROW()-1-$L$2-$M$2-$N$2+1,7),""),"")))))</f>
        <v>0</v>
      </c>
      <c r="H30" s="3">
        <f>IF(ROW()-1&lt;=0,"",IF(ROW()-1&lt;=$L$2,IFERROR(INDEX(MCQ!$A:$K,ROW()-1+1,8),""),IF(ROW()-1&lt;=$L$2+$M$2,IFERROR(INDEX(CLOZE_AB!$A:$K,ROW()-1-$L$2+1,8),""),IF(ROW()-1&lt;=$L$2+$M$2+$N$2,IFERROR(INDEX(CLOZE_LIST!$A:$K,ROW()-1-$L$2-$M$2+1,8),""),IF(ROW()-1&lt;=$L$2+$M$2+$N$2+$O$2,IFERROR(INDEX(PROFORMA!$A:$K,ROW()-1-$L$2-$M$2-$N$2+1,8),""),"")))))</f>
        <v>0</v>
      </c>
      <c r="I30" s="3">
        <f>IF(ROW()-1&lt;=0,"",IF(ROW()-1&lt;=$L$2,IFERROR(INDEX(MCQ!$A:$K,ROW()-1+1,9),""),IF(ROW()-1&lt;=$L$2+$M$2,IFERROR(INDEX(CLOZE_AB!$A:$K,ROW()-1-$L$2+1,9),""),IF(ROW()-1&lt;=$L$2+$M$2+$N$2,IFERROR(INDEX(CLOZE_LIST!$A:$K,ROW()-1-$L$2-$M$2+1,9),""),IF(ROW()-1&lt;=$L$2+$M$2+$N$2+$O$2,IFERROR(INDEX(PROFORMA!$A:$K,ROW()-1-$L$2-$M$2-$N$2+1,9),""),"")))))</f>
        <v>0</v>
      </c>
      <c r="J30" s="3">
        <f>IF(ROW()-1&lt;=0,"",IF(ROW()-1&lt;=$L$2,IFERROR(INDEX(MCQ!$A:$K,ROW()-1+1,10),""),IF(ROW()-1&lt;=$L$2+$M$2,IFERROR(INDEX(CLOZE_AB!$A:$K,ROW()-1-$L$2+1,10),""),IF(ROW()-1&lt;=$L$2+$M$2+$N$2,IFERROR(INDEX(CLOZE_LIST!$A:$K,ROW()-1-$L$2-$M$2+1,10),""),IF(ROW()-1&lt;=$L$2+$M$2+$N$2+$O$2,IFERROR(INDEX(PROFORMA!$A:$K,ROW()-1-$L$2-$M$2-$N$2+1,10),""),"")))))</f>
        <v>0</v>
      </c>
      <c r="K30" s="3">
        <f>IF(ROW()-1&lt;=0,"",IF(ROW()-1&lt;=$L$2,IFERROR(INDEX(MCQ!$A:$K,ROW()-1+1,11),""),IF(ROW()-1&lt;=$L$2+$M$2,IFERROR(INDEX(CLOZE_AB!$A:$K,ROW()-1-$L$2+1,11),""),IF(ROW()-1&lt;=$L$2+$M$2+$N$2,IFERROR(INDEX(CLOZE_LIST!$A:$K,ROW()-1-$L$2-$M$2+1,11),""),IF(ROW()-1&lt;=$L$2+$M$2+$N$2+$O$2,IFERROR(INDEX(PROFORMA!$A:$K,ROW()-1-$L$2-$M$2-$N$2+1,11),""),"")))))</f>
        <v>0</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
      </c>
      <c r="B31" s="3">
        <f>IF(ROW()-1&lt;=0,"",IF(ROW()-1&lt;=$L$2,IFERROR(INDEX(MCQ!$A:$K,ROW()-1+1,2),""),IF(ROW()-1&lt;=$L$2+$M$2,IFERROR(INDEX(CLOZE_AB!$A:$K,ROW()-1-$L$2+1,2),""),IF(ROW()-1&lt;=$L$2+$M$2+$N$2,IFERROR(INDEX(CLOZE_LIST!$A:$K,ROW()-1-$L$2-$M$2+1,2),""),IF(ROW()-1&lt;=$L$2+$M$2+$N$2+$O$2,IFERROR(INDEX(PROFORMA!$A:$K,ROW()-1-$L$2-$M$2-$N$2+1,2),""),"")))))</f>
        <v>0</v>
      </c>
      <c r="C31" s="3">
        <f>IF(ROW()-1&lt;=0,"",IF(ROW()-1&lt;=$L$2,IFERROR(INDEX(MCQ!$A:$K,ROW()-1+1,3),""),IF(ROW()-1&lt;=$L$2+$M$2,IFERROR(INDEX(CLOZE_AB!$A:$K,ROW()-1-$L$2+1,3),""),IF(ROW()-1&lt;=$L$2+$M$2+$N$2,IFERROR(INDEX(CLOZE_LIST!$A:$K,ROW()-1-$L$2-$M$2+1,3),""),IF(ROW()-1&lt;=$L$2+$M$2+$N$2+$O$2,IFERROR(INDEX(PROFORMA!$A:$K,ROW()-1-$L$2-$M$2-$N$2+1,3),""),"")))))</f>
        <v>0</v>
      </c>
      <c r="D31" s="3">
        <f>IF(ROW()-1&lt;=0,"",IF(ROW()-1&lt;=$L$2,IFERROR(INDEX(MCQ!$A:$K,ROW()-1+1,4),""),IF(ROW()-1&lt;=$L$2+$M$2,IFERROR(INDEX(CLOZE_AB!$A:$K,ROW()-1-$L$2+1,4),""),IF(ROW()-1&lt;=$L$2+$M$2+$N$2,IFERROR(INDEX(CLOZE_LIST!$A:$K,ROW()-1-$L$2-$M$2+1,4),""),IF(ROW()-1&lt;=$L$2+$M$2+$N$2+$O$2,IFERROR(INDEX(PROFORMA!$A:$K,ROW()-1-$L$2-$M$2-$N$2+1,4),""),"")))))</f>
        <v>0</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0</v>
      </c>
      <c r="G31" s="3">
        <f>IF(ROW()-1&lt;=0,"",IF(ROW()-1&lt;=$L$2,IFERROR(INDEX(MCQ!$A:$K,ROW()-1+1,7),""),IF(ROW()-1&lt;=$L$2+$M$2,IFERROR(INDEX(CLOZE_AB!$A:$K,ROW()-1-$L$2+1,7),""),IF(ROW()-1&lt;=$L$2+$M$2+$N$2,IFERROR(INDEX(CLOZE_LIST!$A:$K,ROW()-1-$L$2-$M$2+1,7),""),IF(ROW()-1&lt;=$L$2+$M$2+$N$2+$O$2,IFERROR(INDEX(PROFORMA!$A:$K,ROW()-1-$L$2-$M$2-$N$2+1,7),""),"")))))</f>
        <v>0</v>
      </c>
      <c r="H31" s="3">
        <f>IF(ROW()-1&lt;=0,"",IF(ROW()-1&lt;=$L$2,IFERROR(INDEX(MCQ!$A:$K,ROW()-1+1,8),""),IF(ROW()-1&lt;=$L$2+$M$2,IFERROR(INDEX(CLOZE_AB!$A:$K,ROW()-1-$L$2+1,8),""),IF(ROW()-1&lt;=$L$2+$M$2+$N$2,IFERROR(INDEX(CLOZE_LIST!$A:$K,ROW()-1-$L$2-$M$2+1,8),""),IF(ROW()-1&lt;=$L$2+$M$2+$N$2+$O$2,IFERROR(INDEX(PROFORMA!$A:$K,ROW()-1-$L$2-$M$2-$N$2+1,8),""),"")))))</f>
        <v>0</v>
      </c>
      <c r="I31" s="3">
        <f>IF(ROW()-1&lt;=0,"",IF(ROW()-1&lt;=$L$2,IFERROR(INDEX(MCQ!$A:$K,ROW()-1+1,9),""),IF(ROW()-1&lt;=$L$2+$M$2,IFERROR(INDEX(CLOZE_AB!$A:$K,ROW()-1-$L$2+1,9),""),IF(ROW()-1&lt;=$L$2+$M$2+$N$2,IFERROR(INDEX(CLOZE_LIST!$A:$K,ROW()-1-$L$2-$M$2+1,9),""),IF(ROW()-1&lt;=$L$2+$M$2+$N$2+$O$2,IFERROR(INDEX(PROFORMA!$A:$K,ROW()-1-$L$2-$M$2-$N$2+1,9),""),"")))))</f>
        <v>0</v>
      </c>
      <c r="J31" s="3">
        <f>IF(ROW()-1&lt;=0,"",IF(ROW()-1&lt;=$L$2,IFERROR(INDEX(MCQ!$A:$K,ROW()-1+1,10),""),IF(ROW()-1&lt;=$L$2+$M$2,IFERROR(INDEX(CLOZE_AB!$A:$K,ROW()-1-$L$2+1,10),""),IF(ROW()-1&lt;=$L$2+$M$2+$N$2,IFERROR(INDEX(CLOZE_LIST!$A:$K,ROW()-1-$L$2-$M$2+1,10),""),IF(ROW()-1&lt;=$L$2+$M$2+$N$2+$O$2,IFERROR(INDEX(PROFORMA!$A:$K,ROW()-1-$L$2-$M$2-$N$2+1,10),""),"")))))</f>
        <v>0</v>
      </c>
      <c r="K31" s="3">
        <f>IF(ROW()-1&lt;=0,"",IF(ROW()-1&lt;=$L$2,IFERROR(INDEX(MCQ!$A:$K,ROW()-1+1,11),""),IF(ROW()-1&lt;=$L$2+$M$2,IFERROR(INDEX(CLOZE_AB!$A:$K,ROW()-1-$L$2+1,11),""),IF(ROW()-1&lt;=$L$2+$M$2+$N$2,IFERROR(INDEX(CLOZE_LIST!$A:$K,ROW()-1-$L$2-$M$2+1,11),""),IF(ROW()-1&lt;=$L$2+$M$2+$N$2+$O$2,IFERROR(INDEX(PROFORMA!$A:$K,ROW()-1-$L$2-$M$2-$N$2+1,11),""),"")))))</f>
        <v>0</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
      </c>
      <c r="B32" s="3">
        <f>IF(ROW()-1&lt;=0,"",IF(ROW()-1&lt;=$L$2,IFERROR(INDEX(MCQ!$A:$K,ROW()-1+1,2),""),IF(ROW()-1&lt;=$L$2+$M$2,IFERROR(INDEX(CLOZE_AB!$A:$K,ROW()-1-$L$2+1,2),""),IF(ROW()-1&lt;=$L$2+$M$2+$N$2,IFERROR(INDEX(CLOZE_LIST!$A:$K,ROW()-1-$L$2-$M$2+1,2),""),IF(ROW()-1&lt;=$L$2+$M$2+$N$2+$O$2,IFERROR(INDEX(PROFORMA!$A:$K,ROW()-1-$L$2-$M$2-$N$2+1,2),""),"")))))</f>
        <v>0</v>
      </c>
      <c r="C32" s="3">
        <f>IF(ROW()-1&lt;=0,"",IF(ROW()-1&lt;=$L$2,IFERROR(INDEX(MCQ!$A:$K,ROW()-1+1,3),""),IF(ROW()-1&lt;=$L$2+$M$2,IFERROR(INDEX(CLOZE_AB!$A:$K,ROW()-1-$L$2+1,3),""),IF(ROW()-1&lt;=$L$2+$M$2+$N$2,IFERROR(INDEX(CLOZE_LIST!$A:$K,ROW()-1-$L$2-$M$2+1,3),""),IF(ROW()-1&lt;=$L$2+$M$2+$N$2+$O$2,IFERROR(INDEX(PROFORMA!$A:$K,ROW()-1-$L$2-$M$2-$N$2+1,3),""),"")))))</f>
        <v>0</v>
      </c>
      <c r="D32" s="3">
        <f>IF(ROW()-1&lt;=0,"",IF(ROW()-1&lt;=$L$2,IFERROR(INDEX(MCQ!$A:$K,ROW()-1+1,4),""),IF(ROW()-1&lt;=$L$2+$M$2,IFERROR(INDEX(CLOZE_AB!$A:$K,ROW()-1-$L$2+1,4),""),IF(ROW()-1&lt;=$L$2+$M$2+$N$2,IFERROR(INDEX(CLOZE_LIST!$A:$K,ROW()-1-$L$2-$M$2+1,4),""),IF(ROW()-1&lt;=$L$2+$M$2+$N$2+$O$2,IFERROR(INDEX(PROFORMA!$A:$K,ROW()-1-$L$2-$M$2-$N$2+1,4),""),"")))))</f>
        <v>0</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0</v>
      </c>
      <c r="G32" s="3">
        <f>IF(ROW()-1&lt;=0,"",IF(ROW()-1&lt;=$L$2,IFERROR(INDEX(MCQ!$A:$K,ROW()-1+1,7),""),IF(ROW()-1&lt;=$L$2+$M$2,IFERROR(INDEX(CLOZE_AB!$A:$K,ROW()-1-$L$2+1,7),""),IF(ROW()-1&lt;=$L$2+$M$2+$N$2,IFERROR(INDEX(CLOZE_LIST!$A:$K,ROW()-1-$L$2-$M$2+1,7),""),IF(ROW()-1&lt;=$L$2+$M$2+$N$2+$O$2,IFERROR(INDEX(PROFORMA!$A:$K,ROW()-1-$L$2-$M$2-$N$2+1,7),""),"")))))</f>
        <v>0</v>
      </c>
      <c r="H32" s="3">
        <f>IF(ROW()-1&lt;=0,"",IF(ROW()-1&lt;=$L$2,IFERROR(INDEX(MCQ!$A:$K,ROW()-1+1,8),""),IF(ROW()-1&lt;=$L$2+$M$2,IFERROR(INDEX(CLOZE_AB!$A:$K,ROW()-1-$L$2+1,8),""),IF(ROW()-1&lt;=$L$2+$M$2+$N$2,IFERROR(INDEX(CLOZE_LIST!$A:$K,ROW()-1-$L$2-$M$2+1,8),""),IF(ROW()-1&lt;=$L$2+$M$2+$N$2+$O$2,IFERROR(INDEX(PROFORMA!$A:$K,ROW()-1-$L$2-$M$2-$N$2+1,8),""),"")))))</f>
        <v>0</v>
      </c>
      <c r="I32" s="3">
        <f>IF(ROW()-1&lt;=0,"",IF(ROW()-1&lt;=$L$2,IFERROR(INDEX(MCQ!$A:$K,ROW()-1+1,9),""),IF(ROW()-1&lt;=$L$2+$M$2,IFERROR(INDEX(CLOZE_AB!$A:$K,ROW()-1-$L$2+1,9),""),IF(ROW()-1&lt;=$L$2+$M$2+$N$2,IFERROR(INDEX(CLOZE_LIST!$A:$K,ROW()-1-$L$2-$M$2+1,9),""),IF(ROW()-1&lt;=$L$2+$M$2+$N$2+$O$2,IFERROR(INDEX(PROFORMA!$A:$K,ROW()-1-$L$2-$M$2-$N$2+1,9),""),"")))))</f>
        <v>0</v>
      </c>
      <c r="J32" s="3">
        <f>IF(ROW()-1&lt;=0,"",IF(ROW()-1&lt;=$L$2,IFERROR(INDEX(MCQ!$A:$K,ROW()-1+1,10),""),IF(ROW()-1&lt;=$L$2+$M$2,IFERROR(INDEX(CLOZE_AB!$A:$K,ROW()-1-$L$2+1,10),""),IF(ROW()-1&lt;=$L$2+$M$2+$N$2,IFERROR(INDEX(CLOZE_LIST!$A:$K,ROW()-1-$L$2-$M$2+1,10),""),IF(ROW()-1&lt;=$L$2+$M$2+$N$2+$O$2,IFERROR(INDEX(PROFORMA!$A:$K,ROW()-1-$L$2-$M$2-$N$2+1,10),""),"")))))</f>
        <v>0</v>
      </c>
      <c r="K32" s="3">
        <f>IF(ROW()-1&lt;=0,"",IF(ROW()-1&lt;=$L$2,IFERROR(INDEX(MCQ!$A:$K,ROW()-1+1,11),""),IF(ROW()-1&lt;=$L$2+$M$2,IFERROR(INDEX(CLOZE_AB!$A:$K,ROW()-1-$L$2+1,11),""),IF(ROW()-1&lt;=$L$2+$M$2+$N$2,IFERROR(INDEX(CLOZE_LIST!$A:$K,ROW()-1-$L$2-$M$2+1,11),""),IF(ROW()-1&lt;=$L$2+$M$2+$N$2+$O$2,IFERROR(INDEX(PROFORMA!$A:$K,ROW()-1-$L$2-$M$2-$N$2+1,11),""),"")))))</f>
        <v>0</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
      </c>
      <c r="B33" s="3">
        <f>IF(ROW()-1&lt;=0,"",IF(ROW()-1&lt;=$L$2,IFERROR(INDEX(MCQ!$A:$K,ROW()-1+1,2),""),IF(ROW()-1&lt;=$L$2+$M$2,IFERROR(INDEX(CLOZE_AB!$A:$K,ROW()-1-$L$2+1,2),""),IF(ROW()-1&lt;=$L$2+$M$2+$N$2,IFERROR(INDEX(CLOZE_LIST!$A:$K,ROW()-1-$L$2-$M$2+1,2),""),IF(ROW()-1&lt;=$L$2+$M$2+$N$2+$O$2,IFERROR(INDEX(PROFORMA!$A:$K,ROW()-1-$L$2-$M$2-$N$2+1,2),""),"")))))</f>
        <v>0</v>
      </c>
      <c r="C33" s="3">
        <f>IF(ROW()-1&lt;=0,"",IF(ROW()-1&lt;=$L$2,IFERROR(INDEX(MCQ!$A:$K,ROW()-1+1,3),""),IF(ROW()-1&lt;=$L$2+$M$2,IFERROR(INDEX(CLOZE_AB!$A:$K,ROW()-1-$L$2+1,3),""),IF(ROW()-1&lt;=$L$2+$M$2+$N$2,IFERROR(INDEX(CLOZE_LIST!$A:$K,ROW()-1-$L$2-$M$2+1,3),""),IF(ROW()-1&lt;=$L$2+$M$2+$N$2+$O$2,IFERROR(INDEX(PROFORMA!$A:$K,ROW()-1-$L$2-$M$2-$N$2+1,3),""),"")))))</f>
        <v>0</v>
      </c>
      <c r="D33" s="3">
        <f>IF(ROW()-1&lt;=0,"",IF(ROW()-1&lt;=$L$2,IFERROR(INDEX(MCQ!$A:$K,ROW()-1+1,4),""),IF(ROW()-1&lt;=$L$2+$M$2,IFERROR(INDEX(CLOZE_AB!$A:$K,ROW()-1-$L$2+1,4),""),IF(ROW()-1&lt;=$L$2+$M$2+$N$2,IFERROR(INDEX(CLOZE_LIST!$A:$K,ROW()-1-$L$2-$M$2+1,4),""),IF(ROW()-1&lt;=$L$2+$M$2+$N$2+$O$2,IFERROR(INDEX(PROFORMA!$A:$K,ROW()-1-$L$2-$M$2-$N$2+1,4),""),"")))))</f>
        <v>0</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0</v>
      </c>
      <c r="G33" s="3">
        <f>IF(ROW()-1&lt;=0,"",IF(ROW()-1&lt;=$L$2,IFERROR(INDEX(MCQ!$A:$K,ROW()-1+1,7),""),IF(ROW()-1&lt;=$L$2+$M$2,IFERROR(INDEX(CLOZE_AB!$A:$K,ROW()-1-$L$2+1,7),""),IF(ROW()-1&lt;=$L$2+$M$2+$N$2,IFERROR(INDEX(CLOZE_LIST!$A:$K,ROW()-1-$L$2-$M$2+1,7),""),IF(ROW()-1&lt;=$L$2+$M$2+$N$2+$O$2,IFERROR(INDEX(PROFORMA!$A:$K,ROW()-1-$L$2-$M$2-$N$2+1,7),""),"")))))</f>
        <v>0</v>
      </c>
      <c r="H33" s="3">
        <f>IF(ROW()-1&lt;=0,"",IF(ROW()-1&lt;=$L$2,IFERROR(INDEX(MCQ!$A:$K,ROW()-1+1,8),""),IF(ROW()-1&lt;=$L$2+$M$2,IFERROR(INDEX(CLOZE_AB!$A:$K,ROW()-1-$L$2+1,8),""),IF(ROW()-1&lt;=$L$2+$M$2+$N$2,IFERROR(INDEX(CLOZE_LIST!$A:$K,ROW()-1-$L$2-$M$2+1,8),""),IF(ROW()-1&lt;=$L$2+$M$2+$N$2+$O$2,IFERROR(INDEX(PROFORMA!$A:$K,ROW()-1-$L$2-$M$2-$N$2+1,8),""),"")))))</f>
        <v>0</v>
      </c>
      <c r="I33" s="3">
        <f>IF(ROW()-1&lt;=0,"",IF(ROW()-1&lt;=$L$2,IFERROR(INDEX(MCQ!$A:$K,ROW()-1+1,9),""),IF(ROW()-1&lt;=$L$2+$M$2,IFERROR(INDEX(CLOZE_AB!$A:$K,ROW()-1-$L$2+1,9),""),IF(ROW()-1&lt;=$L$2+$M$2+$N$2,IFERROR(INDEX(CLOZE_LIST!$A:$K,ROW()-1-$L$2-$M$2+1,9),""),IF(ROW()-1&lt;=$L$2+$M$2+$N$2+$O$2,IFERROR(INDEX(PROFORMA!$A:$K,ROW()-1-$L$2-$M$2-$N$2+1,9),""),"")))))</f>
        <v>0</v>
      </c>
      <c r="J33" s="3">
        <f>IF(ROW()-1&lt;=0,"",IF(ROW()-1&lt;=$L$2,IFERROR(INDEX(MCQ!$A:$K,ROW()-1+1,10),""),IF(ROW()-1&lt;=$L$2+$M$2,IFERROR(INDEX(CLOZE_AB!$A:$K,ROW()-1-$L$2+1,10),""),IF(ROW()-1&lt;=$L$2+$M$2+$N$2,IFERROR(INDEX(CLOZE_LIST!$A:$K,ROW()-1-$L$2-$M$2+1,10),""),IF(ROW()-1&lt;=$L$2+$M$2+$N$2+$O$2,IFERROR(INDEX(PROFORMA!$A:$K,ROW()-1-$L$2-$M$2-$N$2+1,10),""),"")))))</f>
        <v>0</v>
      </c>
      <c r="K33" s="3">
        <f>IF(ROW()-1&lt;=0,"",IF(ROW()-1&lt;=$L$2,IFERROR(INDEX(MCQ!$A:$K,ROW()-1+1,11),""),IF(ROW()-1&lt;=$L$2+$M$2,IFERROR(INDEX(CLOZE_AB!$A:$K,ROW()-1-$L$2+1,11),""),IF(ROW()-1&lt;=$L$2+$M$2+$N$2,IFERROR(INDEX(CLOZE_LIST!$A:$K,ROW()-1-$L$2-$M$2+1,11),""),IF(ROW()-1&lt;=$L$2+$M$2+$N$2+$O$2,IFERROR(INDEX(PROFORMA!$A:$K,ROW()-1-$L$2-$M$2-$N$2+1,11),""),"")))))</f>
        <v>0</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
      </c>
      <c r="B34" s="3">
        <f>IF(ROW()-1&lt;=0,"",IF(ROW()-1&lt;=$L$2,IFERROR(INDEX(MCQ!$A:$K,ROW()-1+1,2),""),IF(ROW()-1&lt;=$L$2+$M$2,IFERROR(INDEX(CLOZE_AB!$A:$K,ROW()-1-$L$2+1,2),""),IF(ROW()-1&lt;=$L$2+$M$2+$N$2,IFERROR(INDEX(CLOZE_LIST!$A:$K,ROW()-1-$L$2-$M$2+1,2),""),IF(ROW()-1&lt;=$L$2+$M$2+$N$2+$O$2,IFERROR(INDEX(PROFORMA!$A:$K,ROW()-1-$L$2-$M$2-$N$2+1,2),""),"")))))</f>
        <v>0</v>
      </c>
      <c r="C34" s="3">
        <f>IF(ROW()-1&lt;=0,"",IF(ROW()-1&lt;=$L$2,IFERROR(INDEX(MCQ!$A:$K,ROW()-1+1,3),""),IF(ROW()-1&lt;=$L$2+$M$2,IFERROR(INDEX(CLOZE_AB!$A:$K,ROW()-1-$L$2+1,3),""),IF(ROW()-1&lt;=$L$2+$M$2+$N$2,IFERROR(INDEX(CLOZE_LIST!$A:$K,ROW()-1-$L$2-$M$2+1,3),""),IF(ROW()-1&lt;=$L$2+$M$2+$N$2+$O$2,IFERROR(INDEX(PROFORMA!$A:$K,ROW()-1-$L$2-$M$2-$N$2+1,3),""),"")))))</f>
        <v>0</v>
      </c>
      <c r="D34" s="3">
        <f>IF(ROW()-1&lt;=0,"",IF(ROW()-1&lt;=$L$2,IFERROR(INDEX(MCQ!$A:$K,ROW()-1+1,4),""),IF(ROW()-1&lt;=$L$2+$M$2,IFERROR(INDEX(CLOZE_AB!$A:$K,ROW()-1-$L$2+1,4),""),IF(ROW()-1&lt;=$L$2+$M$2+$N$2,IFERROR(INDEX(CLOZE_LIST!$A:$K,ROW()-1-$L$2-$M$2+1,4),""),IF(ROW()-1&lt;=$L$2+$M$2+$N$2+$O$2,IFERROR(INDEX(PROFORMA!$A:$K,ROW()-1-$L$2-$M$2-$N$2+1,4),""),"")))))</f>
        <v>0</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0</v>
      </c>
      <c r="G34" s="3">
        <f>IF(ROW()-1&lt;=0,"",IF(ROW()-1&lt;=$L$2,IFERROR(INDEX(MCQ!$A:$K,ROW()-1+1,7),""),IF(ROW()-1&lt;=$L$2+$M$2,IFERROR(INDEX(CLOZE_AB!$A:$K,ROW()-1-$L$2+1,7),""),IF(ROW()-1&lt;=$L$2+$M$2+$N$2,IFERROR(INDEX(CLOZE_LIST!$A:$K,ROW()-1-$L$2-$M$2+1,7),""),IF(ROW()-1&lt;=$L$2+$M$2+$N$2+$O$2,IFERROR(INDEX(PROFORMA!$A:$K,ROW()-1-$L$2-$M$2-$N$2+1,7),""),"")))))</f>
        <v>0</v>
      </c>
      <c r="H34" s="3">
        <f>IF(ROW()-1&lt;=0,"",IF(ROW()-1&lt;=$L$2,IFERROR(INDEX(MCQ!$A:$K,ROW()-1+1,8),""),IF(ROW()-1&lt;=$L$2+$M$2,IFERROR(INDEX(CLOZE_AB!$A:$K,ROW()-1-$L$2+1,8),""),IF(ROW()-1&lt;=$L$2+$M$2+$N$2,IFERROR(INDEX(CLOZE_LIST!$A:$K,ROW()-1-$L$2-$M$2+1,8),""),IF(ROW()-1&lt;=$L$2+$M$2+$N$2+$O$2,IFERROR(INDEX(PROFORMA!$A:$K,ROW()-1-$L$2-$M$2-$N$2+1,8),""),"")))))</f>
        <v>0</v>
      </c>
      <c r="I34" s="3">
        <f>IF(ROW()-1&lt;=0,"",IF(ROW()-1&lt;=$L$2,IFERROR(INDEX(MCQ!$A:$K,ROW()-1+1,9),""),IF(ROW()-1&lt;=$L$2+$M$2,IFERROR(INDEX(CLOZE_AB!$A:$K,ROW()-1-$L$2+1,9),""),IF(ROW()-1&lt;=$L$2+$M$2+$N$2,IFERROR(INDEX(CLOZE_LIST!$A:$K,ROW()-1-$L$2-$M$2+1,9),""),IF(ROW()-1&lt;=$L$2+$M$2+$N$2+$O$2,IFERROR(INDEX(PROFORMA!$A:$K,ROW()-1-$L$2-$M$2-$N$2+1,9),""),"")))))</f>
        <v>0</v>
      </c>
      <c r="J34" s="3">
        <f>IF(ROW()-1&lt;=0,"",IF(ROW()-1&lt;=$L$2,IFERROR(INDEX(MCQ!$A:$K,ROW()-1+1,10),""),IF(ROW()-1&lt;=$L$2+$M$2,IFERROR(INDEX(CLOZE_AB!$A:$K,ROW()-1-$L$2+1,10),""),IF(ROW()-1&lt;=$L$2+$M$2+$N$2,IFERROR(INDEX(CLOZE_LIST!$A:$K,ROW()-1-$L$2-$M$2+1,10),""),IF(ROW()-1&lt;=$L$2+$M$2+$N$2+$O$2,IFERROR(INDEX(PROFORMA!$A:$K,ROW()-1-$L$2-$M$2-$N$2+1,10),""),"")))))</f>
        <v>0</v>
      </c>
      <c r="K34" s="3">
        <f>IF(ROW()-1&lt;=0,"",IF(ROW()-1&lt;=$L$2,IFERROR(INDEX(MCQ!$A:$K,ROW()-1+1,11),""),IF(ROW()-1&lt;=$L$2+$M$2,IFERROR(INDEX(CLOZE_AB!$A:$K,ROW()-1-$L$2+1,11),""),IF(ROW()-1&lt;=$L$2+$M$2+$N$2,IFERROR(INDEX(CLOZE_LIST!$A:$K,ROW()-1-$L$2-$M$2+1,11),""),IF(ROW()-1&lt;=$L$2+$M$2+$N$2+$O$2,IFERROR(INDEX(PROFORMA!$A:$K,ROW()-1-$L$2-$M$2-$N$2+1,11),""),"")))))</f>
        <v>0</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
      </c>
      <c r="B35" s="3">
        <f>IF(ROW()-1&lt;=0,"",IF(ROW()-1&lt;=$L$2,IFERROR(INDEX(MCQ!$A:$K,ROW()-1+1,2),""),IF(ROW()-1&lt;=$L$2+$M$2,IFERROR(INDEX(CLOZE_AB!$A:$K,ROW()-1-$L$2+1,2),""),IF(ROW()-1&lt;=$L$2+$M$2+$N$2,IFERROR(INDEX(CLOZE_LIST!$A:$K,ROW()-1-$L$2-$M$2+1,2),""),IF(ROW()-1&lt;=$L$2+$M$2+$N$2+$O$2,IFERROR(INDEX(PROFORMA!$A:$K,ROW()-1-$L$2-$M$2-$N$2+1,2),""),"")))))</f>
        <v>0</v>
      </c>
      <c r="C35" s="3">
        <f>IF(ROW()-1&lt;=0,"",IF(ROW()-1&lt;=$L$2,IFERROR(INDEX(MCQ!$A:$K,ROW()-1+1,3),""),IF(ROW()-1&lt;=$L$2+$M$2,IFERROR(INDEX(CLOZE_AB!$A:$K,ROW()-1-$L$2+1,3),""),IF(ROW()-1&lt;=$L$2+$M$2+$N$2,IFERROR(INDEX(CLOZE_LIST!$A:$K,ROW()-1-$L$2-$M$2+1,3),""),IF(ROW()-1&lt;=$L$2+$M$2+$N$2+$O$2,IFERROR(INDEX(PROFORMA!$A:$K,ROW()-1-$L$2-$M$2-$N$2+1,3),""),"")))))</f>
        <v>0</v>
      </c>
      <c r="D35" s="3">
        <f>IF(ROW()-1&lt;=0,"",IF(ROW()-1&lt;=$L$2,IFERROR(INDEX(MCQ!$A:$K,ROW()-1+1,4),""),IF(ROW()-1&lt;=$L$2+$M$2,IFERROR(INDEX(CLOZE_AB!$A:$K,ROW()-1-$L$2+1,4),""),IF(ROW()-1&lt;=$L$2+$M$2+$N$2,IFERROR(INDEX(CLOZE_LIST!$A:$K,ROW()-1-$L$2-$M$2+1,4),""),IF(ROW()-1&lt;=$L$2+$M$2+$N$2+$O$2,IFERROR(INDEX(PROFORMA!$A:$K,ROW()-1-$L$2-$M$2-$N$2+1,4),""),"")))))</f>
        <v>0</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0</v>
      </c>
      <c r="G35" s="3">
        <f>IF(ROW()-1&lt;=0,"",IF(ROW()-1&lt;=$L$2,IFERROR(INDEX(MCQ!$A:$K,ROW()-1+1,7),""),IF(ROW()-1&lt;=$L$2+$M$2,IFERROR(INDEX(CLOZE_AB!$A:$K,ROW()-1-$L$2+1,7),""),IF(ROW()-1&lt;=$L$2+$M$2+$N$2,IFERROR(INDEX(CLOZE_LIST!$A:$K,ROW()-1-$L$2-$M$2+1,7),""),IF(ROW()-1&lt;=$L$2+$M$2+$N$2+$O$2,IFERROR(INDEX(PROFORMA!$A:$K,ROW()-1-$L$2-$M$2-$N$2+1,7),""),"")))))</f>
        <v>0</v>
      </c>
      <c r="H35" s="3">
        <f>IF(ROW()-1&lt;=0,"",IF(ROW()-1&lt;=$L$2,IFERROR(INDEX(MCQ!$A:$K,ROW()-1+1,8),""),IF(ROW()-1&lt;=$L$2+$M$2,IFERROR(INDEX(CLOZE_AB!$A:$K,ROW()-1-$L$2+1,8),""),IF(ROW()-1&lt;=$L$2+$M$2+$N$2,IFERROR(INDEX(CLOZE_LIST!$A:$K,ROW()-1-$L$2-$M$2+1,8),""),IF(ROW()-1&lt;=$L$2+$M$2+$N$2+$O$2,IFERROR(INDEX(PROFORMA!$A:$K,ROW()-1-$L$2-$M$2-$N$2+1,8),""),"")))))</f>
        <v>0</v>
      </c>
      <c r="I35" s="3">
        <f>IF(ROW()-1&lt;=0,"",IF(ROW()-1&lt;=$L$2,IFERROR(INDEX(MCQ!$A:$K,ROW()-1+1,9),""),IF(ROW()-1&lt;=$L$2+$M$2,IFERROR(INDEX(CLOZE_AB!$A:$K,ROW()-1-$L$2+1,9),""),IF(ROW()-1&lt;=$L$2+$M$2+$N$2,IFERROR(INDEX(CLOZE_LIST!$A:$K,ROW()-1-$L$2-$M$2+1,9),""),IF(ROW()-1&lt;=$L$2+$M$2+$N$2+$O$2,IFERROR(INDEX(PROFORMA!$A:$K,ROW()-1-$L$2-$M$2-$N$2+1,9),""),"")))))</f>
        <v>0</v>
      </c>
      <c r="J35" s="3">
        <f>IF(ROW()-1&lt;=0,"",IF(ROW()-1&lt;=$L$2,IFERROR(INDEX(MCQ!$A:$K,ROW()-1+1,10),""),IF(ROW()-1&lt;=$L$2+$M$2,IFERROR(INDEX(CLOZE_AB!$A:$K,ROW()-1-$L$2+1,10),""),IF(ROW()-1&lt;=$L$2+$M$2+$N$2,IFERROR(INDEX(CLOZE_LIST!$A:$K,ROW()-1-$L$2-$M$2+1,10),""),IF(ROW()-1&lt;=$L$2+$M$2+$N$2+$O$2,IFERROR(INDEX(PROFORMA!$A:$K,ROW()-1-$L$2-$M$2-$N$2+1,10),""),"")))))</f>
        <v>0</v>
      </c>
      <c r="K35" s="3">
        <f>IF(ROW()-1&lt;=0,"",IF(ROW()-1&lt;=$L$2,IFERROR(INDEX(MCQ!$A:$K,ROW()-1+1,11),""),IF(ROW()-1&lt;=$L$2+$M$2,IFERROR(INDEX(CLOZE_AB!$A:$K,ROW()-1-$L$2+1,11),""),IF(ROW()-1&lt;=$L$2+$M$2+$N$2,IFERROR(INDEX(CLOZE_LIST!$A:$K,ROW()-1-$L$2-$M$2+1,11),""),IF(ROW()-1&lt;=$L$2+$M$2+$N$2+$O$2,IFERROR(INDEX(PROFORMA!$A:$K,ROW()-1-$L$2-$M$2-$N$2+1,11),""),"")))))</f>
        <v>0</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
      </c>
      <c r="B36" s="3">
        <f>IF(ROW()-1&lt;=0,"",IF(ROW()-1&lt;=$L$2,IFERROR(INDEX(MCQ!$A:$K,ROW()-1+1,2),""),IF(ROW()-1&lt;=$L$2+$M$2,IFERROR(INDEX(CLOZE_AB!$A:$K,ROW()-1-$L$2+1,2),""),IF(ROW()-1&lt;=$L$2+$M$2+$N$2,IFERROR(INDEX(CLOZE_LIST!$A:$K,ROW()-1-$L$2-$M$2+1,2),""),IF(ROW()-1&lt;=$L$2+$M$2+$N$2+$O$2,IFERROR(INDEX(PROFORMA!$A:$K,ROW()-1-$L$2-$M$2-$N$2+1,2),""),"")))))</f>
        <v>0</v>
      </c>
      <c r="C36" s="3">
        <f>IF(ROW()-1&lt;=0,"",IF(ROW()-1&lt;=$L$2,IFERROR(INDEX(MCQ!$A:$K,ROW()-1+1,3),""),IF(ROW()-1&lt;=$L$2+$M$2,IFERROR(INDEX(CLOZE_AB!$A:$K,ROW()-1-$L$2+1,3),""),IF(ROW()-1&lt;=$L$2+$M$2+$N$2,IFERROR(INDEX(CLOZE_LIST!$A:$K,ROW()-1-$L$2-$M$2+1,3),""),IF(ROW()-1&lt;=$L$2+$M$2+$N$2+$O$2,IFERROR(INDEX(PROFORMA!$A:$K,ROW()-1-$L$2-$M$2-$N$2+1,3),""),"")))))</f>
        <v>0</v>
      </c>
      <c r="D36" s="3">
        <f>IF(ROW()-1&lt;=0,"",IF(ROW()-1&lt;=$L$2,IFERROR(INDEX(MCQ!$A:$K,ROW()-1+1,4),""),IF(ROW()-1&lt;=$L$2+$M$2,IFERROR(INDEX(CLOZE_AB!$A:$K,ROW()-1-$L$2+1,4),""),IF(ROW()-1&lt;=$L$2+$M$2+$N$2,IFERROR(INDEX(CLOZE_LIST!$A:$K,ROW()-1-$L$2-$M$2+1,4),""),IF(ROW()-1&lt;=$L$2+$M$2+$N$2+$O$2,IFERROR(INDEX(PROFORMA!$A:$K,ROW()-1-$L$2-$M$2-$N$2+1,4),""),"")))))</f>
        <v>0</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0</v>
      </c>
      <c r="G36" s="3">
        <f>IF(ROW()-1&lt;=0,"",IF(ROW()-1&lt;=$L$2,IFERROR(INDEX(MCQ!$A:$K,ROW()-1+1,7),""),IF(ROW()-1&lt;=$L$2+$M$2,IFERROR(INDEX(CLOZE_AB!$A:$K,ROW()-1-$L$2+1,7),""),IF(ROW()-1&lt;=$L$2+$M$2+$N$2,IFERROR(INDEX(CLOZE_LIST!$A:$K,ROW()-1-$L$2-$M$2+1,7),""),IF(ROW()-1&lt;=$L$2+$M$2+$N$2+$O$2,IFERROR(INDEX(PROFORMA!$A:$K,ROW()-1-$L$2-$M$2-$N$2+1,7),""),"")))))</f>
        <v>0</v>
      </c>
      <c r="H36" s="3">
        <f>IF(ROW()-1&lt;=0,"",IF(ROW()-1&lt;=$L$2,IFERROR(INDEX(MCQ!$A:$K,ROW()-1+1,8),""),IF(ROW()-1&lt;=$L$2+$M$2,IFERROR(INDEX(CLOZE_AB!$A:$K,ROW()-1-$L$2+1,8),""),IF(ROW()-1&lt;=$L$2+$M$2+$N$2,IFERROR(INDEX(CLOZE_LIST!$A:$K,ROW()-1-$L$2-$M$2+1,8),""),IF(ROW()-1&lt;=$L$2+$M$2+$N$2+$O$2,IFERROR(INDEX(PROFORMA!$A:$K,ROW()-1-$L$2-$M$2-$N$2+1,8),""),"")))))</f>
        <v>0</v>
      </c>
      <c r="I36" s="3">
        <f>IF(ROW()-1&lt;=0,"",IF(ROW()-1&lt;=$L$2,IFERROR(INDEX(MCQ!$A:$K,ROW()-1+1,9),""),IF(ROW()-1&lt;=$L$2+$M$2,IFERROR(INDEX(CLOZE_AB!$A:$K,ROW()-1-$L$2+1,9),""),IF(ROW()-1&lt;=$L$2+$M$2+$N$2,IFERROR(INDEX(CLOZE_LIST!$A:$K,ROW()-1-$L$2-$M$2+1,9),""),IF(ROW()-1&lt;=$L$2+$M$2+$N$2+$O$2,IFERROR(INDEX(PROFORMA!$A:$K,ROW()-1-$L$2-$M$2-$N$2+1,9),""),"")))))</f>
        <v>0</v>
      </c>
      <c r="J36" s="3">
        <f>IF(ROW()-1&lt;=0,"",IF(ROW()-1&lt;=$L$2,IFERROR(INDEX(MCQ!$A:$K,ROW()-1+1,10),""),IF(ROW()-1&lt;=$L$2+$M$2,IFERROR(INDEX(CLOZE_AB!$A:$K,ROW()-1-$L$2+1,10),""),IF(ROW()-1&lt;=$L$2+$M$2+$N$2,IFERROR(INDEX(CLOZE_LIST!$A:$K,ROW()-1-$L$2-$M$2+1,10),""),IF(ROW()-1&lt;=$L$2+$M$2+$N$2+$O$2,IFERROR(INDEX(PROFORMA!$A:$K,ROW()-1-$L$2-$M$2-$N$2+1,10),""),"")))))</f>
        <v>0</v>
      </c>
      <c r="K36" s="3">
        <f>IF(ROW()-1&lt;=0,"",IF(ROW()-1&lt;=$L$2,IFERROR(INDEX(MCQ!$A:$K,ROW()-1+1,11),""),IF(ROW()-1&lt;=$L$2+$M$2,IFERROR(INDEX(CLOZE_AB!$A:$K,ROW()-1-$L$2+1,11),""),IF(ROW()-1&lt;=$L$2+$M$2+$N$2,IFERROR(INDEX(CLOZE_LIST!$A:$K,ROW()-1-$L$2-$M$2+1,11),""),IF(ROW()-1&lt;=$L$2+$M$2+$N$2+$O$2,IFERROR(INDEX(PROFORMA!$A:$K,ROW()-1-$L$2-$M$2-$N$2+1,11),""),"")))))</f>
        <v>0</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
      </c>
      <c r="B37" s="3">
        <f>IF(ROW()-1&lt;=0,"",IF(ROW()-1&lt;=$L$2,IFERROR(INDEX(MCQ!$A:$K,ROW()-1+1,2),""),IF(ROW()-1&lt;=$L$2+$M$2,IFERROR(INDEX(CLOZE_AB!$A:$K,ROW()-1-$L$2+1,2),""),IF(ROW()-1&lt;=$L$2+$M$2+$N$2,IFERROR(INDEX(CLOZE_LIST!$A:$K,ROW()-1-$L$2-$M$2+1,2),""),IF(ROW()-1&lt;=$L$2+$M$2+$N$2+$O$2,IFERROR(INDEX(PROFORMA!$A:$K,ROW()-1-$L$2-$M$2-$N$2+1,2),""),"")))))</f>
        <v>0</v>
      </c>
      <c r="C37" s="3">
        <f>IF(ROW()-1&lt;=0,"",IF(ROW()-1&lt;=$L$2,IFERROR(INDEX(MCQ!$A:$K,ROW()-1+1,3),""),IF(ROW()-1&lt;=$L$2+$M$2,IFERROR(INDEX(CLOZE_AB!$A:$K,ROW()-1-$L$2+1,3),""),IF(ROW()-1&lt;=$L$2+$M$2+$N$2,IFERROR(INDEX(CLOZE_LIST!$A:$K,ROW()-1-$L$2-$M$2+1,3),""),IF(ROW()-1&lt;=$L$2+$M$2+$N$2+$O$2,IFERROR(INDEX(PROFORMA!$A:$K,ROW()-1-$L$2-$M$2-$N$2+1,3),""),"")))))</f>
        <v>0</v>
      </c>
      <c r="D37" s="3">
        <f>IF(ROW()-1&lt;=0,"",IF(ROW()-1&lt;=$L$2,IFERROR(INDEX(MCQ!$A:$K,ROW()-1+1,4),""),IF(ROW()-1&lt;=$L$2+$M$2,IFERROR(INDEX(CLOZE_AB!$A:$K,ROW()-1-$L$2+1,4),""),IF(ROW()-1&lt;=$L$2+$M$2+$N$2,IFERROR(INDEX(CLOZE_LIST!$A:$K,ROW()-1-$L$2-$M$2+1,4),""),IF(ROW()-1&lt;=$L$2+$M$2+$N$2+$O$2,IFERROR(INDEX(PROFORMA!$A:$K,ROW()-1-$L$2-$M$2-$N$2+1,4),""),"")))))</f>
        <v>0</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0</v>
      </c>
      <c r="G37" s="3">
        <f>IF(ROW()-1&lt;=0,"",IF(ROW()-1&lt;=$L$2,IFERROR(INDEX(MCQ!$A:$K,ROW()-1+1,7),""),IF(ROW()-1&lt;=$L$2+$M$2,IFERROR(INDEX(CLOZE_AB!$A:$K,ROW()-1-$L$2+1,7),""),IF(ROW()-1&lt;=$L$2+$M$2+$N$2,IFERROR(INDEX(CLOZE_LIST!$A:$K,ROW()-1-$L$2-$M$2+1,7),""),IF(ROW()-1&lt;=$L$2+$M$2+$N$2+$O$2,IFERROR(INDEX(PROFORMA!$A:$K,ROW()-1-$L$2-$M$2-$N$2+1,7),""),"")))))</f>
        <v>0</v>
      </c>
      <c r="H37" s="3">
        <f>IF(ROW()-1&lt;=0,"",IF(ROW()-1&lt;=$L$2,IFERROR(INDEX(MCQ!$A:$K,ROW()-1+1,8),""),IF(ROW()-1&lt;=$L$2+$M$2,IFERROR(INDEX(CLOZE_AB!$A:$K,ROW()-1-$L$2+1,8),""),IF(ROW()-1&lt;=$L$2+$M$2+$N$2,IFERROR(INDEX(CLOZE_LIST!$A:$K,ROW()-1-$L$2-$M$2+1,8),""),IF(ROW()-1&lt;=$L$2+$M$2+$N$2+$O$2,IFERROR(INDEX(PROFORMA!$A:$K,ROW()-1-$L$2-$M$2-$N$2+1,8),""),"")))))</f>
        <v>0</v>
      </c>
      <c r="I37" s="3">
        <f>IF(ROW()-1&lt;=0,"",IF(ROW()-1&lt;=$L$2,IFERROR(INDEX(MCQ!$A:$K,ROW()-1+1,9),""),IF(ROW()-1&lt;=$L$2+$M$2,IFERROR(INDEX(CLOZE_AB!$A:$K,ROW()-1-$L$2+1,9),""),IF(ROW()-1&lt;=$L$2+$M$2+$N$2,IFERROR(INDEX(CLOZE_LIST!$A:$K,ROW()-1-$L$2-$M$2+1,9),""),IF(ROW()-1&lt;=$L$2+$M$2+$N$2+$O$2,IFERROR(INDEX(PROFORMA!$A:$K,ROW()-1-$L$2-$M$2-$N$2+1,9),""),"")))))</f>
        <v>0</v>
      </c>
      <c r="J37" s="3">
        <f>IF(ROW()-1&lt;=0,"",IF(ROW()-1&lt;=$L$2,IFERROR(INDEX(MCQ!$A:$K,ROW()-1+1,10),""),IF(ROW()-1&lt;=$L$2+$M$2,IFERROR(INDEX(CLOZE_AB!$A:$K,ROW()-1-$L$2+1,10),""),IF(ROW()-1&lt;=$L$2+$M$2+$N$2,IFERROR(INDEX(CLOZE_LIST!$A:$K,ROW()-1-$L$2-$M$2+1,10),""),IF(ROW()-1&lt;=$L$2+$M$2+$N$2+$O$2,IFERROR(INDEX(PROFORMA!$A:$K,ROW()-1-$L$2-$M$2-$N$2+1,10),""),"")))))</f>
        <v>0</v>
      </c>
      <c r="K37" s="3">
        <f>IF(ROW()-1&lt;=0,"",IF(ROW()-1&lt;=$L$2,IFERROR(INDEX(MCQ!$A:$K,ROW()-1+1,11),""),IF(ROW()-1&lt;=$L$2+$M$2,IFERROR(INDEX(CLOZE_AB!$A:$K,ROW()-1-$L$2+1,11),""),IF(ROW()-1&lt;=$L$2+$M$2+$N$2,IFERROR(INDEX(CLOZE_LIST!$A:$K,ROW()-1-$L$2-$M$2+1,11),""),IF(ROW()-1&lt;=$L$2+$M$2+$N$2+$O$2,IFERROR(INDEX(PROFORMA!$A:$K,ROW()-1-$L$2-$M$2-$N$2+1,11),""),"")))))</f>
        <v>0</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
      </c>
      <c r="B38" s="3">
        <f>IF(ROW()-1&lt;=0,"",IF(ROW()-1&lt;=$L$2,IFERROR(INDEX(MCQ!$A:$K,ROW()-1+1,2),""),IF(ROW()-1&lt;=$L$2+$M$2,IFERROR(INDEX(CLOZE_AB!$A:$K,ROW()-1-$L$2+1,2),""),IF(ROW()-1&lt;=$L$2+$M$2+$N$2,IFERROR(INDEX(CLOZE_LIST!$A:$K,ROW()-1-$L$2-$M$2+1,2),""),IF(ROW()-1&lt;=$L$2+$M$2+$N$2+$O$2,IFERROR(INDEX(PROFORMA!$A:$K,ROW()-1-$L$2-$M$2-$N$2+1,2),""),"")))))</f>
        <v>0</v>
      </c>
      <c r="C38" s="3">
        <f>IF(ROW()-1&lt;=0,"",IF(ROW()-1&lt;=$L$2,IFERROR(INDEX(MCQ!$A:$K,ROW()-1+1,3),""),IF(ROW()-1&lt;=$L$2+$M$2,IFERROR(INDEX(CLOZE_AB!$A:$K,ROW()-1-$L$2+1,3),""),IF(ROW()-1&lt;=$L$2+$M$2+$N$2,IFERROR(INDEX(CLOZE_LIST!$A:$K,ROW()-1-$L$2-$M$2+1,3),""),IF(ROW()-1&lt;=$L$2+$M$2+$N$2+$O$2,IFERROR(INDEX(PROFORMA!$A:$K,ROW()-1-$L$2-$M$2-$N$2+1,3),""),"")))))</f>
        <v>0</v>
      </c>
      <c r="D38" s="3">
        <f>IF(ROW()-1&lt;=0,"",IF(ROW()-1&lt;=$L$2,IFERROR(INDEX(MCQ!$A:$K,ROW()-1+1,4),""),IF(ROW()-1&lt;=$L$2+$M$2,IFERROR(INDEX(CLOZE_AB!$A:$K,ROW()-1-$L$2+1,4),""),IF(ROW()-1&lt;=$L$2+$M$2+$N$2,IFERROR(INDEX(CLOZE_LIST!$A:$K,ROW()-1-$L$2-$M$2+1,4),""),IF(ROW()-1&lt;=$L$2+$M$2+$N$2+$O$2,IFERROR(INDEX(PROFORMA!$A:$K,ROW()-1-$L$2-$M$2-$N$2+1,4),""),"")))))</f>
        <v>0</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0</v>
      </c>
      <c r="G38" s="3">
        <f>IF(ROW()-1&lt;=0,"",IF(ROW()-1&lt;=$L$2,IFERROR(INDEX(MCQ!$A:$K,ROW()-1+1,7),""),IF(ROW()-1&lt;=$L$2+$M$2,IFERROR(INDEX(CLOZE_AB!$A:$K,ROW()-1-$L$2+1,7),""),IF(ROW()-1&lt;=$L$2+$M$2+$N$2,IFERROR(INDEX(CLOZE_LIST!$A:$K,ROW()-1-$L$2-$M$2+1,7),""),IF(ROW()-1&lt;=$L$2+$M$2+$N$2+$O$2,IFERROR(INDEX(PROFORMA!$A:$K,ROW()-1-$L$2-$M$2-$N$2+1,7),""),"")))))</f>
        <v>0</v>
      </c>
      <c r="H38" s="3">
        <f>IF(ROW()-1&lt;=0,"",IF(ROW()-1&lt;=$L$2,IFERROR(INDEX(MCQ!$A:$K,ROW()-1+1,8),""),IF(ROW()-1&lt;=$L$2+$M$2,IFERROR(INDEX(CLOZE_AB!$A:$K,ROW()-1-$L$2+1,8),""),IF(ROW()-1&lt;=$L$2+$M$2+$N$2,IFERROR(INDEX(CLOZE_LIST!$A:$K,ROW()-1-$L$2-$M$2+1,8),""),IF(ROW()-1&lt;=$L$2+$M$2+$N$2+$O$2,IFERROR(INDEX(PROFORMA!$A:$K,ROW()-1-$L$2-$M$2-$N$2+1,8),""),"")))))</f>
        <v>0</v>
      </c>
      <c r="I38" s="3">
        <f>IF(ROW()-1&lt;=0,"",IF(ROW()-1&lt;=$L$2,IFERROR(INDEX(MCQ!$A:$K,ROW()-1+1,9),""),IF(ROW()-1&lt;=$L$2+$M$2,IFERROR(INDEX(CLOZE_AB!$A:$K,ROW()-1-$L$2+1,9),""),IF(ROW()-1&lt;=$L$2+$M$2+$N$2,IFERROR(INDEX(CLOZE_LIST!$A:$K,ROW()-1-$L$2-$M$2+1,9),""),IF(ROW()-1&lt;=$L$2+$M$2+$N$2+$O$2,IFERROR(INDEX(PROFORMA!$A:$K,ROW()-1-$L$2-$M$2-$N$2+1,9),""),"")))))</f>
        <v>0</v>
      </c>
      <c r="J38" s="3">
        <f>IF(ROW()-1&lt;=0,"",IF(ROW()-1&lt;=$L$2,IFERROR(INDEX(MCQ!$A:$K,ROW()-1+1,10),""),IF(ROW()-1&lt;=$L$2+$M$2,IFERROR(INDEX(CLOZE_AB!$A:$K,ROW()-1-$L$2+1,10),""),IF(ROW()-1&lt;=$L$2+$M$2+$N$2,IFERROR(INDEX(CLOZE_LIST!$A:$K,ROW()-1-$L$2-$M$2+1,10),""),IF(ROW()-1&lt;=$L$2+$M$2+$N$2+$O$2,IFERROR(INDEX(PROFORMA!$A:$K,ROW()-1-$L$2-$M$2-$N$2+1,10),""),"")))))</f>
        <v>0</v>
      </c>
      <c r="K38" s="3">
        <f>IF(ROW()-1&lt;=0,"",IF(ROW()-1&lt;=$L$2,IFERROR(INDEX(MCQ!$A:$K,ROW()-1+1,11),""),IF(ROW()-1&lt;=$L$2+$M$2,IFERROR(INDEX(CLOZE_AB!$A:$K,ROW()-1-$L$2+1,11),""),IF(ROW()-1&lt;=$L$2+$M$2+$N$2,IFERROR(INDEX(CLOZE_LIST!$A:$K,ROW()-1-$L$2-$M$2+1,11),""),IF(ROW()-1&lt;=$L$2+$M$2+$N$2+$O$2,IFERROR(INDEX(PROFORMA!$A:$K,ROW()-1-$L$2-$M$2-$N$2+1,11),""),"")))))</f>
        <v>0</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
      </c>
      <c r="B39" s="3">
        <f>IF(ROW()-1&lt;=0,"",IF(ROW()-1&lt;=$L$2,IFERROR(INDEX(MCQ!$A:$K,ROW()-1+1,2),""),IF(ROW()-1&lt;=$L$2+$M$2,IFERROR(INDEX(CLOZE_AB!$A:$K,ROW()-1-$L$2+1,2),""),IF(ROW()-1&lt;=$L$2+$M$2+$N$2,IFERROR(INDEX(CLOZE_LIST!$A:$K,ROW()-1-$L$2-$M$2+1,2),""),IF(ROW()-1&lt;=$L$2+$M$2+$N$2+$O$2,IFERROR(INDEX(PROFORMA!$A:$K,ROW()-1-$L$2-$M$2-$N$2+1,2),""),"")))))</f>
        <v>0</v>
      </c>
      <c r="C39" s="3">
        <f>IF(ROW()-1&lt;=0,"",IF(ROW()-1&lt;=$L$2,IFERROR(INDEX(MCQ!$A:$K,ROW()-1+1,3),""),IF(ROW()-1&lt;=$L$2+$M$2,IFERROR(INDEX(CLOZE_AB!$A:$K,ROW()-1-$L$2+1,3),""),IF(ROW()-1&lt;=$L$2+$M$2+$N$2,IFERROR(INDEX(CLOZE_LIST!$A:$K,ROW()-1-$L$2-$M$2+1,3),""),IF(ROW()-1&lt;=$L$2+$M$2+$N$2+$O$2,IFERROR(INDEX(PROFORMA!$A:$K,ROW()-1-$L$2-$M$2-$N$2+1,3),""),"")))))</f>
        <v>0</v>
      </c>
      <c r="D39" s="3">
        <f>IF(ROW()-1&lt;=0,"",IF(ROW()-1&lt;=$L$2,IFERROR(INDEX(MCQ!$A:$K,ROW()-1+1,4),""),IF(ROW()-1&lt;=$L$2+$M$2,IFERROR(INDEX(CLOZE_AB!$A:$K,ROW()-1-$L$2+1,4),""),IF(ROW()-1&lt;=$L$2+$M$2+$N$2,IFERROR(INDEX(CLOZE_LIST!$A:$K,ROW()-1-$L$2-$M$2+1,4),""),IF(ROW()-1&lt;=$L$2+$M$2+$N$2+$O$2,IFERROR(INDEX(PROFORMA!$A:$K,ROW()-1-$L$2-$M$2-$N$2+1,4),""),"")))))</f>
        <v>0</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0</v>
      </c>
      <c r="G39" s="3">
        <f>IF(ROW()-1&lt;=0,"",IF(ROW()-1&lt;=$L$2,IFERROR(INDEX(MCQ!$A:$K,ROW()-1+1,7),""),IF(ROW()-1&lt;=$L$2+$M$2,IFERROR(INDEX(CLOZE_AB!$A:$K,ROW()-1-$L$2+1,7),""),IF(ROW()-1&lt;=$L$2+$M$2+$N$2,IFERROR(INDEX(CLOZE_LIST!$A:$K,ROW()-1-$L$2-$M$2+1,7),""),IF(ROW()-1&lt;=$L$2+$M$2+$N$2+$O$2,IFERROR(INDEX(PROFORMA!$A:$K,ROW()-1-$L$2-$M$2-$N$2+1,7),""),"")))))</f>
        <v>0</v>
      </c>
      <c r="H39" s="3">
        <f>IF(ROW()-1&lt;=0,"",IF(ROW()-1&lt;=$L$2,IFERROR(INDEX(MCQ!$A:$K,ROW()-1+1,8),""),IF(ROW()-1&lt;=$L$2+$M$2,IFERROR(INDEX(CLOZE_AB!$A:$K,ROW()-1-$L$2+1,8),""),IF(ROW()-1&lt;=$L$2+$M$2+$N$2,IFERROR(INDEX(CLOZE_LIST!$A:$K,ROW()-1-$L$2-$M$2+1,8),""),IF(ROW()-1&lt;=$L$2+$M$2+$N$2+$O$2,IFERROR(INDEX(PROFORMA!$A:$K,ROW()-1-$L$2-$M$2-$N$2+1,8),""),"")))))</f>
        <v>0</v>
      </c>
      <c r="I39" s="3">
        <f>IF(ROW()-1&lt;=0,"",IF(ROW()-1&lt;=$L$2,IFERROR(INDEX(MCQ!$A:$K,ROW()-1+1,9),""),IF(ROW()-1&lt;=$L$2+$M$2,IFERROR(INDEX(CLOZE_AB!$A:$K,ROW()-1-$L$2+1,9),""),IF(ROW()-1&lt;=$L$2+$M$2+$N$2,IFERROR(INDEX(CLOZE_LIST!$A:$K,ROW()-1-$L$2-$M$2+1,9),""),IF(ROW()-1&lt;=$L$2+$M$2+$N$2+$O$2,IFERROR(INDEX(PROFORMA!$A:$K,ROW()-1-$L$2-$M$2-$N$2+1,9),""),"")))))</f>
        <v>0</v>
      </c>
      <c r="J39" s="3">
        <f>IF(ROW()-1&lt;=0,"",IF(ROW()-1&lt;=$L$2,IFERROR(INDEX(MCQ!$A:$K,ROW()-1+1,10),""),IF(ROW()-1&lt;=$L$2+$M$2,IFERROR(INDEX(CLOZE_AB!$A:$K,ROW()-1-$L$2+1,10),""),IF(ROW()-1&lt;=$L$2+$M$2+$N$2,IFERROR(INDEX(CLOZE_LIST!$A:$K,ROW()-1-$L$2-$M$2+1,10),""),IF(ROW()-1&lt;=$L$2+$M$2+$N$2+$O$2,IFERROR(INDEX(PROFORMA!$A:$K,ROW()-1-$L$2-$M$2-$N$2+1,10),""),"")))))</f>
        <v>0</v>
      </c>
      <c r="K39" s="3">
        <f>IF(ROW()-1&lt;=0,"",IF(ROW()-1&lt;=$L$2,IFERROR(INDEX(MCQ!$A:$K,ROW()-1+1,11),""),IF(ROW()-1&lt;=$L$2+$M$2,IFERROR(INDEX(CLOZE_AB!$A:$K,ROW()-1-$L$2+1,11),""),IF(ROW()-1&lt;=$L$2+$M$2+$N$2,IFERROR(INDEX(CLOZE_LIST!$A:$K,ROW()-1-$L$2-$M$2+1,11),""),IF(ROW()-1&lt;=$L$2+$M$2+$N$2+$O$2,IFERROR(INDEX(PROFORMA!$A:$K,ROW()-1-$L$2-$M$2-$N$2+1,11),""),"")))))</f>
        <v>0</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
      </c>
      <c r="B40" s="3">
        <f>IF(ROW()-1&lt;=0,"",IF(ROW()-1&lt;=$L$2,IFERROR(INDEX(MCQ!$A:$K,ROW()-1+1,2),""),IF(ROW()-1&lt;=$L$2+$M$2,IFERROR(INDEX(CLOZE_AB!$A:$K,ROW()-1-$L$2+1,2),""),IF(ROW()-1&lt;=$L$2+$M$2+$N$2,IFERROR(INDEX(CLOZE_LIST!$A:$K,ROW()-1-$L$2-$M$2+1,2),""),IF(ROW()-1&lt;=$L$2+$M$2+$N$2+$O$2,IFERROR(INDEX(PROFORMA!$A:$K,ROW()-1-$L$2-$M$2-$N$2+1,2),""),"")))))</f>
        <v>0</v>
      </c>
      <c r="C40" s="3">
        <f>IF(ROW()-1&lt;=0,"",IF(ROW()-1&lt;=$L$2,IFERROR(INDEX(MCQ!$A:$K,ROW()-1+1,3),""),IF(ROW()-1&lt;=$L$2+$M$2,IFERROR(INDEX(CLOZE_AB!$A:$K,ROW()-1-$L$2+1,3),""),IF(ROW()-1&lt;=$L$2+$M$2+$N$2,IFERROR(INDEX(CLOZE_LIST!$A:$K,ROW()-1-$L$2-$M$2+1,3),""),IF(ROW()-1&lt;=$L$2+$M$2+$N$2+$O$2,IFERROR(INDEX(PROFORMA!$A:$K,ROW()-1-$L$2-$M$2-$N$2+1,3),""),"")))))</f>
        <v>0</v>
      </c>
      <c r="D40" s="3">
        <f>IF(ROW()-1&lt;=0,"",IF(ROW()-1&lt;=$L$2,IFERROR(INDEX(MCQ!$A:$K,ROW()-1+1,4),""),IF(ROW()-1&lt;=$L$2+$M$2,IFERROR(INDEX(CLOZE_AB!$A:$K,ROW()-1-$L$2+1,4),""),IF(ROW()-1&lt;=$L$2+$M$2+$N$2,IFERROR(INDEX(CLOZE_LIST!$A:$K,ROW()-1-$L$2-$M$2+1,4),""),IF(ROW()-1&lt;=$L$2+$M$2+$N$2+$O$2,IFERROR(INDEX(PROFORMA!$A:$K,ROW()-1-$L$2-$M$2-$N$2+1,4),""),"")))))</f>
        <v>0</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0</v>
      </c>
      <c r="G40" s="3">
        <f>IF(ROW()-1&lt;=0,"",IF(ROW()-1&lt;=$L$2,IFERROR(INDEX(MCQ!$A:$K,ROW()-1+1,7),""),IF(ROW()-1&lt;=$L$2+$M$2,IFERROR(INDEX(CLOZE_AB!$A:$K,ROW()-1-$L$2+1,7),""),IF(ROW()-1&lt;=$L$2+$M$2+$N$2,IFERROR(INDEX(CLOZE_LIST!$A:$K,ROW()-1-$L$2-$M$2+1,7),""),IF(ROW()-1&lt;=$L$2+$M$2+$N$2+$O$2,IFERROR(INDEX(PROFORMA!$A:$K,ROW()-1-$L$2-$M$2-$N$2+1,7),""),"")))))</f>
        <v>0</v>
      </c>
      <c r="H40" s="3">
        <f>IF(ROW()-1&lt;=0,"",IF(ROW()-1&lt;=$L$2,IFERROR(INDEX(MCQ!$A:$K,ROW()-1+1,8),""),IF(ROW()-1&lt;=$L$2+$M$2,IFERROR(INDEX(CLOZE_AB!$A:$K,ROW()-1-$L$2+1,8),""),IF(ROW()-1&lt;=$L$2+$M$2+$N$2,IFERROR(INDEX(CLOZE_LIST!$A:$K,ROW()-1-$L$2-$M$2+1,8),""),IF(ROW()-1&lt;=$L$2+$M$2+$N$2+$O$2,IFERROR(INDEX(PROFORMA!$A:$K,ROW()-1-$L$2-$M$2-$N$2+1,8),""),"")))))</f>
        <v>0</v>
      </c>
      <c r="I40" s="3">
        <f>IF(ROW()-1&lt;=0,"",IF(ROW()-1&lt;=$L$2,IFERROR(INDEX(MCQ!$A:$K,ROW()-1+1,9),""),IF(ROW()-1&lt;=$L$2+$M$2,IFERROR(INDEX(CLOZE_AB!$A:$K,ROW()-1-$L$2+1,9),""),IF(ROW()-1&lt;=$L$2+$M$2+$N$2,IFERROR(INDEX(CLOZE_LIST!$A:$K,ROW()-1-$L$2-$M$2+1,9),""),IF(ROW()-1&lt;=$L$2+$M$2+$N$2+$O$2,IFERROR(INDEX(PROFORMA!$A:$K,ROW()-1-$L$2-$M$2-$N$2+1,9),""),"")))))</f>
        <v>0</v>
      </c>
      <c r="J40" s="3">
        <f>IF(ROW()-1&lt;=0,"",IF(ROW()-1&lt;=$L$2,IFERROR(INDEX(MCQ!$A:$K,ROW()-1+1,10),""),IF(ROW()-1&lt;=$L$2+$M$2,IFERROR(INDEX(CLOZE_AB!$A:$K,ROW()-1-$L$2+1,10),""),IF(ROW()-1&lt;=$L$2+$M$2+$N$2,IFERROR(INDEX(CLOZE_LIST!$A:$K,ROW()-1-$L$2-$M$2+1,10),""),IF(ROW()-1&lt;=$L$2+$M$2+$N$2+$O$2,IFERROR(INDEX(PROFORMA!$A:$K,ROW()-1-$L$2-$M$2-$N$2+1,10),""),"")))))</f>
        <v>0</v>
      </c>
      <c r="K40" s="3">
        <f>IF(ROW()-1&lt;=0,"",IF(ROW()-1&lt;=$L$2,IFERROR(INDEX(MCQ!$A:$K,ROW()-1+1,11),""),IF(ROW()-1&lt;=$L$2+$M$2,IFERROR(INDEX(CLOZE_AB!$A:$K,ROW()-1-$L$2+1,11),""),IF(ROW()-1&lt;=$L$2+$M$2+$N$2,IFERROR(INDEX(CLOZE_LIST!$A:$K,ROW()-1-$L$2-$M$2+1,11),""),IF(ROW()-1&lt;=$L$2+$M$2+$N$2+$O$2,IFERROR(INDEX(PROFORMA!$A:$K,ROW()-1-$L$2-$M$2-$N$2+1,11),""),"")))))</f>
        <v>0</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
      </c>
      <c r="B41" s="3">
        <f>IF(ROW()-1&lt;=0,"",IF(ROW()-1&lt;=$L$2,IFERROR(INDEX(MCQ!$A:$K,ROW()-1+1,2),""),IF(ROW()-1&lt;=$L$2+$M$2,IFERROR(INDEX(CLOZE_AB!$A:$K,ROW()-1-$L$2+1,2),""),IF(ROW()-1&lt;=$L$2+$M$2+$N$2,IFERROR(INDEX(CLOZE_LIST!$A:$K,ROW()-1-$L$2-$M$2+1,2),""),IF(ROW()-1&lt;=$L$2+$M$2+$N$2+$O$2,IFERROR(INDEX(PROFORMA!$A:$K,ROW()-1-$L$2-$M$2-$N$2+1,2),""),"")))))</f>
        <v>0</v>
      </c>
      <c r="C41" s="3">
        <f>IF(ROW()-1&lt;=0,"",IF(ROW()-1&lt;=$L$2,IFERROR(INDEX(MCQ!$A:$K,ROW()-1+1,3),""),IF(ROW()-1&lt;=$L$2+$M$2,IFERROR(INDEX(CLOZE_AB!$A:$K,ROW()-1-$L$2+1,3),""),IF(ROW()-1&lt;=$L$2+$M$2+$N$2,IFERROR(INDEX(CLOZE_LIST!$A:$K,ROW()-1-$L$2-$M$2+1,3),""),IF(ROW()-1&lt;=$L$2+$M$2+$N$2+$O$2,IFERROR(INDEX(PROFORMA!$A:$K,ROW()-1-$L$2-$M$2-$N$2+1,3),""),"")))))</f>
        <v>0</v>
      </c>
      <c r="D41" s="3">
        <f>IF(ROW()-1&lt;=0,"",IF(ROW()-1&lt;=$L$2,IFERROR(INDEX(MCQ!$A:$K,ROW()-1+1,4),""),IF(ROW()-1&lt;=$L$2+$M$2,IFERROR(INDEX(CLOZE_AB!$A:$K,ROW()-1-$L$2+1,4),""),IF(ROW()-1&lt;=$L$2+$M$2+$N$2,IFERROR(INDEX(CLOZE_LIST!$A:$K,ROW()-1-$L$2-$M$2+1,4),""),IF(ROW()-1&lt;=$L$2+$M$2+$N$2+$O$2,IFERROR(INDEX(PROFORMA!$A:$K,ROW()-1-$L$2-$M$2-$N$2+1,4),""),"")))))</f>
        <v>0</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0</v>
      </c>
      <c r="G41" s="3">
        <f>IF(ROW()-1&lt;=0,"",IF(ROW()-1&lt;=$L$2,IFERROR(INDEX(MCQ!$A:$K,ROW()-1+1,7),""),IF(ROW()-1&lt;=$L$2+$M$2,IFERROR(INDEX(CLOZE_AB!$A:$K,ROW()-1-$L$2+1,7),""),IF(ROW()-1&lt;=$L$2+$M$2+$N$2,IFERROR(INDEX(CLOZE_LIST!$A:$K,ROW()-1-$L$2-$M$2+1,7),""),IF(ROW()-1&lt;=$L$2+$M$2+$N$2+$O$2,IFERROR(INDEX(PROFORMA!$A:$K,ROW()-1-$L$2-$M$2-$N$2+1,7),""),"")))))</f>
        <v>0</v>
      </c>
      <c r="H41" s="3">
        <f>IF(ROW()-1&lt;=0,"",IF(ROW()-1&lt;=$L$2,IFERROR(INDEX(MCQ!$A:$K,ROW()-1+1,8),""),IF(ROW()-1&lt;=$L$2+$M$2,IFERROR(INDEX(CLOZE_AB!$A:$K,ROW()-1-$L$2+1,8),""),IF(ROW()-1&lt;=$L$2+$M$2+$N$2,IFERROR(INDEX(CLOZE_LIST!$A:$K,ROW()-1-$L$2-$M$2+1,8),""),IF(ROW()-1&lt;=$L$2+$M$2+$N$2+$O$2,IFERROR(INDEX(PROFORMA!$A:$K,ROW()-1-$L$2-$M$2-$N$2+1,8),""),"")))))</f>
        <v>0</v>
      </c>
      <c r="I41" s="3">
        <f>IF(ROW()-1&lt;=0,"",IF(ROW()-1&lt;=$L$2,IFERROR(INDEX(MCQ!$A:$K,ROW()-1+1,9),""),IF(ROW()-1&lt;=$L$2+$M$2,IFERROR(INDEX(CLOZE_AB!$A:$K,ROW()-1-$L$2+1,9),""),IF(ROW()-1&lt;=$L$2+$M$2+$N$2,IFERROR(INDEX(CLOZE_LIST!$A:$K,ROW()-1-$L$2-$M$2+1,9),""),IF(ROW()-1&lt;=$L$2+$M$2+$N$2+$O$2,IFERROR(INDEX(PROFORMA!$A:$K,ROW()-1-$L$2-$M$2-$N$2+1,9),""),"")))))</f>
        <v>0</v>
      </c>
      <c r="J41" s="3">
        <f>IF(ROW()-1&lt;=0,"",IF(ROW()-1&lt;=$L$2,IFERROR(INDEX(MCQ!$A:$K,ROW()-1+1,10),""),IF(ROW()-1&lt;=$L$2+$M$2,IFERROR(INDEX(CLOZE_AB!$A:$K,ROW()-1-$L$2+1,10),""),IF(ROW()-1&lt;=$L$2+$M$2+$N$2,IFERROR(INDEX(CLOZE_LIST!$A:$K,ROW()-1-$L$2-$M$2+1,10),""),IF(ROW()-1&lt;=$L$2+$M$2+$N$2+$O$2,IFERROR(INDEX(PROFORMA!$A:$K,ROW()-1-$L$2-$M$2-$N$2+1,10),""),"")))))</f>
        <v>0</v>
      </c>
      <c r="K41" s="3">
        <f>IF(ROW()-1&lt;=0,"",IF(ROW()-1&lt;=$L$2,IFERROR(INDEX(MCQ!$A:$K,ROW()-1+1,11),""),IF(ROW()-1&lt;=$L$2+$M$2,IFERROR(INDEX(CLOZE_AB!$A:$K,ROW()-1-$L$2+1,11),""),IF(ROW()-1&lt;=$L$2+$M$2+$N$2,IFERROR(INDEX(CLOZE_LIST!$A:$K,ROW()-1-$L$2-$M$2+1,11),""),IF(ROW()-1&lt;=$L$2+$M$2+$N$2+$O$2,IFERROR(INDEX(PROFORMA!$A:$K,ROW()-1-$L$2-$M$2-$N$2+1,11),""),"")))))</f>
        <v>0</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
      </c>
      <c r="B42" s="3">
        <f>IF(ROW()-1&lt;=0,"",IF(ROW()-1&lt;=$L$2,IFERROR(INDEX(MCQ!$A:$K,ROW()-1+1,2),""),IF(ROW()-1&lt;=$L$2+$M$2,IFERROR(INDEX(CLOZE_AB!$A:$K,ROW()-1-$L$2+1,2),""),IF(ROW()-1&lt;=$L$2+$M$2+$N$2,IFERROR(INDEX(CLOZE_LIST!$A:$K,ROW()-1-$L$2-$M$2+1,2),""),IF(ROW()-1&lt;=$L$2+$M$2+$N$2+$O$2,IFERROR(INDEX(PROFORMA!$A:$K,ROW()-1-$L$2-$M$2-$N$2+1,2),""),"")))))</f>
        <v>0</v>
      </c>
      <c r="C42" s="3">
        <f>IF(ROW()-1&lt;=0,"",IF(ROW()-1&lt;=$L$2,IFERROR(INDEX(MCQ!$A:$K,ROW()-1+1,3),""),IF(ROW()-1&lt;=$L$2+$M$2,IFERROR(INDEX(CLOZE_AB!$A:$K,ROW()-1-$L$2+1,3),""),IF(ROW()-1&lt;=$L$2+$M$2+$N$2,IFERROR(INDEX(CLOZE_LIST!$A:$K,ROW()-1-$L$2-$M$2+1,3),""),IF(ROW()-1&lt;=$L$2+$M$2+$N$2+$O$2,IFERROR(INDEX(PROFORMA!$A:$K,ROW()-1-$L$2-$M$2-$N$2+1,3),""),"")))))</f>
        <v>0</v>
      </c>
      <c r="D42" s="3">
        <f>IF(ROW()-1&lt;=0,"",IF(ROW()-1&lt;=$L$2,IFERROR(INDEX(MCQ!$A:$K,ROW()-1+1,4),""),IF(ROW()-1&lt;=$L$2+$M$2,IFERROR(INDEX(CLOZE_AB!$A:$K,ROW()-1-$L$2+1,4),""),IF(ROW()-1&lt;=$L$2+$M$2+$N$2,IFERROR(INDEX(CLOZE_LIST!$A:$K,ROW()-1-$L$2-$M$2+1,4),""),IF(ROW()-1&lt;=$L$2+$M$2+$N$2+$O$2,IFERROR(INDEX(PROFORMA!$A:$K,ROW()-1-$L$2-$M$2-$N$2+1,4),""),"")))))</f>
        <v>0</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0</v>
      </c>
      <c r="G42" s="3">
        <f>IF(ROW()-1&lt;=0,"",IF(ROW()-1&lt;=$L$2,IFERROR(INDEX(MCQ!$A:$K,ROW()-1+1,7),""),IF(ROW()-1&lt;=$L$2+$M$2,IFERROR(INDEX(CLOZE_AB!$A:$K,ROW()-1-$L$2+1,7),""),IF(ROW()-1&lt;=$L$2+$M$2+$N$2,IFERROR(INDEX(CLOZE_LIST!$A:$K,ROW()-1-$L$2-$M$2+1,7),""),IF(ROW()-1&lt;=$L$2+$M$2+$N$2+$O$2,IFERROR(INDEX(PROFORMA!$A:$K,ROW()-1-$L$2-$M$2-$N$2+1,7),""),"")))))</f>
        <v>0</v>
      </c>
      <c r="H42" s="3">
        <f>IF(ROW()-1&lt;=0,"",IF(ROW()-1&lt;=$L$2,IFERROR(INDEX(MCQ!$A:$K,ROW()-1+1,8),""),IF(ROW()-1&lt;=$L$2+$M$2,IFERROR(INDEX(CLOZE_AB!$A:$K,ROW()-1-$L$2+1,8),""),IF(ROW()-1&lt;=$L$2+$M$2+$N$2,IFERROR(INDEX(CLOZE_LIST!$A:$K,ROW()-1-$L$2-$M$2+1,8),""),IF(ROW()-1&lt;=$L$2+$M$2+$N$2+$O$2,IFERROR(INDEX(PROFORMA!$A:$K,ROW()-1-$L$2-$M$2-$N$2+1,8),""),"")))))</f>
        <v>0</v>
      </c>
      <c r="I42" s="3">
        <f>IF(ROW()-1&lt;=0,"",IF(ROW()-1&lt;=$L$2,IFERROR(INDEX(MCQ!$A:$K,ROW()-1+1,9),""),IF(ROW()-1&lt;=$L$2+$M$2,IFERROR(INDEX(CLOZE_AB!$A:$K,ROW()-1-$L$2+1,9),""),IF(ROW()-1&lt;=$L$2+$M$2+$N$2,IFERROR(INDEX(CLOZE_LIST!$A:$K,ROW()-1-$L$2-$M$2+1,9),""),IF(ROW()-1&lt;=$L$2+$M$2+$N$2+$O$2,IFERROR(INDEX(PROFORMA!$A:$K,ROW()-1-$L$2-$M$2-$N$2+1,9),""),"")))))</f>
        <v>0</v>
      </c>
      <c r="J42" s="3">
        <f>IF(ROW()-1&lt;=0,"",IF(ROW()-1&lt;=$L$2,IFERROR(INDEX(MCQ!$A:$K,ROW()-1+1,10),""),IF(ROW()-1&lt;=$L$2+$M$2,IFERROR(INDEX(CLOZE_AB!$A:$K,ROW()-1-$L$2+1,10),""),IF(ROW()-1&lt;=$L$2+$M$2+$N$2,IFERROR(INDEX(CLOZE_LIST!$A:$K,ROW()-1-$L$2-$M$2+1,10),""),IF(ROW()-1&lt;=$L$2+$M$2+$N$2+$O$2,IFERROR(INDEX(PROFORMA!$A:$K,ROW()-1-$L$2-$M$2-$N$2+1,10),""),"")))))</f>
        <v>0</v>
      </c>
      <c r="K42" s="3">
        <f>IF(ROW()-1&lt;=0,"",IF(ROW()-1&lt;=$L$2,IFERROR(INDEX(MCQ!$A:$K,ROW()-1+1,11),""),IF(ROW()-1&lt;=$L$2+$M$2,IFERROR(INDEX(CLOZE_AB!$A:$K,ROW()-1-$L$2+1,11),""),IF(ROW()-1&lt;=$L$2+$M$2+$N$2,IFERROR(INDEX(CLOZE_LIST!$A:$K,ROW()-1-$L$2-$M$2+1,11),""),IF(ROW()-1&lt;=$L$2+$M$2+$N$2+$O$2,IFERROR(INDEX(PROFORMA!$A:$K,ROW()-1-$L$2-$M$2-$N$2+1,11),""),"")))))</f>
        <v>0</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t="str">
        <f>IF(ROW()-1&lt;=0,"",IF(ROW()-1&lt;=$L$2,IFERROR(INDEX(MCQ!$A:$K,ROW()-1+1,5),""),IF(ROW()-1&lt;=$L$2+$M$2,IFERROR(INDEX(CLOZE_AB!$A:$K,ROW()-1-$L$2+1,5),""),IF(ROW()-1&lt;=$L$2+$M$2+$N$2,IFERROR(INDEX(CLOZE_LIST!$A:$K,ROW()-1-$L$2-$M$2+1,5),""),IF(ROW()-1&lt;=$L$2+$M$2+$N$2+$O$2,IFERROR(INDEX(PROFORMA!$A:$K,ROW()-1-$L$2-$M$2-$N$2+1,5),""),"")))))</f>
        <v>mcq_radio</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t="str">
        <f>IF(ROW()-1&lt;=0,"",IF(ROW()-1&lt;=$L$2,IFERROR(INDEX(MCQ!$A:$K,ROW()-1+1,5),""),IF(ROW()-1&lt;=$L$2+$M$2,IFERROR(INDEX(CLOZE_AB!$A:$K,ROW()-1-$L$2+1,5),""),IF(ROW()-1&lt;=$L$2+$M$2+$N$2,IFERROR(INDEX(CLOZE_LIST!$A:$K,ROW()-1-$L$2-$M$2+1,5),""),IF(ROW()-1&lt;=$L$2+$M$2+$N$2+$O$2,IFERROR(INDEX(PROFORMA!$A:$K,ROW()-1-$L$2-$M$2-$N$2+1,5),""),"")))))</f>
        <v>mcq_radio</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t="str">
        <f>IF(ROW()-1&lt;=0,"",IF(ROW()-1&lt;=$L$2,IFERROR(INDEX(MCQ!$A:$K,ROW()-1+1,5),""),IF(ROW()-1&lt;=$L$2+$M$2,IFERROR(INDEX(CLOZE_AB!$A:$K,ROW()-1-$L$2+1,5),""),IF(ROW()-1&lt;=$L$2+$M$2+$N$2,IFERROR(INDEX(CLOZE_LIST!$A:$K,ROW()-1-$L$2-$M$2+1,5),""),IF(ROW()-1&lt;=$L$2+$M$2+$N$2+$O$2,IFERROR(INDEX(PROFORMA!$A:$K,ROW()-1-$L$2-$M$2-$N$2+1,5),""),"")))))</f>
        <v>mcq_radio</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t="str">
        <f>IF(ROW()-1&lt;=0,"",IF(ROW()-1&lt;=$L$2,IFERROR(INDEX(MCQ!$A:$K,ROW()-1+1,5),""),IF(ROW()-1&lt;=$L$2+$M$2,IFERROR(INDEX(CLOZE_AB!$A:$K,ROW()-1-$L$2+1,5),""),IF(ROW()-1&lt;=$L$2+$M$2+$N$2,IFERROR(INDEX(CLOZE_LIST!$A:$K,ROW()-1-$L$2-$M$2+1,5),""),IF(ROW()-1&lt;=$L$2+$M$2+$N$2+$O$2,IFERROR(INDEX(PROFORMA!$A:$K,ROW()-1-$L$2-$M$2-$N$2+1,5),""),"")))))</f>
        <v>mcq_radio</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t="str">
        <f>IF(ROW()-1&lt;=0,"",IF(ROW()-1&lt;=$L$2,IFERROR(INDEX(MCQ!$A:$K,ROW()-1+1,5),""),IF(ROW()-1&lt;=$L$2+$M$2,IFERROR(INDEX(CLOZE_AB!$A:$K,ROW()-1-$L$2+1,5),""),IF(ROW()-1&lt;=$L$2+$M$2+$N$2,IFERROR(INDEX(CLOZE_LIST!$A:$K,ROW()-1-$L$2-$M$2+1,5),""),IF(ROW()-1&lt;=$L$2+$M$2+$N$2+$O$2,IFERROR(INDEX(PROFORMA!$A:$K,ROW()-1-$L$2-$M$2-$N$2+1,5),""),"")))))</f>
        <v>mcq_radio</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t="str">
        <f>IF(ROW()-1&lt;=0,"",IF(ROW()-1&lt;=$L$2,IFERROR(INDEX(MCQ!$A:$K,ROW()-1+1,5),""),IF(ROW()-1&lt;=$L$2+$M$2,IFERROR(INDEX(CLOZE_AB!$A:$K,ROW()-1-$L$2+1,5),""),IF(ROW()-1&lt;=$L$2+$M$2+$N$2,IFERROR(INDEX(CLOZE_LIST!$A:$K,ROW()-1-$L$2-$M$2+1,5),""),IF(ROW()-1&lt;=$L$2+$M$2+$N$2+$O$2,IFERROR(INDEX(PROFORMA!$A:$K,ROW()-1-$L$2-$M$2-$N$2+1,5),""),"")))))</f>
        <v>mcq_radio</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t="str">
        <f>IF(ROW()-1&lt;=0,"",IF(ROW()-1&lt;=$L$2,IFERROR(INDEX(MCQ!$A:$K,ROW()-1+1,5),""),IF(ROW()-1&lt;=$L$2+$M$2,IFERROR(INDEX(CLOZE_AB!$A:$K,ROW()-1-$L$2+1,5),""),IF(ROW()-1&lt;=$L$2+$M$2+$N$2,IFERROR(INDEX(CLOZE_LIST!$A:$K,ROW()-1-$L$2-$M$2+1,5),""),IF(ROW()-1&lt;=$L$2+$M$2+$N$2+$O$2,IFERROR(INDEX(PROFORMA!$A:$K,ROW()-1-$L$2-$M$2-$N$2+1,5),""),"")))))</f>
        <v>mcq_radio</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t="str">
        <f>IF(ROW()-1&lt;=0,"",IF(ROW()-1&lt;=$L$2,IFERROR(INDEX(MCQ!$A:$K,ROW()-1+1,5),""),IF(ROW()-1&lt;=$L$2+$M$2,IFERROR(INDEX(CLOZE_AB!$A:$K,ROW()-1-$L$2+1,5),""),IF(ROW()-1&lt;=$L$2+$M$2+$N$2,IFERROR(INDEX(CLOZE_LIST!$A:$K,ROW()-1-$L$2-$M$2+1,5),""),IF(ROW()-1&lt;=$L$2+$M$2+$N$2+$O$2,IFERROR(INDEX(PROFORMA!$A:$K,ROW()-1-$L$2-$M$2-$N$2+1,5),""),"")))))</f>
        <v>mcq_radio</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t="str">
        <f>IF(ROW()-1&lt;=0,"",IF(ROW()-1&lt;=$L$2,IFERROR(INDEX(MCQ!$A:$K,ROW()-1+1,5),""),IF(ROW()-1&lt;=$L$2+$M$2,IFERROR(INDEX(CLOZE_AB!$A:$K,ROW()-1-$L$2+1,5),""),IF(ROW()-1&lt;=$L$2+$M$2+$N$2,IFERROR(INDEX(CLOZE_LIST!$A:$K,ROW()-1-$L$2-$M$2+1,5),""),IF(ROW()-1&lt;=$L$2+$M$2+$N$2+$O$2,IFERROR(INDEX(PROFORMA!$A:$K,ROW()-1-$L$2-$M$2-$N$2+1,5),""),"")))))</f>
        <v>mcq_radio</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t="str">
        <f>IF(ROW()-1&lt;=0,"",IF(ROW()-1&lt;=$L$2,IFERROR(INDEX(MCQ!$A:$K,ROW()-1+1,5),""),IF(ROW()-1&lt;=$L$2+$M$2,IFERROR(INDEX(CLOZE_AB!$A:$K,ROW()-1-$L$2+1,5),""),IF(ROW()-1&lt;=$L$2+$M$2+$N$2,IFERROR(INDEX(CLOZE_LIST!$A:$K,ROW()-1-$L$2-$M$2+1,5),""),IF(ROW()-1&lt;=$L$2+$M$2+$N$2+$O$2,IFERROR(INDEX(PROFORMA!$A:$K,ROW()-1-$L$2-$M$2-$N$2+1,5),""),"")))))</f>
        <v>mcq_radio</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t="str">
        <f>IF(ROW()-1&lt;=0,"",IF(ROW()-1&lt;=$L$2,IFERROR(INDEX(MCQ!$A:$K,ROW()-1+1,5),""),IF(ROW()-1&lt;=$L$2+$M$2,IFERROR(INDEX(CLOZE_AB!$A:$K,ROW()-1-$L$2+1,5),""),IF(ROW()-1&lt;=$L$2+$M$2+$N$2,IFERROR(INDEX(CLOZE_LIST!$A:$K,ROW()-1-$L$2-$M$2+1,5),""),IF(ROW()-1&lt;=$L$2+$M$2+$N$2+$O$2,IFERROR(INDEX(PROFORMA!$A:$K,ROW()-1-$L$2-$M$2-$N$2+1,5),""),"")))))</f>
        <v>mcq_radio</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t="str">
        <f>IF(ROW()-1&lt;=0,"",IF(ROW()-1&lt;=$L$2,IFERROR(INDEX(MCQ!$A:$K,ROW()-1+1,5),""),IF(ROW()-1&lt;=$L$2+$M$2,IFERROR(INDEX(CLOZE_AB!$A:$K,ROW()-1-$L$2+1,5),""),IF(ROW()-1&lt;=$L$2+$M$2+$N$2,IFERROR(INDEX(CLOZE_LIST!$A:$K,ROW()-1-$L$2-$M$2+1,5),""),IF(ROW()-1&lt;=$L$2+$M$2+$N$2+$O$2,IFERROR(INDEX(PROFORMA!$A:$K,ROW()-1-$L$2-$M$2-$N$2+1,5),""),"")))))</f>
        <v>mcq_radio</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t="str">
        <f>IF(ROW()-1&lt;=0,"",IF(ROW()-1&lt;=$L$2,IFERROR(INDEX(MCQ!$A:$K,ROW()-1+1,5),""),IF(ROW()-1&lt;=$L$2+$M$2,IFERROR(INDEX(CLOZE_AB!$A:$K,ROW()-1-$L$2+1,5),""),IF(ROW()-1&lt;=$L$2+$M$2+$N$2,IFERROR(INDEX(CLOZE_LIST!$A:$K,ROW()-1-$L$2-$M$2+1,5),""),IF(ROW()-1&lt;=$L$2+$M$2+$N$2+$O$2,IFERROR(INDEX(PROFORMA!$A:$K,ROW()-1-$L$2-$M$2-$N$2+1,5),""),"")))))</f>
        <v>mcq_radio</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t="str">
        <f>IF(ROW()-1&lt;=0,"",IF(ROW()-1&lt;=$L$2,IFERROR(INDEX(MCQ!$A:$K,ROW()-1+1,5),""),IF(ROW()-1&lt;=$L$2+$M$2,IFERROR(INDEX(CLOZE_AB!$A:$K,ROW()-1-$L$2+1,5),""),IF(ROW()-1&lt;=$L$2+$M$2+$N$2,IFERROR(INDEX(CLOZE_LIST!$A:$K,ROW()-1-$L$2-$M$2+1,5),""),IF(ROW()-1&lt;=$L$2+$M$2+$N$2+$O$2,IFERROR(INDEX(PROFORMA!$A:$K,ROW()-1-$L$2-$M$2-$N$2+1,5),""),"")))))</f>
        <v>mcq_radio</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t="str">
        <f>IF(ROW()-1&lt;=0,"",IF(ROW()-1&lt;=$L$2,IFERROR(INDEX(MCQ!$A:$K,ROW()-1+1,5),""),IF(ROW()-1&lt;=$L$2+$M$2,IFERROR(INDEX(CLOZE_AB!$A:$K,ROW()-1-$L$2+1,5),""),IF(ROW()-1&lt;=$L$2+$M$2+$N$2,IFERROR(INDEX(CLOZE_LIST!$A:$K,ROW()-1-$L$2-$M$2+1,5),""),IF(ROW()-1&lt;=$L$2+$M$2+$N$2+$O$2,IFERROR(INDEX(PROFORMA!$A:$K,ROW()-1-$L$2-$M$2-$N$2+1,5),""),"")))))</f>
        <v>mcq_radio</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t="str">
        <f>IF(ROW()-1&lt;=0,"",IF(ROW()-1&lt;=$L$2,IFERROR(INDEX(MCQ!$A:$K,ROW()-1+1,5),""),IF(ROW()-1&lt;=$L$2+$M$2,IFERROR(INDEX(CLOZE_AB!$A:$K,ROW()-1-$L$2+1,5),""),IF(ROW()-1&lt;=$L$2+$M$2+$N$2,IFERROR(INDEX(CLOZE_LIST!$A:$K,ROW()-1-$L$2-$M$2+1,5),""),IF(ROW()-1&lt;=$L$2+$M$2+$N$2+$O$2,IFERROR(INDEX(PROFORMA!$A:$K,ROW()-1-$L$2-$M$2-$N$2+1,5),""),"")))))</f>
        <v>mcq_radio</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t="str">
        <f>IF(ROW()-1&lt;=0,"",IF(ROW()-1&lt;=$L$2,IFERROR(INDEX(MCQ!$A:$K,ROW()-1+1,5),""),IF(ROW()-1&lt;=$L$2+$M$2,IFERROR(INDEX(CLOZE_AB!$A:$K,ROW()-1-$L$2+1,5),""),IF(ROW()-1&lt;=$L$2+$M$2+$N$2,IFERROR(INDEX(CLOZE_LIST!$A:$K,ROW()-1-$L$2-$M$2+1,5),""),IF(ROW()-1&lt;=$L$2+$M$2+$N$2+$O$2,IFERROR(INDEX(PROFORMA!$A:$K,ROW()-1-$L$2-$M$2-$N$2+1,5),""),"")))))</f>
        <v>mcq_radio</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t="str">
        <f>IF(ROW()-1&lt;=0,"",IF(ROW()-1&lt;=$L$2,IFERROR(INDEX(MCQ!$A:$K,ROW()-1+1,5),""),IF(ROW()-1&lt;=$L$2+$M$2,IFERROR(INDEX(CLOZE_AB!$A:$K,ROW()-1-$L$2+1,5),""),IF(ROW()-1&lt;=$L$2+$M$2+$N$2,IFERROR(INDEX(CLOZE_LIST!$A:$K,ROW()-1-$L$2-$M$2+1,5),""),IF(ROW()-1&lt;=$L$2+$M$2+$N$2+$O$2,IFERROR(INDEX(PROFORMA!$A:$K,ROW()-1-$L$2-$M$2-$N$2+1,5),""),"")))))</f>
        <v>mcq_radio</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t="str">
        <f>IF(ROW()-1&lt;=0,"",IF(ROW()-1&lt;=$L$2,IFERROR(INDEX(MCQ!$A:$K,ROW()-1+1,5),""),IF(ROW()-1&lt;=$L$2+$M$2,IFERROR(INDEX(CLOZE_AB!$A:$K,ROW()-1-$L$2+1,5),""),IF(ROW()-1&lt;=$L$2+$M$2+$N$2,IFERROR(INDEX(CLOZE_LIST!$A:$K,ROW()-1-$L$2-$M$2+1,5),""),IF(ROW()-1&lt;=$L$2+$M$2+$N$2+$O$2,IFERROR(INDEX(PROFORMA!$A:$K,ROW()-1-$L$2-$M$2-$N$2+1,5),""),"")))))</f>
        <v>mcq_radio</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t="str">
        <f>IF(ROW()-1&lt;=0,"",IF(ROW()-1&lt;=$L$2,IFERROR(INDEX(MCQ!$A:$K,ROW()-1+1,5),""),IF(ROW()-1&lt;=$L$2+$M$2,IFERROR(INDEX(CLOZE_AB!$A:$K,ROW()-1-$L$2+1,5),""),IF(ROW()-1&lt;=$L$2+$M$2+$N$2,IFERROR(INDEX(CLOZE_LIST!$A:$K,ROW()-1-$L$2-$M$2+1,5),""),IF(ROW()-1&lt;=$L$2+$M$2+$N$2+$O$2,IFERROR(INDEX(PROFORMA!$A:$K,ROW()-1-$L$2-$M$2-$N$2+1,5),""),"")))))</f>
        <v>mcq_radio</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t="str">
        <f>IF(ROW()-1&lt;=0,"",IF(ROW()-1&lt;=$L$2,IFERROR(INDEX(MCQ!$A:$K,ROW()-1+1,5),""),IF(ROW()-1&lt;=$L$2+$M$2,IFERROR(INDEX(CLOZE_AB!$A:$K,ROW()-1-$L$2+1,5),""),IF(ROW()-1&lt;=$L$2+$M$2+$N$2,IFERROR(INDEX(CLOZE_LIST!$A:$K,ROW()-1-$L$2-$M$2+1,5),""),IF(ROW()-1&lt;=$L$2+$M$2+$N$2+$O$2,IFERROR(INDEX(PROFORMA!$A:$K,ROW()-1-$L$2-$M$2-$N$2+1,5),""),"")))))</f>
        <v>mcq_radio</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t="str">
        <f>IF(ROW()-1&lt;=0,"",IF(ROW()-1&lt;=$L$2,IFERROR(INDEX(MCQ!$A:$K,ROW()-1+1,5),""),IF(ROW()-1&lt;=$L$2+$M$2,IFERROR(INDEX(CLOZE_AB!$A:$K,ROW()-1-$L$2+1,5),""),IF(ROW()-1&lt;=$L$2+$M$2+$N$2,IFERROR(INDEX(CLOZE_LIST!$A:$K,ROW()-1-$L$2-$M$2+1,5),""),IF(ROW()-1&lt;=$L$2+$M$2+$N$2+$O$2,IFERROR(INDEX(PROFORMA!$A:$K,ROW()-1-$L$2-$M$2-$N$2+1,5),""),"")))))</f>
        <v>mcq_radio</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t="str">
        <f>IF(ROW()-1&lt;=0,"",IF(ROW()-1&lt;=$L$2,IFERROR(INDEX(MCQ!$A:$K,ROW()-1+1,5),""),IF(ROW()-1&lt;=$L$2+$M$2,IFERROR(INDEX(CLOZE_AB!$A:$K,ROW()-1-$L$2+1,5),""),IF(ROW()-1&lt;=$L$2+$M$2+$N$2,IFERROR(INDEX(CLOZE_LIST!$A:$K,ROW()-1-$L$2-$M$2+1,5),""),IF(ROW()-1&lt;=$L$2+$M$2+$N$2+$O$2,IFERROR(INDEX(PROFORMA!$A:$K,ROW()-1-$L$2-$M$2-$N$2+1,5),""),"")))))</f>
        <v>mcq_radio</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t="str">
        <f>IF(ROW()-1&lt;=0,"",IF(ROW()-1&lt;=$L$2,IFERROR(INDEX(MCQ!$A:$K,ROW()-1+1,5),""),IF(ROW()-1&lt;=$L$2+$M$2,IFERROR(INDEX(CLOZE_AB!$A:$K,ROW()-1-$L$2+1,5),""),IF(ROW()-1&lt;=$L$2+$M$2+$N$2,IFERROR(INDEX(CLOZE_LIST!$A:$K,ROW()-1-$L$2-$M$2+1,5),""),IF(ROW()-1&lt;=$L$2+$M$2+$N$2+$O$2,IFERROR(INDEX(PROFORMA!$A:$K,ROW()-1-$L$2-$M$2-$N$2+1,5),""),"")))))</f>
        <v>mcq_radio</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t="str">
        <f>IF(ROW()-1&lt;=0,"",IF(ROW()-1&lt;=$L$2,IFERROR(INDEX(MCQ!$A:$K,ROW()-1+1,5),""),IF(ROW()-1&lt;=$L$2+$M$2,IFERROR(INDEX(CLOZE_AB!$A:$K,ROW()-1-$L$2+1,5),""),IF(ROW()-1&lt;=$L$2+$M$2+$N$2,IFERROR(INDEX(CLOZE_LIST!$A:$K,ROW()-1-$L$2-$M$2+1,5),""),IF(ROW()-1&lt;=$L$2+$M$2+$N$2+$O$2,IFERROR(INDEX(PROFORMA!$A:$K,ROW()-1-$L$2-$M$2-$N$2+1,5),""),"")))))</f>
        <v>mcq_radio</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t="str">
        <f>IF(ROW()-1&lt;=0,"",IF(ROW()-1&lt;=$L$2,IFERROR(INDEX(MCQ!$A:$K,ROW()-1+1,5),""),IF(ROW()-1&lt;=$L$2+$M$2,IFERROR(INDEX(CLOZE_AB!$A:$K,ROW()-1-$L$2+1,5),""),IF(ROW()-1&lt;=$L$2+$M$2+$N$2,IFERROR(INDEX(CLOZE_LIST!$A:$K,ROW()-1-$L$2-$M$2+1,5),""),IF(ROW()-1&lt;=$L$2+$M$2+$N$2+$O$2,IFERROR(INDEX(PROFORMA!$A:$K,ROW()-1-$L$2-$M$2-$N$2+1,5),""),"")))))</f>
        <v>mcq_radio</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t="str">
        <f>IF(ROW()-1&lt;=0,"",IF(ROW()-1&lt;=$L$2,IFERROR(INDEX(MCQ!$A:$K,ROW()-1+1,5),""),IF(ROW()-1&lt;=$L$2+$M$2,IFERROR(INDEX(CLOZE_AB!$A:$K,ROW()-1-$L$2+1,5),""),IF(ROW()-1&lt;=$L$2+$M$2+$N$2,IFERROR(INDEX(CLOZE_LIST!$A:$K,ROW()-1-$L$2-$M$2+1,5),""),IF(ROW()-1&lt;=$L$2+$M$2+$N$2+$O$2,IFERROR(INDEX(PROFORMA!$A:$K,ROW()-1-$L$2-$M$2-$N$2+1,5),""),"")))))</f>
        <v>mcq_radio</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t="str">
        <f>IF(ROW()-1&lt;=0,"",IF(ROW()-1&lt;=$L$2,IFERROR(INDEX(MCQ!$A:$K,ROW()-1+1,5),""),IF(ROW()-1&lt;=$L$2+$M$2,IFERROR(INDEX(CLOZE_AB!$A:$K,ROW()-1-$L$2+1,5),""),IF(ROW()-1&lt;=$L$2+$M$2+$N$2,IFERROR(INDEX(CLOZE_LIST!$A:$K,ROW()-1-$L$2-$M$2+1,5),""),IF(ROW()-1&lt;=$L$2+$M$2+$N$2+$O$2,IFERROR(INDEX(PROFORMA!$A:$K,ROW()-1-$L$2-$M$2-$N$2+1,5),""),"")))))</f>
        <v>mcq_radio</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t="str">
        <f>IF(ROW()-1&lt;=0,"",IF(ROW()-1&lt;=$L$2,IFERROR(INDEX(MCQ!$A:$K,ROW()-1+1,5),""),IF(ROW()-1&lt;=$L$2+$M$2,IFERROR(INDEX(CLOZE_AB!$A:$K,ROW()-1-$L$2+1,5),""),IF(ROW()-1&lt;=$L$2+$M$2+$N$2,IFERROR(INDEX(CLOZE_LIST!$A:$K,ROW()-1-$L$2-$M$2+1,5),""),IF(ROW()-1&lt;=$L$2+$M$2+$N$2+$O$2,IFERROR(INDEX(PROFORMA!$A:$K,ROW()-1-$L$2-$M$2-$N$2+1,5),""),"")))))</f>
        <v>mcq_radio</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t="str">
        <f>IF(ROW()-1&lt;=0,"",IF(ROW()-1&lt;=$L$2,IFERROR(INDEX(MCQ!$A:$K,ROW()-1+1,5),""),IF(ROW()-1&lt;=$L$2+$M$2,IFERROR(INDEX(CLOZE_AB!$A:$K,ROW()-1-$L$2+1,5),""),IF(ROW()-1&lt;=$L$2+$M$2+$N$2,IFERROR(INDEX(CLOZE_LIST!$A:$K,ROW()-1-$L$2-$M$2+1,5),""),IF(ROW()-1&lt;=$L$2+$M$2+$N$2+$O$2,IFERROR(INDEX(PROFORMA!$A:$K,ROW()-1-$L$2-$M$2-$N$2+1,5),""),"")))))</f>
        <v>mcq_radio</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t="str">
        <f>IF(ROW()-1&lt;=0,"",IF(ROW()-1&lt;=$L$2,IFERROR(INDEX(MCQ!$A:$K,ROW()-1+1,5),""),IF(ROW()-1&lt;=$L$2+$M$2,IFERROR(INDEX(CLOZE_AB!$A:$K,ROW()-1-$L$2+1,5),""),IF(ROW()-1&lt;=$L$2+$M$2+$N$2,IFERROR(INDEX(CLOZE_LIST!$A:$K,ROW()-1-$L$2-$M$2+1,5),""),IF(ROW()-1&lt;=$L$2+$M$2+$N$2+$O$2,IFERROR(INDEX(PROFORMA!$A:$K,ROW()-1-$L$2-$M$2-$N$2+1,5),""),"")))))</f>
        <v>mcq_radio</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t="str">
        <f>IF(ROW()-1&lt;=0,"",IF(ROW()-1&lt;=$L$2,IFERROR(INDEX(MCQ!$A:$K,ROW()-1+1,5),""),IF(ROW()-1&lt;=$L$2+$M$2,IFERROR(INDEX(CLOZE_AB!$A:$K,ROW()-1-$L$2+1,5),""),IF(ROW()-1&lt;=$L$2+$M$2+$N$2,IFERROR(INDEX(CLOZE_LIST!$A:$K,ROW()-1-$L$2-$M$2+1,5),""),IF(ROW()-1&lt;=$L$2+$M$2+$N$2+$O$2,IFERROR(INDEX(PROFORMA!$A:$K,ROW()-1-$L$2-$M$2-$N$2+1,5),""),"")))))</f>
        <v>mcq_radio</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t="str">
        <f>IF(ROW()-1&lt;=0,"",IF(ROW()-1&lt;=$L$2,IFERROR(INDEX(MCQ!$A:$K,ROW()-1+1,5),""),IF(ROW()-1&lt;=$L$2+$M$2,IFERROR(INDEX(CLOZE_AB!$A:$K,ROW()-1-$L$2+1,5),""),IF(ROW()-1&lt;=$L$2+$M$2+$N$2,IFERROR(INDEX(CLOZE_LIST!$A:$K,ROW()-1-$L$2-$M$2+1,5),""),IF(ROW()-1&lt;=$L$2+$M$2+$N$2+$O$2,IFERROR(INDEX(PROFORMA!$A:$K,ROW()-1-$L$2-$M$2-$N$2+1,5),""),"")))))</f>
        <v>mcq_radio</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t="str">
        <f>IF(ROW()-1&lt;=0,"",IF(ROW()-1&lt;=$L$2,IFERROR(INDEX(MCQ!$A:$K,ROW()-1+1,5),""),IF(ROW()-1&lt;=$L$2+$M$2,IFERROR(INDEX(CLOZE_AB!$A:$K,ROW()-1-$L$2+1,5),""),IF(ROW()-1&lt;=$L$2+$M$2+$N$2,IFERROR(INDEX(CLOZE_LIST!$A:$K,ROW()-1-$L$2-$M$2+1,5),""),IF(ROW()-1&lt;=$L$2+$M$2+$N$2+$O$2,IFERROR(INDEX(PROFORMA!$A:$K,ROW()-1-$L$2-$M$2-$N$2+1,5),""),"")))))</f>
        <v>mcq_radio</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t="str">
        <f>IF(ROW()-1&lt;=0,"",IF(ROW()-1&lt;=$L$2,IFERROR(INDEX(MCQ!$A:$K,ROW()-1+1,5),""),IF(ROW()-1&lt;=$L$2+$M$2,IFERROR(INDEX(CLOZE_AB!$A:$K,ROW()-1-$L$2+1,5),""),IF(ROW()-1&lt;=$L$2+$M$2+$N$2,IFERROR(INDEX(CLOZE_LIST!$A:$K,ROW()-1-$L$2-$M$2+1,5),""),IF(ROW()-1&lt;=$L$2+$M$2+$N$2+$O$2,IFERROR(INDEX(PROFORMA!$A:$K,ROW()-1-$L$2-$M$2-$N$2+1,5),""),"")))))</f>
        <v>mcq_radio</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t="str">
        <f>IF(ROW()-1&lt;=0,"",IF(ROW()-1&lt;=$L$2,IFERROR(INDEX(MCQ!$A:$K,ROW()-1+1,5),""),IF(ROW()-1&lt;=$L$2+$M$2,IFERROR(INDEX(CLOZE_AB!$A:$K,ROW()-1-$L$2+1,5),""),IF(ROW()-1&lt;=$L$2+$M$2+$N$2,IFERROR(INDEX(CLOZE_LIST!$A:$K,ROW()-1-$L$2-$M$2+1,5),""),IF(ROW()-1&lt;=$L$2+$M$2+$N$2+$O$2,IFERROR(INDEX(PROFORMA!$A:$K,ROW()-1-$L$2-$M$2-$N$2+1,5),""),"")))))</f>
        <v>mcq_radio</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t="str">
        <f>IF(ROW()-1&lt;=0,"",IF(ROW()-1&lt;=$L$2,IFERROR(INDEX(MCQ!$A:$K,ROW()-1+1,5),""),IF(ROW()-1&lt;=$L$2+$M$2,IFERROR(INDEX(CLOZE_AB!$A:$K,ROW()-1-$L$2+1,5),""),IF(ROW()-1&lt;=$L$2+$M$2+$N$2,IFERROR(INDEX(CLOZE_LIST!$A:$K,ROW()-1-$L$2-$M$2+1,5),""),IF(ROW()-1&lt;=$L$2+$M$2+$N$2+$O$2,IFERROR(INDEX(PROFORMA!$A:$K,ROW()-1-$L$2-$M$2-$N$2+1,5),""),"")))))</f>
        <v>mcq_radio</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t="str">
        <f>IF(ROW()-1&lt;=0,"",IF(ROW()-1&lt;=$L$2,IFERROR(INDEX(MCQ!$A:$K,ROW()-1+1,5),""),IF(ROW()-1&lt;=$L$2+$M$2,IFERROR(INDEX(CLOZE_AB!$A:$K,ROW()-1-$L$2+1,5),""),IF(ROW()-1&lt;=$L$2+$M$2+$N$2,IFERROR(INDEX(CLOZE_LIST!$A:$K,ROW()-1-$L$2-$M$2+1,5),""),IF(ROW()-1&lt;=$L$2+$M$2+$N$2+$O$2,IFERROR(INDEX(PROFORMA!$A:$K,ROW()-1-$L$2-$M$2-$N$2+1,5),""),"")))))</f>
        <v>mcq_radio</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t="str">
        <f>IF(ROW()-1&lt;=0,"",IF(ROW()-1&lt;=$L$2,IFERROR(INDEX(MCQ!$A:$K,ROW()-1+1,5),""),IF(ROW()-1&lt;=$L$2+$M$2,IFERROR(INDEX(CLOZE_AB!$A:$K,ROW()-1-$L$2+1,5),""),IF(ROW()-1&lt;=$L$2+$M$2+$N$2,IFERROR(INDEX(CLOZE_LIST!$A:$K,ROW()-1-$L$2-$M$2+1,5),""),IF(ROW()-1&lt;=$L$2+$M$2+$N$2+$O$2,IFERROR(INDEX(PROFORMA!$A:$K,ROW()-1-$L$2-$M$2-$N$2+1,5),""),"")))))</f>
        <v>mcq_radio</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t="str">
        <f>IF(ROW()-1&lt;=0,"",IF(ROW()-1&lt;=$L$2,IFERROR(INDEX(MCQ!$A:$K,ROW()-1+1,5),""),IF(ROW()-1&lt;=$L$2+$M$2,IFERROR(INDEX(CLOZE_AB!$A:$K,ROW()-1-$L$2+1,5),""),IF(ROW()-1&lt;=$L$2+$M$2+$N$2,IFERROR(INDEX(CLOZE_LIST!$A:$K,ROW()-1-$L$2-$M$2+1,5),""),IF(ROW()-1&lt;=$L$2+$M$2+$N$2+$O$2,IFERROR(INDEX(PROFORMA!$A:$K,ROW()-1-$L$2-$M$2-$N$2+1,5),""),"")))))</f>
        <v>mcq_radio</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t="str">
        <f>IF(ROW()-1&lt;=0,"",IF(ROW()-1&lt;=$L$2,IFERROR(INDEX(MCQ!$A:$K,ROW()-1+1,5),""),IF(ROW()-1&lt;=$L$2+$M$2,IFERROR(INDEX(CLOZE_AB!$A:$K,ROW()-1-$L$2+1,5),""),IF(ROW()-1&lt;=$L$2+$M$2+$N$2,IFERROR(INDEX(CLOZE_LIST!$A:$K,ROW()-1-$L$2-$M$2+1,5),""),IF(ROW()-1&lt;=$L$2+$M$2+$N$2+$O$2,IFERROR(INDEX(PROFORMA!$A:$K,ROW()-1-$L$2-$M$2-$N$2+1,5),""),"")))))</f>
        <v>mcq_radio</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t="str">
        <f>IF(ROW()-1&lt;=0,"",IF(ROW()-1&lt;=$L$2,IFERROR(INDEX(MCQ!$A:$K,ROW()-1+1,5),""),IF(ROW()-1&lt;=$L$2+$M$2,IFERROR(INDEX(CLOZE_AB!$A:$K,ROW()-1-$L$2+1,5),""),IF(ROW()-1&lt;=$L$2+$M$2+$N$2,IFERROR(INDEX(CLOZE_LIST!$A:$K,ROW()-1-$L$2-$M$2+1,5),""),IF(ROW()-1&lt;=$L$2+$M$2+$N$2+$O$2,IFERROR(INDEX(PROFORMA!$A:$K,ROW()-1-$L$2-$M$2-$N$2+1,5),""),"")))))</f>
        <v>mcq_radio</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t="str">
        <f>IF(ROW()-1&lt;=0,"",IF(ROW()-1&lt;=$L$2,IFERROR(INDEX(MCQ!$A:$K,ROW()-1+1,5),""),IF(ROW()-1&lt;=$L$2+$M$2,IFERROR(INDEX(CLOZE_AB!$A:$K,ROW()-1-$L$2+1,5),""),IF(ROW()-1&lt;=$L$2+$M$2+$N$2,IFERROR(INDEX(CLOZE_LIST!$A:$K,ROW()-1-$L$2-$M$2+1,5),""),IF(ROW()-1&lt;=$L$2+$M$2+$N$2+$O$2,IFERROR(INDEX(PROFORMA!$A:$K,ROW()-1-$L$2-$M$2-$N$2+1,5),""),"")))))</f>
        <v>mcq_radio</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t="str">
        <f>IF(ROW()-1&lt;=0,"",IF(ROW()-1&lt;=$L$2,IFERROR(INDEX(MCQ!$A:$K,ROW()-1+1,5),""),IF(ROW()-1&lt;=$L$2+$M$2,IFERROR(INDEX(CLOZE_AB!$A:$K,ROW()-1-$L$2+1,5),""),IF(ROW()-1&lt;=$L$2+$M$2+$N$2,IFERROR(INDEX(CLOZE_LIST!$A:$K,ROW()-1-$L$2-$M$2+1,5),""),IF(ROW()-1&lt;=$L$2+$M$2+$N$2+$O$2,IFERROR(INDEX(PROFORMA!$A:$K,ROW()-1-$L$2-$M$2-$N$2+1,5),""),"")))))</f>
        <v>mcq_radio</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t="str">
        <f>IF(ROW()-1&lt;=0,"",IF(ROW()-1&lt;=$L$2,IFERROR(INDEX(MCQ!$A:$K,ROW()-1+1,5),""),IF(ROW()-1&lt;=$L$2+$M$2,IFERROR(INDEX(CLOZE_AB!$A:$K,ROW()-1-$L$2+1,5),""),IF(ROW()-1&lt;=$L$2+$M$2+$N$2,IFERROR(INDEX(CLOZE_LIST!$A:$K,ROW()-1-$L$2-$M$2+1,5),""),IF(ROW()-1&lt;=$L$2+$M$2+$N$2+$O$2,IFERROR(INDEX(PROFORMA!$A:$K,ROW()-1-$L$2-$M$2-$N$2+1,5),""),"")))))</f>
        <v>mcq_radio</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t="str">
        <f>IF(ROW()-1&lt;=0,"",IF(ROW()-1&lt;=$L$2,IFERROR(INDEX(MCQ!$A:$K,ROW()-1+1,5),""),IF(ROW()-1&lt;=$L$2+$M$2,IFERROR(INDEX(CLOZE_AB!$A:$K,ROW()-1-$L$2+1,5),""),IF(ROW()-1&lt;=$L$2+$M$2+$N$2,IFERROR(INDEX(CLOZE_LIST!$A:$K,ROW()-1-$L$2-$M$2+1,5),""),IF(ROW()-1&lt;=$L$2+$M$2+$N$2+$O$2,IFERROR(INDEX(PROFORMA!$A:$K,ROW()-1-$L$2-$M$2-$N$2+1,5),""),"")))))</f>
        <v>mcq_radio</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t="str">
        <f>IF(ROW()-1&lt;=0,"",IF(ROW()-1&lt;=$L$2,IFERROR(INDEX(MCQ!$A:$K,ROW()-1+1,5),""),IF(ROW()-1&lt;=$L$2+$M$2,IFERROR(INDEX(CLOZE_AB!$A:$K,ROW()-1-$L$2+1,5),""),IF(ROW()-1&lt;=$L$2+$M$2+$N$2,IFERROR(INDEX(CLOZE_LIST!$A:$K,ROW()-1-$L$2-$M$2+1,5),""),IF(ROW()-1&lt;=$L$2+$M$2+$N$2+$O$2,IFERROR(INDEX(PROFORMA!$A:$K,ROW()-1-$L$2-$M$2-$N$2+1,5),""),"")))))</f>
        <v>mcq_radio</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t="str">
        <f>IF(ROW()-1&lt;=0,"",IF(ROW()-1&lt;=$L$2,IFERROR(INDEX(MCQ!$A:$K,ROW()-1+1,5),""),IF(ROW()-1&lt;=$L$2+$M$2,IFERROR(INDEX(CLOZE_AB!$A:$K,ROW()-1-$L$2+1,5),""),IF(ROW()-1&lt;=$L$2+$M$2+$N$2,IFERROR(INDEX(CLOZE_LIST!$A:$K,ROW()-1-$L$2-$M$2+1,5),""),IF(ROW()-1&lt;=$L$2+$M$2+$N$2+$O$2,IFERROR(INDEX(PROFORMA!$A:$K,ROW()-1-$L$2-$M$2-$N$2+1,5),""),"")))))</f>
        <v>mcq_radio</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t="str">
        <f>IF(ROW()-1&lt;=0,"",IF(ROW()-1&lt;=$L$2,IFERROR(INDEX(MCQ!$A:$K,ROW()-1+1,5),""),IF(ROW()-1&lt;=$L$2+$M$2,IFERROR(INDEX(CLOZE_AB!$A:$K,ROW()-1-$L$2+1,5),""),IF(ROW()-1&lt;=$L$2+$M$2+$N$2,IFERROR(INDEX(CLOZE_LIST!$A:$K,ROW()-1-$L$2-$M$2+1,5),""),IF(ROW()-1&lt;=$L$2+$M$2+$N$2+$O$2,IFERROR(INDEX(PROFORMA!$A:$K,ROW()-1-$L$2-$M$2-$N$2+1,5),""),"")))))</f>
        <v>mcq_radio</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t="str">
        <f>IF(ROW()-1&lt;=0,"",IF(ROW()-1&lt;=$L$2,IFERROR(INDEX(MCQ!$A:$K,ROW()-1+1,5),""),IF(ROW()-1&lt;=$L$2+$M$2,IFERROR(INDEX(CLOZE_AB!$A:$K,ROW()-1-$L$2+1,5),""),IF(ROW()-1&lt;=$L$2+$M$2+$N$2,IFERROR(INDEX(CLOZE_LIST!$A:$K,ROW()-1-$L$2-$M$2+1,5),""),IF(ROW()-1&lt;=$L$2+$M$2+$N$2+$O$2,IFERROR(INDEX(PROFORMA!$A:$K,ROW()-1-$L$2-$M$2-$N$2+1,5),""),"")))))</f>
        <v>mcq_radio</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t="str">
        <f>IF(ROW()-1&lt;=0,"",IF(ROW()-1&lt;=$L$2,IFERROR(INDEX(MCQ!$A:$K,ROW()-1+1,5),""),IF(ROW()-1&lt;=$L$2+$M$2,IFERROR(INDEX(CLOZE_AB!$A:$K,ROW()-1-$L$2+1,5),""),IF(ROW()-1&lt;=$L$2+$M$2+$N$2,IFERROR(INDEX(CLOZE_LIST!$A:$K,ROW()-1-$L$2-$M$2+1,5),""),IF(ROW()-1&lt;=$L$2+$M$2+$N$2+$O$2,IFERROR(INDEX(PROFORMA!$A:$K,ROW()-1-$L$2-$M$2-$N$2+1,5),""),"")))))</f>
        <v>mcq_radio</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t="str">
        <f>IF(ROW()-1&lt;=0,"",IF(ROW()-1&lt;=$L$2,IFERROR(INDEX(MCQ!$A:$K,ROW()-1+1,5),""),IF(ROW()-1&lt;=$L$2+$M$2,IFERROR(INDEX(CLOZE_AB!$A:$K,ROW()-1-$L$2+1,5),""),IF(ROW()-1&lt;=$L$2+$M$2+$N$2,IFERROR(INDEX(CLOZE_LIST!$A:$K,ROW()-1-$L$2-$M$2+1,5),""),IF(ROW()-1&lt;=$L$2+$M$2+$N$2+$O$2,IFERROR(INDEX(PROFORMA!$A:$K,ROW()-1-$L$2-$M$2-$N$2+1,5),""),"")))))</f>
        <v>mcq_radio</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t="str">
        <f>IF(ROW()-1&lt;=0,"",IF(ROW()-1&lt;=$L$2,IFERROR(INDEX(MCQ!$A:$K,ROW()-1+1,5),""),IF(ROW()-1&lt;=$L$2+$M$2,IFERROR(INDEX(CLOZE_AB!$A:$K,ROW()-1-$L$2+1,5),""),IF(ROW()-1&lt;=$L$2+$M$2+$N$2,IFERROR(INDEX(CLOZE_LIST!$A:$K,ROW()-1-$L$2-$M$2+1,5),""),IF(ROW()-1&lt;=$L$2+$M$2+$N$2+$O$2,IFERROR(INDEX(PROFORMA!$A:$K,ROW()-1-$L$2-$M$2-$N$2+1,5),""),"")))))</f>
        <v>mcq_radio</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t="str">
        <f>IF(ROW()-1&lt;=0,"",IF(ROW()-1&lt;=$L$2,IFERROR(INDEX(MCQ!$A:$K,ROW()-1+1,5),""),IF(ROW()-1&lt;=$L$2+$M$2,IFERROR(INDEX(CLOZE_AB!$A:$K,ROW()-1-$L$2+1,5),""),IF(ROW()-1&lt;=$L$2+$M$2+$N$2,IFERROR(INDEX(CLOZE_LIST!$A:$K,ROW()-1-$L$2-$M$2+1,5),""),IF(ROW()-1&lt;=$L$2+$M$2+$N$2+$O$2,IFERROR(INDEX(PROFORMA!$A:$K,ROW()-1-$L$2-$M$2-$N$2+1,5),""),"")))))</f>
        <v>mcq_radio</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t="str">
        <f>IF(ROW()-1&lt;=0,"",IF(ROW()-1&lt;=$L$2,IFERROR(INDEX(MCQ!$A:$K,ROW()-1+1,5),""),IF(ROW()-1&lt;=$L$2+$M$2,IFERROR(INDEX(CLOZE_AB!$A:$K,ROW()-1-$L$2+1,5),""),IF(ROW()-1&lt;=$L$2+$M$2+$N$2,IFERROR(INDEX(CLOZE_LIST!$A:$K,ROW()-1-$L$2-$M$2+1,5),""),IF(ROW()-1&lt;=$L$2+$M$2+$N$2+$O$2,IFERROR(INDEX(PROFORMA!$A:$K,ROW()-1-$L$2-$M$2-$N$2+1,5),""),"")))))</f>
        <v>mcq_radio</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t="str">
        <f>IF(ROW()-1&lt;=0,"",IF(ROW()-1&lt;=$L$2,IFERROR(INDEX(MCQ!$A:$K,ROW()-1+1,5),""),IF(ROW()-1&lt;=$L$2+$M$2,IFERROR(INDEX(CLOZE_AB!$A:$K,ROW()-1-$L$2+1,5),""),IF(ROW()-1&lt;=$L$2+$M$2+$N$2,IFERROR(INDEX(CLOZE_LIST!$A:$K,ROW()-1-$L$2-$M$2+1,5),""),IF(ROW()-1&lt;=$L$2+$M$2+$N$2+$O$2,IFERROR(INDEX(PROFORMA!$A:$K,ROW()-1-$L$2-$M$2-$N$2+1,5),""),"")))))</f>
        <v>mcq_radio</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t="str">
        <f>IF(ROW()-1&lt;=0,"",IF(ROW()-1&lt;=$L$2,IFERROR(INDEX(MCQ!$A:$K,ROW()-1+1,5),""),IF(ROW()-1&lt;=$L$2+$M$2,IFERROR(INDEX(CLOZE_AB!$A:$K,ROW()-1-$L$2+1,5),""),IF(ROW()-1&lt;=$L$2+$M$2+$N$2,IFERROR(INDEX(CLOZE_LIST!$A:$K,ROW()-1-$L$2-$M$2+1,5),""),IF(ROW()-1&lt;=$L$2+$M$2+$N$2+$O$2,IFERROR(INDEX(PROFORMA!$A:$K,ROW()-1-$L$2-$M$2-$N$2+1,5),""),"")))))</f>
        <v>mcq_radio</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t="str">
        <f>IF(ROW()-1&lt;=0,"",IF(ROW()-1&lt;=$L$2,IFERROR(INDEX(MCQ!$A:$K,ROW()-1+1,5),""),IF(ROW()-1&lt;=$L$2+$M$2,IFERROR(INDEX(CLOZE_AB!$A:$K,ROW()-1-$L$2+1,5),""),IF(ROW()-1&lt;=$L$2+$M$2+$N$2,IFERROR(INDEX(CLOZE_LIST!$A:$K,ROW()-1-$L$2-$M$2+1,5),""),IF(ROW()-1&lt;=$L$2+$M$2+$N$2+$O$2,IFERROR(INDEX(PROFORMA!$A:$K,ROW()-1-$L$2-$M$2-$N$2+1,5),""),"")))))</f>
        <v>mcq_radio</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t="str">
        <f>IF(ROW()-1&lt;=0,"",IF(ROW()-1&lt;=$L$2,IFERROR(INDEX(MCQ!$A:$K,ROW()-1+1,5),""),IF(ROW()-1&lt;=$L$2+$M$2,IFERROR(INDEX(CLOZE_AB!$A:$K,ROW()-1-$L$2+1,5),""),IF(ROW()-1&lt;=$L$2+$M$2+$N$2,IFERROR(INDEX(CLOZE_LIST!$A:$K,ROW()-1-$L$2-$M$2+1,5),""),IF(ROW()-1&lt;=$L$2+$M$2+$N$2+$O$2,IFERROR(INDEX(PROFORMA!$A:$K,ROW()-1-$L$2-$M$2-$N$2+1,5),""),"")))))</f>
        <v>mcq_radio</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t="str">
        <f>IF(ROW()-1&lt;=0,"",IF(ROW()-1&lt;=$L$2,IFERROR(INDEX(MCQ!$A:$K,ROW()-1+1,5),""),IF(ROW()-1&lt;=$L$2+$M$2,IFERROR(INDEX(CLOZE_AB!$A:$K,ROW()-1-$L$2+1,5),""),IF(ROW()-1&lt;=$L$2+$M$2+$N$2,IFERROR(INDEX(CLOZE_LIST!$A:$K,ROW()-1-$L$2-$M$2+1,5),""),IF(ROW()-1&lt;=$L$2+$M$2+$N$2+$O$2,IFERROR(INDEX(PROFORMA!$A:$K,ROW()-1-$L$2-$M$2-$N$2+1,5),""),"")))))</f>
        <v>mcq_radio</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t="str">
        <f>IF(ROW()-1&lt;=0,"",IF(ROW()-1&lt;=$L$2,IFERROR(INDEX(MCQ!$A:$K,ROW()-1+1,5),""),IF(ROW()-1&lt;=$L$2+$M$2,IFERROR(INDEX(CLOZE_AB!$A:$K,ROW()-1-$L$2+1,5),""),IF(ROW()-1&lt;=$L$2+$M$2+$N$2,IFERROR(INDEX(CLOZE_LIST!$A:$K,ROW()-1-$L$2-$M$2+1,5),""),IF(ROW()-1&lt;=$L$2+$M$2+$N$2+$O$2,IFERROR(INDEX(PROFORMA!$A:$K,ROW()-1-$L$2-$M$2-$N$2+1,5),""),"")))))</f>
        <v>mcq_radio</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t="str">
        <f>IF(ROW()-1&lt;=0,"",IF(ROW()-1&lt;=$L$2,IFERROR(INDEX(MCQ!$A:$K,ROW()-1+1,5),""),IF(ROW()-1&lt;=$L$2+$M$2,IFERROR(INDEX(CLOZE_AB!$A:$K,ROW()-1-$L$2+1,5),""),IF(ROW()-1&lt;=$L$2+$M$2+$N$2,IFERROR(INDEX(CLOZE_LIST!$A:$K,ROW()-1-$L$2-$M$2+1,5),""),IF(ROW()-1&lt;=$L$2+$M$2+$N$2+$O$2,IFERROR(INDEX(PROFORMA!$A:$K,ROW()-1-$L$2-$M$2-$N$2+1,5),""),"")))))</f>
        <v>mcq_radio</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t="str">
        <f>IF(ROW()-1&lt;=0,"",IF(ROW()-1&lt;=$L$2,IFERROR(INDEX(MCQ!$A:$K,ROW()-1+1,5),""),IF(ROW()-1&lt;=$L$2+$M$2,IFERROR(INDEX(CLOZE_AB!$A:$K,ROW()-1-$L$2+1,5),""),IF(ROW()-1&lt;=$L$2+$M$2+$N$2,IFERROR(INDEX(CLOZE_LIST!$A:$K,ROW()-1-$L$2-$M$2+1,5),""),IF(ROW()-1&lt;=$L$2+$M$2+$N$2+$O$2,IFERROR(INDEX(PROFORMA!$A:$K,ROW()-1-$L$2-$M$2-$N$2+1,5),""),"")))))</f>
        <v>mcq_radio</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t="str">
        <f>IF(ROW()-1&lt;=0,"",IF(ROW()-1&lt;=$L$2,IFERROR(INDEX(MCQ!$A:$K,ROW()-1+1,5),""),IF(ROW()-1&lt;=$L$2+$M$2,IFERROR(INDEX(CLOZE_AB!$A:$K,ROW()-1-$L$2+1,5),""),IF(ROW()-1&lt;=$L$2+$M$2+$N$2,IFERROR(INDEX(CLOZE_LIST!$A:$K,ROW()-1-$L$2-$M$2+1,5),""),IF(ROW()-1&lt;=$L$2+$M$2+$N$2+$O$2,IFERROR(INDEX(PROFORMA!$A:$K,ROW()-1-$L$2-$M$2-$N$2+1,5),""),"")))))</f>
        <v>mcq_radio</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t="str">
        <f>IF(ROW()-1&lt;=0,"",IF(ROW()-1&lt;=$L$2,IFERROR(INDEX(MCQ!$A:$K,ROW()-1+1,5),""),IF(ROW()-1&lt;=$L$2+$M$2,IFERROR(INDEX(CLOZE_AB!$A:$K,ROW()-1-$L$2+1,5),""),IF(ROW()-1&lt;=$L$2+$M$2+$N$2,IFERROR(INDEX(CLOZE_LIST!$A:$K,ROW()-1-$L$2-$M$2+1,5),""),IF(ROW()-1&lt;=$L$2+$M$2+$N$2+$O$2,IFERROR(INDEX(PROFORMA!$A:$K,ROW()-1-$L$2-$M$2-$N$2+1,5),""),"")))))</f>
        <v>mcq_radio</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t="str">
        <f>IF(ROW()-1&lt;=0,"",IF(ROW()-1&lt;=$L$2,IFERROR(INDEX(MCQ!$A:$K,ROW()-1+1,5),""),IF(ROW()-1&lt;=$L$2+$M$2,IFERROR(INDEX(CLOZE_AB!$A:$K,ROW()-1-$L$2+1,5),""),IF(ROW()-1&lt;=$L$2+$M$2+$N$2,IFERROR(INDEX(CLOZE_LIST!$A:$K,ROW()-1-$L$2-$M$2+1,5),""),IF(ROW()-1&lt;=$L$2+$M$2+$N$2+$O$2,IFERROR(INDEX(PROFORMA!$A:$K,ROW()-1-$L$2-$M$2-$N$2+1,5),""),"")))))</f>
        <v>mcq_radio</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t="str">
        <f>IF(ROW()-1&lt;=0,"",IF(ROW()-1&lt;=$L$2,IFERROR(INDEX(MCQ!$A:$K,ROW()-1+1,5),""),IF(ROW()-1&lt;=$L$2+$M$2,IFERROR(INDEX(CLOZE_AB!$A:$K,ROW()-1-$L$2+1,5),""),IF(ROW()-1&lt;=$L$2+$M$2+$N$2,IFERROR(INDEX(CLOZE_LIST!$A:$K,ROW()-1-$L$2-$M$2+1,5),""),IF(ROW()-1&lt;=$L$2+$M$2+$N$2+$O$2,IFERROR(INDEX(PROFORMA!$A:$K,ROW()-1-$L$2-$M$2-$N$2+1,5),""),"")))))</f>
        <v>mcq_radio</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t="str">
        <f>IF(ROW()-1&lt;=0,"",IF(ROW()-1&lt;=$L$2,IFERROR(INDEX(MCQ!$A:$K,ROW()-1+1,5),""),IF(ROW()-1&lt;=$L$2+$M$2,IFERROR(INDEX(CLOZE_AB!$A:$K,ROW()-1-$L$2+1,5),""),IF(ROW()-1&lt;=$L$2+$M$2+$N$2,IFERROR(INDEX(CLOZE_LIST!$A:$K,ROW()-1-$L$2-$M$2+1,5),""),IF(ROW()-1&lt;=$L$2+$M$2+$N$2+$O$2,IFERROR(INDEX(PROFORMA!$A:$K,ROW()-1-$L$2-$M$2-$N$2+1,5),""),"")))))</f>
        <v>mcq_radio</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t="str">
        <f>IF(ROW()-1&lt;=0,"",IF(ROW()-1&lt;=$L$2,IFERROR(INDEX(MCQ!$A:$K,ROW()-1+1,5),""),IF(ROW()-1&lt;=$L$2+$M$2,IFERROR(INDEX(CLOZE_AB!$A:$K,ROW()-1-$L$2+1,5),""),IF(ROW()-1&lt;=$L$2+$M$2+$N$2,IFERROR(INDEX(CLOZE_LIST!$A:$K,ROW()-1-$L$2-$M$2+1,5),""),IF(ROW()-1&lt;=$L$2+$M$2+$N$2+$O$2,IFERROR(INDEX(PROFORMA!$A:$K,ROW()-1-$L$2-$M$2-$N$2+1,5),""),"")))))</f>
        <v>mcq_radio</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t="str">
        <f>IF(ROW()-1&lt;=0,"",IF(ROW()-1&lt;=$L$2,IFERROR(INDEX(MCQ!$A:$K,ROW()-1+1,5),""),IF(ROW()-1&lt;=$L$2+$M$2,IFERROR(INDEX(CLOZE_AB!$A:$K,ROW()-1-$L$2+1,5),""),IF(ROW()-1&lt;=$L$2+$M$2+$N$2,IFERROR(INDEX(CLOZE_LIST!$A:$K,ROW()-1-$L$2-$M$2+1,5),""),IF(ROW()-1&lt;=$L$2+$M$2+$N$2+$O$2,IFERROR(INDEX(PROFORMA!$A:$K,ROW()-1-$L$2-$M$2-$N$2+1,5),""),"")))))</f>
        <v>mcq_radio</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t="str">
        <f>IF(ROW()-1&lt;=0,"",IF(ROW()-1&lt;=$L$2,IFERROR(INDEX(MCQ!$A:$K,ROW()-1+1,5),""),IF(ROW()-1&lt;=$L$2+$M$2,IFERROR(INDEX(CLOZE_AB!$A:$K,ROW()-1-$L$2+1,5),""),IF(ROW()-1&lt;=$L$2+$M$2+$N$2,IFERROR(INDEX(CLOZE_LIST!$A:$K,ROW()-1-$L$2-$M$2+1,5),""),IF(ROW()-1&lt;=$L$2+$M$2+$N$2+$O$2,IFERROR(INDEX(PROFORMA!$A:$K,ROW()-1-$L$2-$M$2-$N$2+1,5),""),"")))))</f>
        <v>mcq_radio</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t="str">
        <f>IF(ROW()-1&lt;=0,"",IF(ROW()-1&lt;=$L$2,IFERROR(INDEX(MCQ!$A:$K,ROW()-1+1,5),""),IF(ROW()-1&lt;=$L$2+$M$2,IFERROR(INDEX(CLOZE_AB!$A:$K,ROW()-1-$L$2+1,5),""),IF(ROW()-1&lt;=$L$2+$M$2+$N$2,IFERROR(INDEX(CLOZE_LIST!$A:$K,ROW()-1-$L$2-$M$2+1,5),""),IF(ROW()-1&lt;=$L$2+$M$2+$N$2+$O$2,IFERROR(INDEX(PROFORMA!$A:$K,ROW()-1-$L$2-$M$2-$N$2+1,5),""),"")))))</f>
        <v>mcq_radio</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t="str">
        <f>IF(ROW()-1&lt;=0,"",IF(ROW()-1&lt;=$L$2,IFERROR(INDEX(MCQ!$A:$K,ROW()-1+1,5),""),IF(ROW()-1&lt;=$L$2+$M$2,IFERROR(INDEX(CLOZE_AB!$A:$K,ROW()-1-$L$2+1,5),""),IF(ROW()-1&lt;=$L$2+$M$2+$N$2,IFERROR(INDEX(CLOZE_LIST!$A:$K,ROW()-1-$L$2-$M$2+1,5),""),IF(ROW()-1&lt;=$L$2+$M$2+$N$2+$O$2,IFERROR(INDEX(PROFORMA!$A:$K,ROW()-1-$L$2-$M$2-$N$2+1,5),""),"")))))</f>
        <v>mcq_radio</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t="str">
        <f>IF(ROW()-1&lt;=0,"",IF(ROW()-1&lt;=$L$2,IFERROR(INDEX(MCQ!$A:$K,ROW()-1+1,5),""),IF(ROW()-1&lt;=$L$2+$M$2,IFERROR(INDEX(CLOZE_AB!$A:$K,ROW()-1-$L$2+1,5),""),IF(ROW()-1&lt;=$L$2+$M$2+$N$2,IFERROR(INDEX(CLOZE_LIST!$A:$K,ROW()-1-$L$2-$M$2+1,5),""),IF(ROW()-1&lt;=$L$2+$M$2+$N$2+$O$2,IFERROR(INDEX(PROFORMA!$A:$K,ROW()-1-$L$2-$M$2-$N$2+1,5),""),"")))))</f>
        <v>mcq_radio</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t="str">
        <f>IF(ROW()-1&lt;=0,"",IF(ROW()-1&lt;=$L$2,IFERROR(INDEX(MCQ!$A:$K,ROW()-1+1,5),""),IF(ROW()-1&lt;=$L$2+$M$2,IFERROR(INDEX(CLOZE_AB!$A:$K,ROW()-1-$L$2+1,5),""),IF(ROW()-1&lt;=$L$2+$M$2+$N$2,IFERROR(INDEX(CLOZE_LIST!$A:$K,ROW()-1-$L$2-$M$2+1,5),""),IF(ROW()-1&lt;=$L$2+$M$2+$N$2+$O$2,IFERROR(INDEX(PROFORMA!$A:$K,ROW()-1-$L$2-$M$2-$N$2+1,5),""),"")))))</f>
        <v>mcq_radio</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t="str">
        <f>IF(ROW()-1&lt;=0,"",IF(ROW()-1&lt;=$L$2,IFERROR(INDEX(MCQ!$A:$K,ROW()-1+1,5),""),IF(ROW()-1&lt;=$L$2+$M$2,IFERROR(INDEX(CLOZE_AB!$A:$K,ROW()-1-$L$2+1,5),""),IF(ROW()-1&lt;=$L$2+$M$2+$N$2,IFERROR(INDEX(CLOZE_LIST!$A:$K,ROW()-1-$L$2-$M$2+1,5),""),IF(ROW()-1&lt;=$L$2+$M$2+$N$2+$O$2,IFERROR(INDEX(PROFORMA!$A:$K,ROW()-1-$L$2-$M$2-$N$2+1,5),""),"")))))</f>
        <v>mcq_radio</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t="str">
        <f>IF(ROW()-1&lt;=0,"",IF(ROW()-1&lt;=$L$2,IFERROR(INDEX(MCQ!$A:$K,ROW()-1+1,5),""),IF(ROW()-1&lt;=$L$2+$M$2,IFERROR(INDEX(CLOZE_AB!$A:$K,ROW()-1-$L$2+1,5),""),IF(ROW()-1&lt;=$L$2+$M$2+$N$2,IFERROR(INDEX(CLOZE_LIST!$A:$K,ROW()-1-$L$2-$M$2+1,5),""),IF(ROW()-1&lt;=$L$2+$M$2+$N$2+$O$2,IFERROR(INDEX(PROFORMA!$A:$K,ROW()-1-$L$2-$M$2-$N$2+1,5),""),"")))))</f>
        <v>mcq_radio</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x14ac:dyDescent="0.3">
      <c r="A145" s="3" t="str">
        <f>IF(ROW()-1&lt;=0,"",IF(ROW()-1&lt;=$L$2,IFERROR(INDEX(MCQ!$A:$K,ROW()-1+1,1),""),IF(ROW()-1&lt;=$L$2+$M$2,IFERROR(INDEX(CLOZE_AB!$A:$K,ROW()-1-$L$2+1,1),""),IF(ROW()-1&lt;=$L$2+$M$2+$N$2,IFERROR(INDEX(CLOZE_LIST!$A:$K,ROW()-1-$L$2-$M$2+1,1),""),IF(ROW()-1&lt;=$L$2+$M$2+$N$2+$O$2,IFERROR(INDEX(PROFORMA!$A:$K,ROW()-1-$L$2-$M$2-$N$2+1,1),""),"")))))</f>
        <v/>
      </c>
      <c r="B145" s="3">
        <f>IF(ROW()-1&lt;=0,"",IF(ROW()-1&lt;=$L$2,IFERROR(INDEX(MCQ!$A:$K,ROW()-1+1,2),""),IF(ROW()-1&lt;=$L$2+$M$2,IFERROR(INDEX(CLOZE_AB!$A:$K,ROW()-1-$L$2+1,2),""),IF(ROW()-1&lt;=$L$2+$M$2+$N$2,IFERROR(INDEX(CLOZE_LIST!$A:$K,ROW()-1-$L$2-$M$2+1,2),""),IF(ROW()-1&lt;=$L$2+$M$2+$N$2+$O$2,IFERROR(INDEX(PROFORMA!$A:$K,ROW()-1-$L$2-$M$2-$N$2+1,2),""),"")))))</f>
        <v>0</v>
      </c>
      <c r="C145" s="3">
        <f>IF(ROW()-1&lt;=0,"",IF(ROW()-1&lt;=$L$2,IFERROR(INDEX(MCQ!$A:$K,ROW()-1+1,3),""),IF(ROW()-1&lt;=$L$2+$M$2,IFERROR(INDEX(CLOZE_AB!$A:$K,ROW()-1-$L$2+1,3),""),IF(ROW()-1&lt;=$L$2+$M$2+$N$2,IFERROR(INDEX(CLOZE_LIST!$A:$K,ROW()-1-$L$2-$M$2+1,3),""),IF(ROW()-1&lt;=$L$2+$M$2+$N$2+$O$2,IFERROR(INDEX(PROFORMA!$A:$K,ROW()-1-$L$2-$M$2-$N$2+1,3),""),"")))))</f>
        <v>0</v>
      </c>
      <c r="D145" s="3">
        <f>IF(ROW()-1&lt;=0,"",IF(ROW()-1&lt;=$L$2,IFERROR(INDEX(MCQ!$A:$K,ROW()-1+1,4),""),IF(ROW()-1&lt;=$L$2+$M$2,IFERROR(INDEX(CLOZE_AB!$A:$K,ROW()-1-$L$2+1,4),""),IF(ROW()-1&lt;=$L$2+$M$2+$N$2,IFERROR(INDEX(CLOZE_LIST!$A:$K,ROW()-1-$L$2-$M$2+1,4),""),IF(ROW()-1&lt;=$L$2+$M$2+$N$2+$O$2,IFERROR(INDEX(PROFORMA!$A:$K,ROW()-1-$L$2-$M$2-$N$2+1,4),""),"")))))</f>
        <v>0</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0</v>
      </c>
      <c r="G145" s="3">
        <f>IF(ROW()-1&lt;=0,"",IF(ROW()-1&lt;=$L$2,IFERROR(INDEX(MCQ!$A:$K,ROW()-1+1,7),""),IF(ROW()-1&lt;=$L$2+$M$2,IFERROR(INDEX(CLOZE_AB!$A:$K,ROW()-1-$L$2+1,7),""),IF(ROW()-1&lt;=$L$2+$M$2+$N$2,IFERROR(INDEX(CLOZE_LIST!$A:$K,ROW()-1-$L$2-$M$2+1,7),""),IF(ROW()-1&lt;=$L$2+$M$2+$N$2+$O$2,IFERROR(INDEX(PROFORMA!$A:$K,ROW()-1-$L$2-$M$2-$N$2+1,7),""),"")))))</f>
        <v>0</v>
      </c>
      <c r="H145" s="3">
        <f>IF(ROW()-1&lt;=0,"",IF(ROW()-1&lt;=$L$2,IFERROR(INDEX(MCQ!$A:$K,ROW()-1+1,8),""),IF(ROW()-1&lt;=$L$2+$M$2,IFERROR(INDEX(CLOZE_AB!$A:$K,ROW()-1-$L$2+1,8),""),IF(ROW()-1&lt;=$L$2+$M$2+$N$2,IFERROR(INDEX(CLOZE_LIST!$A:$K,ROW()-1-$L$2-$M$2+1,8),""),IF(ROW()-1&lt;=$L$2+$M$2+$N$2+$O$2,IFERROR(INDEX(PROFORMA!$A:$K,ROW()-1-$L$2-$M$2-$N$2+1,8),""),"")))))</f>
        <v>0</v>
      </c>
      <c r="I145" s="3">
        <f>IF(ROW()-1&lt;=0,"",IF(ROW()-1&lt;=$L$2,IFERROR(INDEX(MCQ!$A:$K,ROW()-1+1,9),""),IF(ROW()-1&lt;=$L$2+$M$2,IFERROR(INDEX(CLOZE_AB!$A:$K,ROW()-1-$L$2+1,9),""),IF(ROW()-1&lt;=$L$2+$M$2+$N$2,IFERROR(INDEX(CLOZE_LIST!$A:$K,ROW()-1-$L$2-$M$2+1,9),""),IF(ROW()-1&lt;=$L$2+$M$2+$N$2+$O$2,IFERROR(INDEX(PROFORMA!$A:$K,ROW()-1-$L$2-$M$2-$N$2+1,9),""),"")))))</f>
        <v>0</v>
      </c>
      <c r="J145" s="3">
        <f>IF(ROW()-1&lt;=0,"",IF(ROW()-1&lt;=$L$2,IFERROR(INDEX(MCQ!$A:$K,ROW()-1+1,10),""),IF(ROW()-1&lt;=$L$2+$M$2,IFERROR(INDEX(CLOZE_AB!$A:$K,ROW()-1-$L$2+1,10),""),IF(ROW()-1&lt;=$L$2+$M$2+$N$2,IFERROR(INDEX(CLOZE_LIST!$A:$K,ROW()-1-$L$2-$M$2+1,10),""),IF(ROW()-1&lt;=$L$2+$M$2+$N$2+$O$2,IFERROR(INDEX(PROFORMA!$A:$K,ROW()-1-$L$2-$M$2-$N$2+1,10),""),"")))))</f>
        <v>0</v>
      </c>
      <c r="K145" s="3">
        <f>IF(ROW()-1&lt;=0,"",IF(ROW()-1&lt;=$L$2,IFERROR(INDEX(MCQ!$A:$K,ROW()-1+1,11),""),IF(ROW()-1&lt;=$L$2+$M$2,IFERROR(INDEX(CLOZE_AB!$A:$K,ROW()-1-$L$2+1,11),""),IF(ROW()-1&lt;=$L$2+$M$2+$N$2,IFERROR(INDEX(CLOZE_LIST!$A:$K,ROW()-1-$L$2-$M$2+1,11),""),IF(ROW()-1&lt;=$L$2+$M$2+$N$2+$O$2,IFERROR(INDEX(PROFORMA!$A:$K,ROW()-1-$L$2-$M$2-$N$2+1,11),""),"")))))</f>
        <v>0</v>
      </c>
      <c r="L145" s="3">
        <f>COUNTA(MCQ!$A:$A)-1</f>
        <v>143</v>
      </c>
      <c r="M145" s="3">
        <f>COUNTA(CLOZE_AB!$A:$A)-1</f>
        <v>168</v>
      </c>
      <c r="N145" s="3">
        <f>COUNTA(CLOZE_LIST!$A:$A)-1</f>
        <v>199</v>
      </c>
      <c r="O145" s="3">
        <f>COUNTA(PROFORMA!$A:$A)-1</f>
        <v>199</v>
      </c>
    </row>
    <row r="146" spans="1:15" x14ac:dyDescent="0.3">
      <c r="A146" s="3" t="str">
        <f>IF(ROW()-1&lt;=0,"",IF(ROW()-1&lt;=$L$2,IFERROR(INDEX(MCQ!$A:$K,ROW()-1+1,1),""),IF(ROW()-1&lt;=$L$2+$M$2,IFERROR(INDEX(CLOZE_AB!$A:$K,ROW()-1-$L$2+1,1),""),IF(ROW()-1&lt;=$L$2+$M$2+$N$2,IFERROR(INDEX(CLOZE_LIST!$A:$K,ROW()-1-$L$2-$M$2+1,1),""),IF(ROW()-1&lt;=$L$2+$M$2+$N$2+$O$2,IFERROR(INDEX(PROFORMA!$A:$K,ROW()-1-$L$2-$M$2-$N$2+1,1),""),"")))))</f>
        <v/>
      </c>
      <c r="B146" s="3">
        <f>IF(ROW()-1&lt;=0,"",IF(ROW()-1&lt;=$L$2,IFERROR(INDEX(MCQ!$A:$K,ROW()-1+1,2),""),IF(ROW()-1&lt;=$L$2+$M$2,IFERROR(INDEX(CLOZE_AB!$A:$K,ROW()-1-$L$2+1,2),""),IF(ROW()-1&lt;=$L$2+$M$2+$N$2,IFERROR(INDEX(CLOZE_LIST!$A:$K,ROW()-1-$L$2-$M$2+1,2),""),IF(ROW()-1&lt;=$L$2+$M$2+$N$2+$O$2,IFERROR(INDEX(PROFORMA!$A:$K,ROW()-1-$L$2-$M$2-$N$2+1,2),""),"")))))</f>
        <v>0</v>
      </c>
      <c r="C146" s="3">
        <f>IF(ROW()-1&lt;=0,"",IF(ROW()-1&lt;=$L$2,IFERROR(INDEX(MCQ!$A:$K,ROW()-1+1,3),""),IF(ROW()-1&lt;=$L$2+$M$2,IFERROR(INDEX(CLOZE_AB!$A:$K,ROW()-1-$L$2+1,3),""),IF(ROW()-1&lt;=$L$2+$M$2+$N$2,IFERROR(INDEX(CLOZE_LIST!$A:$K,ROW()-1-$L$2-$M$2+1,3),""),IF(ROW()-1&lt;=$L$2+$M$2+$N$2+$O$2,IFERROR(INDEX(PROFORMA!$A:$K,ROW()-1-$L$2-$M$2-$N$2+1,3),""),"")))))</f>
        <v>0</v>
      </c>
      <c r="D146" s="3">
        <f>IF(ROW()-1&lt;=0,"",IF(ROW()-1&lt;=$L$2,IFERROR(INDEX(MCQ!$A:$K,ROW()-1+1,4),""),IF(ROW()-1&lt;=$L$2+$M$2,IFERROR(INDEX(CLOZE_AB!$A:$K,ROW()-1-$L$2+1,4),""),IF(ROW()-1&lt;=$L$2+$M$2+$N$2,IFERROR(INDEX(CLOZE_LIST!$A:$K,ROW()-1-$L$2-$M$2+1,4),""),IF(ROW()-1&lt;=$L$2+$M$2+$N$2+$O$2,IFERROR(INDEX(PROFORMA!$A:$K,ROW()-1-$L$2-$M$2-$N$2+1,4),""),"")))))</f>
        <v>0</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0</v>
      </c>
      <c r="G146" s="3">
        <f>IF(ROW()-1&lt;=0,"",IF(ROW()-1&lt;=$L$2,IFERROR(INDEX(MCQ!$A:$K,ROW()-1+1,7),""),IF(ROW()-1&lt;=$L$2+$M$2,IFERROR(INDEX(CLOZE_AB!$A:$K,ROW()-1-$L$2+1,7),""),IF(ROW()-1&lt;=$L$2+$M$2+$N$2,IFERROR(INDEX(CLOZE_LIST!$A:$K,ROW()-1-$L$2-$M$2+1,7),""),IF(ROW()-1&lt;=$L$2+$M$2+$N$2+$O$2,IFERROR(INDEX(PROFORMA!$A:$K,ROW()-1-$L$2-$M$2-$N$2+1,7),""),"")))))</f>
        <v>0</v>
      </c>
      <c r="H146" s="3">
        <f>IF(ROW()-1&lt;=0,"",IF(ROW()-1&lt;=$L$2,IFERROR(INDEX(MCQ!$A:$K,ROW()-1+1,8),""),IF(ROW()-1&lt;=$L$2+$M$2,IFERROR(INDEX(CLOZE_AB!$A:$K,ROW()-1-$L$2+1,8),""),IF(ROW()-1&lt;=$L$2+$M$2+$N$2,IFERROR(INDEX(CLOZE_LIST!$A:$K,ROW()-1-$L$2-$M$2+1,8),""),IF(ROW()-1&lt;=$L$2+$M$2+$N$2+$O$2,IFERROR(INDEX(PROFORMA!$A:$K,ROW()-1-$L$2-$M$2-$N$2+1,8),""),"")))))</f>
        <v>0</v>
      </c>
      <c r="I146" s="3">
        <f>IF(ROW()-1&lt;=0,"",IF(ROW()-1&lt;=$L$2,IFERROR(INDEX(MCQ!$A:$K,ROW()-1+1,9),""),IF(ROW()-1&lt;=$L$2+$M$2,IFERROR(INDEX(CLOZE_AB!$A:$K,ROW()-1-$L$2+1,9),""),IF(ROW()-1&lt;=$L$2+$M$2+$N$2,IFERROR(INDEX(CLOZE_LIST!$A:$K,ROW()-1-$L$2-$M$2+1,9),""),IF(ROW()-1&lt;=$L$2+$M$2+$N$2+$O$2,IFERROR(INDEX(PROFORMA!$A:$K,ROW()-1-$L$2-$M$2-$N$2+1,9),""),"")))))</f>
        <v>0</v>
      </c>
      <c r="J146" s="3">
        <f>IF(ROW()-1&lt;=0,"",IF(ROW()-1&lt;=$L$2,IFERROR(INDEX(MCQ!$A:$K,ROW()-1+1,10),""),IF(ROW()-1&lt;=$L$2+$M$2,IFERROR(INDEX(CLOZE_AB!$A:$K,ROW()-1-$L$2+1,10),""),IF(ROW()-1&lt;=$L$2+$M$2+$N$2,IFERROR(INDEX(CLOZE_LIST!$A:$K,ROW()-1-$L$2-$M$2+1,10),""),IF(ROW()-1&lt;=$L$2+$M$2+$N$2+$O$2,IFERROR(INDEX(PROFORMA!$A:$K,ROW()-1-$L$2-$M$2-$N$2+1,10),""),"")))))</f>
        <v>0</v>
      </c>
      <c r="K146" s="3">
        <f>IF(ROW()-1&lt;=0,"",IF(ROW()-1&lt;=$L$2,IFERROR(INDEX(MCQ!$A:$K,ROW()-1+1,11),""),IF(ROW()-1&lt;=$L$2+$M$2,IFERROR(INDEX(CLOZE_AB!$A:$K,ROW()-1-$L$2+1,11),""),IF(ROW()-1&lt;=$L$2+$M$2+$N$2,IFERROR(INDEX(CLOZE_LIST!$A:$K,ROW()-1-$L$2-$M$2+1,11),""),IF(ROW()-1&lt;=$L$2+$M$2+$N$2+$O$2,IFERROR(INDEX(PROFORMA!$A:$K,ROW()-1-$L$2-$M$2-$N$2+1,11),""),"")))))</f>
        <v>0</v>
      </c>
      <c r="L146" s="3">
        <f>COUNTA(MCQ!$A:$A)-1</f>
        <v>143</v>
      </c>
      <c r="M146" s="3">
        <f>COUNTA(CLOZE_AB!$A:$A)-1</f>
        <v>168</v>
      </c>
      <c r="N146" s="3">
        <f>COUNTA(CLOZE_LIST!$A:$A)-1</f>
        <v>199</v>
      </c>
      <c r="O146" s="3">
        <f>COUNTA(PROFORMA!$A:$A)-1</f>
        <v>199</v>
      </c>
    </row>
    <row r="147" spans="1:15" x14ac:dyDescent="0.3">
      <c r="A147" s="3" t="str">
        <f>IF(ROW()-1&lt;=0,"",IF(ROW()-1&lt;=$L$2,IFERROR(INDEX(MCQ!$A:$K,ROW()-1+1,1),""),IF(ROW()-1&lt;=$L$2+$M$2,IFERROR(INDEX(CLOZE_AB!$A:$K,ROW()-1-$L$2+1,1),""),IF(ROW()-1&lt;=$L$2+$M$2+$N$2,IFERROR(INDEX(CLOZE_LIST!$A:$K,ROW()-1-$L$2-$M$2+1,1),""),IF(ROW()-1&lt;=$L$2+$M$2+$N$2+$O$2,IFERROR(INDEX(PROFORMA!$A:$K,ROW()-1-$L$2-$M$2-$N$2+1,1),""),"")))))</f>
        <v/>
      </c>
      <c r="B147" s="3">
        <f>IF(ROW()-1&lt;=0,"",IF(ROW()-1&lt;=$L$2,IFERROR(INDEX(MCQ!$A:$K,ROW()-1+1,2),""),IF(ROW()-1&lt;=$L$2+$M$2,IFERROR(INDEX(CLOZE_AB!$A:$K,ROW()-1-$L$2+1,2),""),IF(ROW()-1&lt;=$L$2+$M$2+$N$2,IFERROR(INDEX(CLOZE_LIST!$A:$K,ROW()-1-$L$2-$M$2+1,2),""),IF(ROW()-1&lt;=$L$2+$M$2+$N$2+$O$2,IFERROR(INDEX(PROFORMA!$A:$K,ROW()-1-$L$2-$M$2-$N$2+1,2),""),"")))))</f>
        <v>0</v>
      </c>
      <c r="C147" s="3">
        <f>IF(ROW()-1&lt;=0,"",IF(ROW()-1&lt;=$L$2,IFERROR(INDEX(MCQ!$A:$K,ROW()-1+1,3),""),IF(ROW()-1&lt;=$L$2+$M$2,IFERROR(INDEX(CLOZE_AB!$A:$K,ROW()-1-$L$2+1,3),""),IF(ROW()-1&lt;=$L$2+$M$2+$N$2,IFERROR(INDEX(CLOZE_LIST!$A:$K,ROW()-1-$L$2-$M$2+1,3),""),IF(ROW()-1&lt;=$L$2+$M$2+$N$2+$O$2,IFERROR(INDEX(PROFORMA!$A:$K,ROW()-1-$L$2-$M$2-$N$2+1,3),""),"")))))</f>
        <v>0</v>
      </c>
      <c r="D147" s="3">
        <f>IF(ROW()-1&lt;=0,"",IF(ROW()-1&lt;=$L$2,IFERROR(INDEX(MCQ!$A:$K,ROW()-1+1,4),""),IF(ROW()-1&lt;=$L$2+$M$2,IFERROR(INDEX(CLOZE_AB!$A:$K,ROW()-1-$L$2+1,4),""),IF(ROW()-1&lt;=$L$2+$M$2+$N$2,IFERROR(INDEX(CLOZE_LIST!$A:$K,ROW()-1-$L$2-$M$2+1,4),""),IF(ROW()-1&lt;=$L$2+$M$2+$N$2+$O$2,IFERROR(INDEX(PROFORMA!$A:$K,ROW()-1-$L$2-$M$2-$N$2+1,4),""),"")))))</f>
        <v>0</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0</v>
      </c>
      <c r="G147" s="3">
        <f>IF(ROW()-1&lt;=0,"",IF(ROW()-1&lt;=$L$2,IFERROR(INDEX(MCQ!$A:$K,ROW()-1+1,7),""),IF(ROW()-1&lt;=$L$2+$M$2,IFERROR(INDEX(CLOZE_AB!$A:$K,ROW()-1-$L$2+1,7),""),IF(ROW()-1&lt;=$L$2+$M$2+$N$2,IFERROR(INDEX(CLOZE_LIST!$A:$K,ROW()-1-$L$2-$M$2+1,7),""),IF(ROW()-1&lt;=$L$2+$M$2+$N$2+$O$2,IFERROR(INDEX(PROFORMA!$A:$K,ROW()-1-$L$2-$M$2-$N$2+1,7),""),"")))))</f>
        <v>0</v>
      </c>
      <c r="H147" s="3">
        <f>IF(ROW()-1&lt;=0,"",IF(ROW()-1&lt;=$L$2,IFERROR(INDEX(MCQ!$A:$K,ROW()-1+1,8),""),IF(ROW()-1&lt;=$L$2+$M$2,IFERROR(INDEX(CLOZE_AB!$A:$K,ROW()-1-$L$2+1,8),""),IF(ROW()-1&lt;=$L$2+$M$2+$N$2,IFERROR(INDEX(CLOZE_LIST!$A:$K,ROW()-1-$L$2-$M$2+1,8),""),IF(ROW()-1&lt;=$L$2+$M$2+$N$2+$O$2,IFERROR(INDEX(PROFORMA!$A:$K,ROW()-1-$L$2-$M$2-$N$2+1,8),""),"")))))</f>
        <v>0</v>
      </c>
      <c r="I147" s="3">
        <f>IF(ROW()-1&lt;=0,"",IF(ROW()-1&lt;=$L$2,IFERROR(INDEX(MCQ!$A:$K,ROW()-1+1,9),""),IF(ROW()-1&lt;=$L$2+$M$2,IFERROR(INDEX(CLOZE_AB!$A:$K,ROW()-1-$L$2+1,9),""),IF(ROW()-1&lt;=$L$2+$M$2+$N$2,IFERROR(INDEX(CLOZE_LIST!$A:$K,ROW()-1-$L$2-$M$2+1,9),""),IF(ROW()-1&lt;=$L$2+$M$2+$N$2+$O$2,IFERROR(INDEX(PROFORMA!$A:$K,ROW()-1-$L$2-$M$2-$N$2+1,9),""),"")))))</f>
        <v>0</v>
      </c>
      <c r="J147" s="3">
        <f>IF(ROW()-1&lt;=0,"",IF(ROW()-1&lt;=$L$2,IFERROR(INDEX(MCQ!$A:$K,ROW()-1+1,10),""),IF(ROW()-1&lt;=$L$2+$M$2,IFERROR(INDEX(CLOZE_AB!$A:$K,ROW()-1-$L$2+1,10),""),IF(ROW()-1&lt;=$L$2+$M$2+$N$2,IFERROR(INDEX(CLOZE_LIST!$A:$K,ROW()-1-$L$2-$M$2+1,10),""),IF(ROW()-1&lt;=$L$2+$M$2+$N$2+$O$2,IFERROR(INDEX(PROFORMA!$A:$K,ROW()-1-$L$2-$M$2-$N$2+1,10),""),"")))))</f>
        <v>0</v>
      </c>
      <c r="K147" s="3">
        <f>IF(ROW()-1&lt;=0,"",IF(ROW()-1&lt;=$L$2,IFERROR(INDEX(MCQ!$A:$K,ROW()-1+1,11),""),IF(ROW()-1&lt;=$L$2+$M$2,IFERROR(INDEX(CLOZE_AB!$A:$K,ROW()-1-$L$2+1,11),""),IF(ROW()-1&lt;=$L$2+$M$2+$N$2,IFERROR(INDEX(CLOZE_LIST!$A:$K,ROW()-1-$L$2-$M$2+1,11),""),IF(ROW()-1&lt;=$L$2+$M$2+$N$2+$O$2,IFERROR(INDEX(PROFORMA!$A:$K,ROW()-1-$L$2-$M$2-$N$2+1,11),""),"")))))</f>
        <v>0</v>
      </c>
      <c r="L147" s="3">
        <f>COUNTA(MCQ!$A:$A)-1</f>
        <v>143</v>
      </c>
      <c r="M147" s="3">
        <f>COUNTA(CLOZE_AB!$A:$A)-1</f>
        <v>168</v>
      </c>
      <c r="N147" s="3">
        <f>COUNTA(CLOZE_LIST!$A:$A)-1</f>
        <v>199</v>
      </c>
      <c r="O147" s="3">
        <f>COUNTA(PROFORMA!$A:$A)-1</f>
        <v>199</v>
      </c>
    </row>
    <row r="148" spans="1:15" x14ac:dyDescent="0.3">
      <c r="A148" s="3" t="str">
        <f>IF(ROW()-1&lt;=0,"",IF(ROW()-1&lt;=$L$2,IFERROR(INDEX(MCQ!$A:$K,ROW()-1+1,1),""),IF(ROW()-1&lt;=$L$2+$M$2,IFERROR(INDEX(CLOZE_AB!$A:$K,ROW()-1-$L$2+1,1),""),IF(ROW()-1&lt;=$L$2+$M$2+$N$2,IFERROR(INDEX(CLOZE_LIST!$A:$K,ROW()-1-$L$2-$M$2+1,1),""),IF(ROW()-1&lt;=$L$2+$M$2+$N$2+$O$2,IFERROR(INDEX(PROFORMA!$A:$K,ROW()-1-$L$2-$M$2-$N$2+1,1),""),"")))))</f>
        <v/>
      </c>
      <c r="B148" s="3">
        <f>IF(ROW()-1&lt;=0,"",IF(ROW()-1&lt;=$L$2,IFERROR(INDEX(MCQ!$A:$K,ROW()-1+1,2),""),IF(ROW()-1&lt;=$L$2+$M$2,IFERROR(INDEX(CLOZE_AB!$A:$K,ROW()-1-$L$2+1,2),""),IF(ROW()-1&lt;=$L$2+$M$2+$N$2,IFERROR(INDEX(CLOZE_LIST!$A:$K,ROW()-1-$L$2-$M$2+1,2),""),IF(ROW()-1&lt;=$L$2+$M$2+$N$2+$O$2,IFERROR(INDEX(PROFORMA!$A:$K,ROW()-1-$L$2-$M$2-$N$2+1,2),""),"")))))</f>
        <v>0</v>
      </c>
      <c r="C148" s="3">
        <f>IF(ROW()-1&lt;=0,"",IF(ROW()-1&lt;=$L$2,IFERROR(INDEX(MCQ!$A:$K,ROW()-1+1,3),""),IF(ROW()-1&lt;=$L$2+$M$2,IFERROR(INDEX(CLOZE_AB!$A:$K,ROW()-1-$L$2+1,3),""),IF(ROW()-1&lt;=$L$2+$M$2+$N$2,IFERROR(INDEX(CLOZE_LIST!$A:$K,ROW()-1-$L$2-$M$2+1,3),""),IF(ROW()-1&lt;=$L$2+$M$2+$N$2+$O$2,IFERROR(INDEX(PROFORMA!$A:$K,ROW()-1-$L$2-$M$2-$N$2+1,3),""),"")))))</f>
        <v>0</v>
      </c>
      <c r="D148" s="3">
        <f>IF(ROW()-1&lt;=0,"",IF(ROW()-1&lt;=$L$2,IFERROR(INDEX(MCQ!$A:$K,ROW()-1+1,4),""),IF(ROW()-1&lt;=$L$2+$M$2,IFERROR(INDEX(CLOZE_AB!$A:$K,ROW()-1-$L$2+1,4),""),IF(ROW()-1&lt;=$L$2+$M$2+$N$2,IFERROR(INDEX(CLOZE_LIST!$A:$K,ROW()-1-$L$2-$M$2+1,4),""),IF(ROW()-1&lt;=$L$2+$M$2+$N$2+$O$2,IFERROR(INDEX(PROFORMA!$A:$K,ROW()-1-$L$2-$M$2-$N$2+1,4),""),"")))))</f>
        <v>0</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0</v>
      </c>
      <c r="G148" s="3">
        <f>IF(ROW()-1&lt;=0,"",IF(ROW()-1&lt;=$L$2,IFERROR(INDEX(MCQ!$A:$K,ROW()-1+1,7),""),IF(ROW()-1&lt;=$L$2+$M$2,IFERROR(INDEX(CLOZE_AB!$A:$K,ROW()-1-$L$2+1,7),""),IF(ROW()-1&lt;=$L$2+$M$2+$N$2,IFERROR(INDEX(CLOZE_LIST!$A:$K,ROW()-1-$L$2-$M$2+1,7),""),IF(ROW()-1&lt;=$L$2+$M$2+$N$2+$O$2,IFERROR(INDEX(PROFORMA!$A:$K,ROW()-1-$L$2-$M$2-$N$2+1,7),""),"")))))</f>
        <v>0</v>
      </c>
      <c r="H148" s="3">
        <f>IF(ROW()-1&lt;=0,"",IF(ROW()-1&lt;=$L$2,IFERROR(INDEX(MCQ!$A:$K,ROW()-1+1,8),""),IF(ROW()-1&lt;=$L$2+$M$2,IFERROR(INDEX(CLOZE_AB!$A:$K,ROW()-1-$L$2+1,8),""),IF(ROW()-1&lt;=$L$2+$M$2+$N$2,IFERROR(INDEX(CLOZE_LIST!$A:$K,ROW()-1-$L$2-$M$2+1,8),""),IF(ROW()-1&lt;=$L$2+$M$2+$N$2+$O$2,IFERROR(INDEX(PROFORMA!$A:$K,ROW()-1-$L$2-$M$2-$N$2+1,8),""),"")))))</f>
        <v>0</v>
      </c>
      <c r="I148" s="3">
        <f>IF(ROW()-1&lt;=0,"",IF(ROW()-1&lt;=$L$2,IFERROR(INDEX(MCQ!$A:$K,ROW()-1+1,9),""),IF(ROW()-1&lt;=$L$2+$M$2,IFERROR(INDEX(CLOZE_AB!$A:$K,ROW()-1-$L$2+1,9),""),IF(ROW()-1&lt;=$L$2+$M$2+$N$2,IFERROR(INDEX(CLOZE_LIST!$A:$K,ROW()-1-$L$2-$M$2+1,9),""),IF(ROW()-1&lt;=$L$2+$M$2+$N$2+$O$2,IFERROR(INDEX(PROFORMA!$A:$K,ROW()-1-$L$2-$M$2-$N$2+1,9),""),"")))))</f>
        <v>0</v>
      </c>
      <c r="J148" s="3">
        <f>IF(ROW()-1&lt;=0,"",IF(ROW()-1&lt;=$L$2,IFERROR(INDEX(MCQ!$A:$K,ROW()-1+1,10),""),IF(ROW()-1&lt;=$L$2+$M$2,IFERROR(INDEX(CLOZE_AB!$A:$K,ROW()-1-$L$2+1,10),""),IF(ROW()-1&lt;=$L$2+$M$2+$N$2,IFERROR(INDEX(CLOZE_LIST!$A:$K,ROW()-1-$L$2-$M$2+1,10),""),IF(ROW()-1&lt;=$L$2+$M$2+$N$2+$O$2,IFERROR(INDEX(PROFORMA!$A:$K,ROW()-1-$L$2-$M$2-$N$2+1,10),""),"")))))</f>
        <v>0</v>
      </c>
      <c r="K148" s="3">
        <f>IF(ROW()-1&lt;=0,"",IF(ROW()-1&lt;=$L$2,IFERROR(INDEX(MCQ!$A:$K,ROW()-1+1,11),""),IF(ROW()-1&lt;=$L$2+$M$2,IFERROR(INDEX(CLOZE_AB!$A:$K,ROW()-1-$L$2+1,11),""),IF(ROW()-1&lt;=$L$2+$M$2+$N$2,IFERROR(INDEX(CLOZE_LIST!$A:$K,ROW()-1-$L$2-$M$2+1,11),""),IF(ROW()-1&lt;=$L$2+$M$2+$N$2+$O$2,IFERROR(INDEX(PROFORMA!$A:$K,ROW()-1-$L$2-$M$2-$N$2+1,11),""),"")))))</f>
        <v>0</v>
      </c>
      <c r="L148" s="3">
        <f>COUNTA(MCQ!$A:$A)-1</f>
        <v>143</v>
      </c>
      <c r="M148" s="3">
        <f>COUNTA(CLOZE_AB!$A:$A)-1</f>
        <v>168</v>
      </c>
      <c r="N148" s="3">
        <f>COUNTA(CLOZE_LIST!$A:$A)-1</f>
        <v>199</v>
      </c>
      <c r="O148" s="3">
        <f>COUNTA(PROFORMA!$A:$A)-1</f>
        <v>199</v>
      </c>
    </row>
    <row r="149" spans="1:15" x14ac:dyDescent="0.3">
      <c r="A149" s="3" t="str">
        <f>IF(ROW()-1&lt;=0,"",IF(ROW()-1&lt;=$L$2,IFERROR(INDEX(MCQ!$A:$K,ROW()-1+1,1),""),IF(ROW()-1&lt;=$L$2+$M$2,IFERROR(INDEX(CLOZE_AB!$A:$K,ROW()-1-$L$2+1,1),""),IF(ROW()-1&lt;=$L$2+$M$2+$N$2,IFERROR(INDEX(CLOZE_LIST!$A:$K,ROW()-1-$L$2-$M$2+1,1),""),IF(ROW()-1&lt;=$L$2+$M$2+$N$2+$O$2,IFERROR(INDEX(PROFORMA!$A:$K,ROW()-1-$L$2-$M$2-$N$2+1,1),""),"")))))</f>
        <v/>
      </c>
      <c r="B149" s="3">
        <f>IF(ROW()-1&lt;=0,"",IF(ROW()-1&lt;=$L$2,IFERROR(INDEX(MCQ!$A:$K,ROW()-1+1,2),""),IF(ROW()-1&lt;=$L$2+$M$2,IFERROR(INDEX(CLOZE_AB!$A:$K,ROW()-1-$L$2+1,2),""),IF(ROW()-1&lt;=$L$2+$M$2+$N$2,IFERROR(INDEX(CLOZE_LIST!$A:$K,ROW()-1-$L$2-$M$2+1,2),""),IF(ROW()-1&lt;=$L$2+$M$2+$N$2+$O$2,IFERROR(INDEX(PROFORMA!$A:$K,ROW()-1-$L$2-$M$2-$N$2+1,2),""),"")))))</f>
        <v>0</v>
      </c>
      <c r="C149" s="3">
        <f>IF(ROW()-1&lt;=0,"",IF(ROW()-1&lt;=$L$2,IFERROR(INDEX(MCQ!$A:$K,ROW()-1+1,3),""),IF(ROW()-1&lt;=$L$2+$M$2,IFERROR(INDEX(CLOZE_AB!$A:$K,ROW()-1-$L$2+1,3),""),IF(ROW()-1&lt;=$L$2+$M$2+$N$2,IFERROR(INDEX(CLOZE_LIST!$A:$K,ROW()-1-$L$2-$M$2+1,3),""),IF(ROW()-1&lt;=$L$2+$M$2+$N$2+$O$2,IFERROR(INDEX(PROFORMA!$A:$K,ROW()-1-$L$2-$M$2-$N$2+1,3),""),"")))))</f>
        <v>0</v>
      </c>
      <c r="D149" s="3">
        <f>IF(ROW()-1&lt;=0,"",IF(ROW()-1&lt;=$L$2,IFERROR(INDEX(MCQ!$A:$K,ROW()-1+1,4),""),IF(ROW()-1&lt;=$L$2+$M$2,IFERROR(INDEX(CLOZE_AB!$A:$K,ROW()-1-$L$2+1,4),""),IF(ROW()-1&lt;=$L$2+$M$2+$N$2,IFERROR(INDEX(CLOZE_LIST!$A:$K,ROW()-1-$L$2-$M$2+1,4),""),IF(ROW()-1&lt;=$L$2+$M$2+$N$2+$O$2,IFERROR(INDEX(PROFORMA!$A:$K,ROW()-1-$L$2-$M$2-$N$2+1,4),""),"")))))</f>
        <v>0</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0</v>
      </c>
      <c r="G149" s="3">
        <f>IF(ROW()-1&lt;=0,"",IF(ROW()-1&lt;=$L$2,IFERROR(INDEX(MCQ!$A:$K,ROW()-1+1,7),""),IF(ROW()-1&lt;=$L$2+$M$2,IFERROR(INDEX(CLOZE_AB!$A:$K,ROW()-1-$L$2+1,7),""),IF(ROW()-1&lt;=$L$2+$M$2+$N$2,IFERROR(INDEX(CLOZE_LIST!$A:$K,ROW()-1-$L$2-$M$2+1,7),""),IF(ROW()-1&lt;=$L$2+$M$2+$N$2+$O$2,IFERROR(INDEX(PROFORMA!$A:$K,ROW()-1-$L$2-$M$2-$N$2+1,7),""),"")))))</f>
        <v>0</v>
      </c>
      <c r="H149" s="3">
        <f>IF(ROW()-1&lt;=0,"",IF(ROW()-1&lt;=$L$2,IFERROR(INDEX(MCQ!$A:$K,ROW()-1+1,8),""),IF(ROW()-1&lt;=$L$2+$M$2,IFERROR(INDEX(CLOZE_AB!$A:$K,ROW()-1-$L$2+1,8),""),IF(ROW()-1&lt;=$L$2+$M$2+$N$2,IFERROR(INDEX(CLOZE_LIST!$A:$K,ROW()-1-$L$2-$M$2+1,8),""),IF(ROW()-1&lt;=$L$2+$M$2+$N$2+$O$2,IFERROR(INDEX(PROFORMA!$A:$K,ROW()-1-$L$2-$M$2-$N$2+1,8),""),"")))))</f>
        <v>0</v>
      </c>
      <c r="I149" s="3">
        <f>IF(ROW()-1&lt;=0,"",IF(ROW()-1&lt;=$L$2,IFERROR(INDEX(MCQ!$A:$K,ROW()-1+1,9),""),IF(ROW()-1&lt;=$L$2+$M$2,IFERROR(INDEX(CLOZE_AB!$A:$K,ROW()-1-$L$2+1,9),""),IF(ROW()-1&lt;=$L$2+$M$2+$N$2,IFERROR(INDEX(CLOZE_LIST!$A:$K,ROW()-1-$L$2-$M$2+1,9),""),IF(ROW()-1&lt;=$L$2+$M$2+$N$2+$O$2,IFERROR(INDEX(PROFORMA!$A:$K,ROW()-1-$L$2-$M$2-$N$2+1,9),""),"")))))</f>
        <v>0</v>
      </c>
      <c r="J149" s="3">
        <f>IF(ROW()-1&lt;=0,"",IF(ROW()-1&lt;=$L$2,IFERROR(INDEX(MCQ!$A:$K,ROW()-1+1,10),""),IF(ROW()-1&lt;=$L$2+$M$2,IFERROR(INDEX(CLOZE_AB!$A:$K,ROW()-1-$L$2+1,10),""),IF(ROW()-1&lt;=$L$2+$M$2+$N$2,IFERROR(INDEX(CLOZE_LIST!$A:$K,ROW()-1-$L$2-$M$2+1,10),""),IF(ROW()-1&lt;=$L$2+$M$2+$N$2+$O$2,IFERROR(INDEX(PROFORMA!$A:$K,ROW()-1-$L$2-$M$2-$N$2+1,10),""),"")))))</f>
        <v>0</v>
      </c>
      <c r="K149" s="3">
        <f>IF(ROW()-1&lt;=0,"",IF(ROW()-1&lt;=$L$2,IFERROR(INDEX(MCQ!$A:$K,ROW()-1+1,11),""),IF(ROW()-1&lt;=$L$2+$M$2,IFERROR(INDEX(CLOZE_AB!$A:$K,ROW()-1-$L$2+1,11),""),IF(ROW()-1&lt;=$L$2+$M$2+$N$2,IFERROR(INDEX(CLOZE_LIST!$A:$K,ROW()-1-$L$2-$M$2+1,11),""),IF(ROW()-1&lt;=$L$2+$M$2+$N$2+$O$2,IFERROR(INDEX(PROFORMA!$A:$K,ROW()-1-$L$2-$M$2-$N$2+1,11),""),"")))))</f>
        <v>0</v>
      </c>
      <c r="L149" s="3">
        <f>COUNTA(MCQ!$A:$A)-1</f>
        <v>143</v>
      </c>
      <c r="M149" s="3">
        <f>COUNTA(CLOZE_AB!$A:$A)-1</f>
        <v>168</v>
      </c>
      <c r="N149" s="3">
        <f>COUNTA(CLOZE_LIST!$A:$A)-1</f>
        <v>199</v>
      </c>
      <c r="O149" s="3">
        <f>COUNTA(PROFORMA!$A:$A)-1</f>
        <v>199</v>
      </c>
    </row>
    <row r="150" spans="1:15" x14ac:dyDescent="0.3">
      <c r="A150" s="3" t="str">
        <f>IF(ROW()-1&lt;=0,"",IF(ROW()-1&lt;=$L$2,IFERROR(INDEX(MCQ!$A:$K,ROW()-1+1,1),""),IF(ROW()-1&lt;=$L$2+$M$2,IFERROR(INDEX(CLOZE_AB!$A:$K,ROW()-1-$L$2+1,1),""),IF(ROW()-1&lt;=$L$2+$M$2+$N$2,IFERROR(INDEX(CLOZE_LIST!$A:$K,ROW()-1-$L$2-$M$2+1,1),""),IF(ROW()-1&lt;=$L$2+$M$2+$N$2+$O$2,IFERROR(INDEX(PROFORMA!$A:$K,ROW()-1-$L$2-$M$2-$N$2+1,1),""),"")))))</f>
        <v/>
      </c>
      <c r="B150" s="3">
        <f>IF(ROW()-1&lt;=0,"",IF(ROW()-1&lt;=$L$2,IFERROR(INDEX(MCQ!$A:$K,ROW()-1+1,2),""),IF(ROW()-1&lt;=$L$2+$M$2,IFERROR(INDEX(CLOZE_AB!$A:$K,ROW()-1-$L$2+1,2),""),IF(ROW()-1&lt;=$L$2+$M$2+$N$2,IFERROR(INDEX(CLOZE_LIST!$A:$K,ROW()-1-$L$2-$M$2+1,2),""),IF(ROW()-1&lt;=$L$2+$M$2+$N$2+$O$2,IFERROR(INDEX(PROFORMA!$A:$K,ROW()-1-$L$2-$M$2-$N$2+1,2),""),"")))))</f>
        <v>0</v>
      </c>
      <c r="C150" s="3">
        <f>IF(ROW()-1&lt;=0,"",IF(ROW()-1&lt;=$L$2,IFERROR(INDEX(MCQ!$A:$K,ROW()-1+1,3),""),IF(ROW()-1&lt;=$L$2+$M$2,IFERROR(INDEX(CLOZE_AB!$A:$K,ROW()-1-$L$2+1,3),""),IF(ROW()-1&lt;=$L$2+$M$2+$N$2,IFERROR(INDEX(CLOZE_LIST!$A:$K,ROW()-1-$L$2-$M$2+1,3),""),IF(ROW()-1&lt;=$L$2+$M$2+$N$2+$O$2,IFERROR(INDEX(PROFORMA!$A:$K,ROW()-1-$L$2-$M$2-$N$2+1,3),""),"")))))</f>
        <v>0</v>
      </c>
      <c r="D150" s="3">
        <f>IF(ROW()-1&lt;=0,"",IF(ROW()-1&lt;=$L$2,IFERROR(INDEX(MCQ!$A:$K,ROW()-1+1,4),""),IF(ROW()-1&lt;=$L$2+$M$2,IFERROR(INDEX(CLOZE_AB!$A:$K,ROW()-1-$L$2+1,4),""),IF(ROW()-1&lt;=$L$2+$M$2+$N$2,IFERROR(INDEX(CLOZE_LIST!$A:$K,ROW()-1-$L$2-$M$2+1,4),""),IF(ROW()-1&lt;=$L$2+$M$2+$N$2+$O$2,IFERROR(INDEX(PROFORMA!$A:$K,ROW()-1-$L$2-$M$2-$N$2+1,4),""),"")))))</f>
        <v>0</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0</v>
      </c>
      <c r="G150" s="3">
        <f>IF(ROW()-1&lt;=0,"",IF(ROW()-1&lt;=$L$2,IFERROR(INDEX(MCQ!$A:$K,ROW()-1+1,7),""),IF(ROW()-1&lt;=$L$2+$M$2,IFERROR(INDEX(CLOZE_AB!$A:$K,ROW()-1-$L$2+1,7),""),IF(ROW()-1&lt;=$L$2+$M$2+$N$2,IFERROR(INDEX(CLOZE_LIST!$A:$K,ROW()-1-$L$2-$M$2+1,7),""),IF(ROW()-1&lt;=$L$2+$M$2+$N$2+$O$2,IFERROR(INDEX(PROFORMA!$A:$K,ROW()-1-$L$2-$M$2-$N$2+1,7),""),"")))))</f>
        <v>0</v>
      </c>
      <c r="H150" s="3">
        <f>IF(ROW()-1&lt;=0,"",IF(ROW()-1&lt;=$L$2,IFERROR(INDEX(MCQ!$A:$K,ROW()-1+1,8),""),IF(ROW()-1&lt;=$L$2+$M$2,IFERROR(INDEX(CLOZE_AB!$A:$K,ROW()-1-$L$2+1,8),""),IF(ROW()-1&lt;=$L$2+$M$2+$N$2,IFERROR(INDEX(CLOZE_LIST!$A:$K,ROW()-1-$L$2-$M$2+1,8),""),IF(ROW()-1&lt;=$L$2+$M$2+$N$2+$O$2,IFERROR(INDEX(PROFORMA!$A:$K,ROW()-1-$L$2-$M$2-$N$2+1,8),""),"")))))</f>
        <v>0</v>
      </c>
      <c r="I150" s="3">
        <f>IF(ROW()-1&lt;=0,"",IF(ROW()-1&lt;=$L$2,IFERROR(INDEX(MCQ!$A:$K,ROW()-1+1,9),""),IF(ROW()-1&lt;=$L$2+$M$2,IFERROR(INDEX(CLOZE_AB!$A:$K,ROW()-1-$L$2+1,9),""),IF(ROW()-1&lt;=$L$2+$M$2+$N$2,IFERROR(INDEX(CLOZE_LIST!$A:$K,ROW()-1-$L$2-$M$2+1,9),""),IF(ROW()-1&lt;=$L$2+$M$2+$N$2+$O$2,IFERROR(INDEX(PROFORMA!$A:$K,ROW()-1-$L$2-$M$2-$N$2+1,9),""),"")))))</f>
        <v>0</v>
      </c>
      <c r="J150" s="3">
        <f>IF(ROW()-1&lt;=0,"",IF(ROW()-1&lt;=$L$2,IFERROR(INDEX(MCQ!$A:$K,ROW()-1+1,10),""),IF(ROW()-1&lt;=$L$2+$M$2,IFERROR(INDEX(CLOZE_AB!$A:$K,ROW()-1-$L$2+1,10),""),IF(ROW()-1&lt;=$L$2+$M$2+$N$2,IFERROR(INDEX(CLOZE_LIST!$A:$K,ROW()-1-$L$2-$M$2+1,10),""),IF(ROW()-1&lt;=$L$2+$M$2+$N$2+$O$2,IFERROR(INDEX(PROFORMA!$A:$K,ROW()-1-$L$2-$M$2-$N$2+1,10),""),"")))))</f>
        <v>0</v>
      </c>
      <c r="K150" s="3">
        <f>IF(ROW()-1&lt;=0,"",IF(ROW()-1&lt;=$L$2,IFERROR(INDEX(MCQ!$A:$K,ROW()-1+1,11),""),IF(ROW()-1&lt;=$L$2+$M$2,IFERROR(INDEX(CLOZE_AB!$A:$K,ROW()-1-$L$2+1,11),""),IF(ROW()-1&lt;=$L$2+$M$2+$N$2,IFERROR(INDEX(CLOZE_LIST!$A:$K,ROW()-1-$L$2-$M$2+1,11),""),IF(ROW()-1&lt;=$L$2+$M$2+$N$2+$O$2,IFERROR(INDEX(PROFORMA!$A:$K,ROW()-1-$L$2-$M$2-$N$2+1,11),""),"")))))</f>
        <v>0</v>
      </c>
      <c r="L150" s="3">
        <f>COUNTA(MCQ!$A:$A)-1</f>
        <v>143</v>
      </c>
      <c r="M150" s="3">
        <f>COUNTA(CLOZE_AB!$A:$A)-1</f>
        <v>168</v>
      </c>
      <c r="N150" s="3">
        <f>COUNTA(CLOZE_LIST!$A:$A)-1</f>
        <v>199</v>
      </c>
      <c r="O150" s="3">
        <f>COUNTA(PROFORMA!$A:$A)-1</f>
        <v>199</v>
      </c>
    </row>
    <row r="151" spans="1:15" x14ac:dyDescent="0.3">
      <c r="A151" s="3" t="str">
        <f>IF(ROW()-1&lt;=0,"",IF(ROW()-1&lt;=$L$2,IFERROR(INDEX(MCQ!$A:$K,ROW()-1+1,1),""),IF(ROW()-1&lt;=$L$2+$M$2,IFERROR(INDEX(CLOZE_AB!$A:$K,ROW()-1-$L$2+1,1),""),IF(ROW()-1&lt;=$L$2+$M$2+$N$2,IFERROR(INDEX(CLOZE_LIST!$A:$K,ROW()-1-$L$2-$M$2+1,1),""),IF(ROW()-1&lt;=$L$2+$M$2+$N$2+$O$2,IFERROR(INDEX(PROFORMA!$A:$K,ROW()-1-$L$2-$M$2-$N$2+1,1),""),"")))))</f>
        <v/>
      </c>
      <c r="B151" s="3">
        <f>IF(ROW()-1&lt;=0,"",IF(ROW()-1&lt;=$L$2,IFERROR(INDEX(MCQ!$A:$K,ROW()-1+1,2),""),IF(ROW()-1&lt;=$L$2+$M$2,IFERROR(INDEX(CLOZE_AB!$A:$K,ROW()-1-$L$2+1,2),""),IF(ROW()-1&lt;=$L$2+$M$2+$N$2,IFERROR(INDEX(CLOZE_LIST!$A:$K,ROW()-1-$L$2-$M$2+1,2),""),IF(ROW()-1&lt;=$L$2+$M$2+$N$2+$O$2,IFERROR(INDEX(PROFORMA!$A:$K,ROW()-1-$L$2-$M$2-$N$2+1,2),""),"")))))</f>
        <v>0</v>
      </c>
      <c r="C151" s="3">
        <f>IF(ROW()-1&lt;=0,"",IF(ROW()-1&lt;=$L$2,IFERROR(INDEX(MCQ!$A:$K,ROW()-1+1,3),""),IF(ROW()-1&lt;=$L$2+$M$2,IFERROR(INDEX(CLOZE_AB!$A:$K,ROW()-1-$L$2+1,3),""),IF(ROW()-1&lt;=$L$2+$M$2+$N$2,IFERROR(INDEX(CLOZE_LIST!$A:$K,ROW()-1-$L$2-$M$2+1,3),""),IF(ROW()-1&lt;=$L$2+$M$2+$N$2+$O$2,IFERROR(INDEX(PROFORMA!$A:$K,ROW()-1-$L$2-$M$2-$N$2+1,3),""),"")))))</f>
        <v>0</v>
      </c>
      <c r="D151" s="3">
        <f>IF(ROW()-1&lt;=0,"",IF(ROW()-1&lt;=$L$2,IFERROR(INDEX(MCQ!$A:$K,ROW()-1+1,4),""),IF(ROW()-1&lt;=$L$2+$M$2,IFERROR(INDEX(CLOZE_AB!$A:$K,ROW()-1-$L$2+1,4),""),IF(ROW()-1&lt;=$L$2+$M$2+$N$2,IFERROR(INDEX(CLOZE_LIST!$A:$K,ROW()-1-$L$2-$M$2+1,4),""),IF(ROW()-1&lt;=$L$2+$M$2+$N$2+$O$2,IFERROR(INDEX(PROFORMA!$A:$K,ROW()-1-$L$2-$M$2-$N$2+1,4),""),"")))))</f>
        <v>0</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0</v>
      </c>
      <c r="G151" s="3">
        <f>IF(ROW()-1&lt;=0,"",IF(ROW()-1&lt;=$L$2,IFERROR(INDEX(MCQ!$A:$K,ROW()-1+1,7),""),IF(ROW()-1&lt;=$L$2+$M$2,IFERROR(INDEX(CLOZE_AB!$A:$K,ROW()-1-$L$2+1,7),""),IF(ROW()-1&lt;=$L$2+$M$2+$N$2,IFERROR(INDEX(CLOZE_LIST!$A:$K,ROW()-1-$L$2-$M$2+1,7),""),IF(ROW()-1&lt;=$L$2+$M$2+$N$2+$O$2,IFERROR(INDEX(PROFORMA!$A:$K,ROW()-1-$L$2-$M$2-$N$2+1,7),""),"")))))</f>
        <v>0</v>
      </c>
      <c r="H151" s="3">
        <f>IF(ROW()-1&lt;=0,"",IF(ROW()-1&lt;=$L$2,IFERROR(INDEX(MCQ!$A:$K,ROW()-1+1,8),""),IF(ROW()-1&lt;=$L$2+$M$2,IFERROR(INDEX(CLOZE_AB!$A:$K,ROW()-1-$L$2+1,8),""),IF(ROW()-1&lt;=$L$2+$M$2+$N$2,IFERROR(INDEX(CLOZE_LIST!$A:$K,ROW()-1-$L$2-$M$2+1,8),""),IF(ROW()-1&lt;=$L$2+$M$2+$N$2+$O$2,IFERROR(INDEX(PROFORMA!$A:$K,ROW()-1-$L$2-$M$2-$N$2+1,8),""),"")))))</f>
        <v>0</v>
      </c>
      <c r="I151" s="3">
        <f>IF(ROW()-1&lt;=0,"",IF(ROW()-1&lt;=$L$2,IFERROR(INDEX(MCQ!$A:$K,ROW()-1+1,9),""),IF(ROW()-1&lt;=$L$2+$M$2,IFERROR(INDEX(CLOZE_AB!$A:$K,ROW()-1-$L$2+1,9),""),IF(ROW()-1&lt;=$L$2+$M$2+$N$2,IFERROR(INDEX(CLOZE_LIST!$A:$K,ROW()-1-$L$2-$M$2+1,9),""),IF(ROW()-1&lt;=$L$2+$M$2+$N$2+$O$2,IFERROR(INDEX(PROFORMA!$A:$K,ROW()-1-$L$2-$M$2-$N$2+1,9),""),"")))))</f>
        <v>0</v>
      </c>
      <c r="J151" s="3">
        <f>IF(ROW()-1&lt;=0,"",IF(ROW()-1&lt;=$L$2,IFERROR(INDEX(MCQ!$A:$K,ROW()-1+1,10),""),IF(ROW()-1&lt;=$L$2+$M$2,IFERROR(INDEX(CLOZE_AB!$A:$K,ROW()-1-$L$2+1,10),""),IF(ROW()-1&lt;=$L$2+$M$2+$N$2,IFERROR(INDEX(CLOZE_LIST!$A:$K,ROW()-1-$L$2-$M$2+1,10),""),IF(ROW()-1&lt;=$L$2+$M$2+$N$2+$O$2,IFERROR(INDEX(PROFORMA!$A:$K,ROW()-1-$L$2-$M$2-$N$2+1,10),""),"")))))</f>
        <v>0</v>
      </c>
      <c r="K151" s="3">
        <f>IF(ROW()-1&lt;=0,"",IF(ROW()-1&lt;=$L$2,IFERROR(INDEX(MCQ!$A:$K,ROW()-1+1,11),""),IF(ROW()-1&lt;=$L$2+$M$2,IFERROR(INDEX(CLOZE_AB!$A:$K,ROW()-1-$L$2+1,11),""),IF(ROW()-1&lt;=$L$2+$M$2+$N$2,IFERROR(INDEX(CLOZE_LIST!$A:$K,ROW()-1-$L$2-$M$2+1,11),""),IF(ROW()-1&lt;=$L$2+$M$2+$N$2+$O$2,IFERROR(INDEX(PROFORMA!$A:$K,ROW()-1-$L$2-$M$2-$N$2+1,11),""),"")))))</f>
        <v>0</v>
      </c>
      <c r="L151" s="3">
        <f>COUNTA(MCQ!$A:$A)-1</f>
        <v>143</v>
      </c>
      <c r="M151" s="3">
        <f>COUNTA(CLOZE_AB!$A:$A)-1</f>
        <v>168</v>
      </c>
      <c r="N151" s="3">
        <f>COUNTA(CLOZE_LIST!$A:$A)-1</f>
        <v>199</v>
      </c>
      <c r="O151" s="3">
        <f>COUNTA(PROFORMA!$A:$A)-1</f>
        <v>199</v>
      </c>
    </row>
    <row r="152" spans="1:15" x14ac:dyDescent="0.3">
      <c r="A152" s="3" t="str">
        <f>IF(ROW()-1&lt;=0,"",IF(ROW()-1&lt;=$L$2,IFERROR(INDEX(MCQ!$A:$K,ROW()-1+1,1),""),IF(ROW()-1&lt;=$L$2+$M$2,IFERROR(INDEX(CLOZE_AB!$A:$K,ROW()-1-$L$2+1,1),""),IF(ROW()-1&lt;=$L$2+$M$2+$N$2,IFERROR(INDEX(CLOZE_LIST!$A:$K,ROW()-1-$L$2-$M$2+1,1),""),IF(ROW()-1&lt;=$L$2+$M$2+$N$2+$O$2,IFERROR(INDEX(PROFORMA!$A:$K,ROW()-1-$L$2-$M$2-$N$2+1,1),""),"")))))</f>
        <v/>
      </c>
      <c r="B152" s="3">
        <f>IF(ROW()-1&lt;=0,"",IF(ROW()-1&lt;=$L$2,IFERROR(INDEX(MCQ!$A:$K,ROW()-1+1,2),""),IF(ROW()-1&lt;=$L$2+$M$2,IFERROR(INDEX(CLOZE_AB!$A:$K,ROW()-1-$L$2+1,2),""),IF(ROW()-1&lt;=$L$2+$M$2+$N$2,IFERROR(INDEX(CLOZE_LIST!$A:$K,ROW()-1-$L$2-$M$2+1,2),""),IF(ROW()-1&lt;=$L$2+$M$2+$N$2+$O$2,IFERROR(INDEX(PROFORMA!$A:$K,ROW()-1-$L$2-$M$2-$N$2+1,2),""),"")))))</f>
        <v>0</v>
      </c>
      <c r="C152" s="3">
        <f>IF(ROW()-1&lt;=0,"",IF(ROW()-1&lt;=$L$2,IFERROR(INDEX(MCQ!$A:$K,ROW()-1+1,3),""),IF(ROW()-1&lt;=$L$2+$M$2,IFERROR(INDEX(CLOZE_AB!$A:$K,ROW()-1-$L$2+1,3),""),IF(ROW()-1&lt;=$L$2+$M$2+$N$2,IFERROR(INDEX(CLOZE_LIST!$A:$K,ROW()-1-$L$2-$M$2+1,3),""),IF(ROW()-1&lt;=$L$2+$M$2+$N$2+$O$2,IFERROR(INDEX(PROFORMA!$A:$K,ROW()-1-$L$2-$M$2-$N$2+1,3),""),"")))))</f>
        <v>0</v>
      </c>
      <c r="D152" s="3">
        <f>IF(ROW()-1&lt;=0,"",IF(ROW()-1&lt;=$L$2,IFERROR(INDEX(MCQ!$A:$K,ROW()-1+1,4),""),IF(ROW()-1&lt;=$L$2+$M$2,IFERROR(INDEX(CLOZE_AB!$A:$K,ROW()-1-$L$2+1,4),""),IF(ROW()-1&lt;=$L$2+$M$2+$N$2,IFERROR(INDEX(CLOZE_LIST!$A:$K,ROW()-1-$L$2-$M$2+1,4),""),IF(ROW()-1&lt;=$L$2+$M$2+$N$2+$O$2,IFERROR(INDEX(PROFORMA!$A:$K,ROW()-1-$L$2-$M$2-$N$2+1,4),""),"")))))</f>
        <v>0</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0</v>
      </c>
      <c r="G152" s="3">
        <f>IF(ROW()-1&lt;=0,"",IF(ROW()-1&lt;=$L$2,IFERROR(INDEX(MCQ!$A:$K,ROW()-1+1,7),""),IF(ROW()-1&lt;=$L$2+$M$2,IFERROR(INDEX(CLOZE_AB!$A:$K,ROW()-1-$L$2+1,7),""),IF(ROW()-1&lt;=$L$2+$M$2+$N$2,IFERROR(INDEX(CLOZE_LIST!$A:$K,ROW()-1-$L$2-$M$2+1,7),""),IF(ROW()-1&lt;=$L$2+$M$2+$N$2+$O$2,IFERROR(INDEX(PROFORMA!$A:$K,ROW()-1-$L$2-$M$2-$N$2+1,7),""),"")))))</f>
        <v>0</v>
      </c>
      <c r="H152" s="3">
        <f>IF(ROW()-1&lt;=0,"",IF(ROW()-1&lt;=$L$2,IFERROR(INDEX(MCQ!$A:$K,ROW()-1+1,8),""),IF(ROW()-1&lt;=$L$2+$M$2,IFERROR(INDEX(CLOZE_AB!$A:$K,ROW()-1-$L$2+1,8),""),IF(ROW()-1&lt;=$L$2+$M$2+$N$2,IFERROR(INDEX(CLOZE_LIST!$A:$K,ROW()-1-$L$2-$M$2+1,8),""),IF(ROW()-1&lt;=$L$2+$M$2+$N$2+$O$2,IFERROR(INDEX(PROFORMA!$A:$K,ROW()-1-$L$2-$M$2-$N$2+1,8),""),"")))))</f>
        <v>0</v>
      </c>
      <c r="I152" s="3">
        <f>IF(ROW()-1&lt;=0,"",IF(ROW()-1&lt;=$L$2,IFERROR(INDEX(MCQ!$A:$K,ROW()-1+1,9),""),IF(ROW()-1&lt;=$L$2+$M$2,IFERROR(INDEX(CLOZE_AB!$A:$K,ROW()-1-$L$2+1,9),""),IF(ROW()-1&lt;=$L$2+$M$2+$N$2,IFERROR(INDEX(CLOZE_LIST!$A:$K,ROW()-1-$L$2-$M$2+1,9),""),IF(ROW()-1&lt;=$L$2+$M$2+$N$2+$O$2,IFERROR(INDEX(PROFORMA!$A:$K,ROW()-1-$L$2-$M$2-$N$2+1,9),""),"")))))</f>
        <v>0</v>
      </c>
      <c r="J152" s="3">
        <f>IF(ROW()-1&lt;=0,"",IF(ROW()-1&lt;=$L$2,IFERROR(INDEX(MCQ!$A:$K,ROW()-1+1,10),""),IF(ROW()-1&lt;=$L$2+$M$2,IFERROR(INDEX(CLOZE_AB!$A:$K,ROW()-1-$L$2+1,10),""),IF(ROW()-1&lt;=$L$2+$M$2+$N$2,IFERROR(INDEX(CLOZE_LIST!$A:$K,ROW()-1-$L$2-$M$2+1,10),""),IF(ROW()-1&lt;=$L$2+$M$2+$N$2+$O$2,IFERROR(INDEX(PROFORMA!$A:$K,ROW()-1-$L$2-$M$2-$N$2+1,10),""),"")))))</f>
        <v>0</v>
      </c>
      <c r="K152" s="3">
        <f>IF(ROW()-1&lt;=0,"",IF(ROW()-1&lt;=$L$2,IFERROR(INDEX(MCQ!$A:$K,ROW()-1+1,11),""),IF(ROW()-1&lt;=$L$2+$M$2,IFERROR(INDEX(CLOZE_AB!$A:$K,ROW()-1-$L$2+1,11),""),IF(ROW()-1&lt;=$L$2+$M$2+$N$2,IFERROR(INDEX(CLOZE_LIST!$A:$K,ROW()-1-$L$2-$M$2+1,11),""),IF(ROW()-1&lt;=$L$2+$M$2+$N$2+$O$2,IFERROR(INDEX(PROFORMA!$A:$K,ROW()-1-$L$2-$M$2-$N$2+1,11),""),"")))))</f>
        <v>0</v>
      </c>
      <c r="L152" s="3">
        <f>COUNTA(MCQ!$A:$A)-1</f>
        <v>143</v>
      </c>
      <c r="M152" s="3">
        <f>COUNTA(CLOZE_AB!$A:$A)-1</f>
        <v>168</v>
      </c>
      <c r="N152" s="3">
        <f>COUNTA(CLOZE_LIST!$A:$A)-1</f>
        <v>199</v>
      </c>
      <c r="O152" s="3">
        <f>COUNTA(PROFORMA!$A:$A)-1</f>
        <v>199</v>
      </c>
    </row>
    <row r="153" spans="1:15" x14ac:dyDescent="0.3">
      <c r="A153" s="3" t="str">
        <f>IF(ROW()-1&lt;=0,"",IF(ROW()-1&lt;=$L$2,IFERROR(INDEX(MCQ!$A:$K,ROW()-1+1,1),""),IF(ROW()-1&lt;=$L$2+$M$2,IFERROR(INDEX(CLOZE_AB!$A:$K,ROW()-1-$L$2+1,1),""),IF(ROW()-1&lt;=$L$2+$M$2+$N$2,IFERROR(INDEX(CLOZE_LIST!$A:$K,ROW()-1-$L$2-$M$2+1,1),""),IF(ROW()-1&lt;=$L$2+$M$2+$N$2+$O$2,IFERROR(INDEX(PROFORMA!$A:$K,ROW()-1-$L$2-$M$2-$N$2+1,1),""),"")))))</f>
        <v/>
      </c>
      <c r="B153" s="3">
        <f>IF(ROW()-1&lt;=0,"",IF(ROW()-1&lt;=$L$2,IFERROR(INDEX(MCQ!$A:$K,ROW()-1+1,2),""),IF(ROW()-1&lt;=$L$2+$M$2,IFERROR(INDEX(CLOZE_AB!$A:$K,ROW()-1-$L$2+1,2),""),IF(ROW()-1&lt;=$L$2+$M$2+$N$2,IFERROR(INDEX(CLOZE_LIST!$A:$K,ROW()-1-$L$2-$M$2+1,2),""),IF(ROW()-1&lt;=$L$2+$M$2+$N$2+$O$2,IFERROR(INDEX(PROFORMA!$A:$K,ROW()-1-$L$2-$M$2-$N$2+1,2),""),"")))))</f>
        <v>0</v>
      </c>
      <c r="C153" s="3">
        <f>IF(ROW()-1&lt;=0,"",IF(ROW()-1&lt;=$L$2,IFERROR(INDEX(MCQ!$A:$K,ROW()-1+1,3),""),IF(ROW()-1&lt;=$L$2+$M$2,IFERROR(INDEX(CLOZE_AB!$A:$K,ROW()-1-$L$2+1,3),""),IF(ROW()-1&lt;=$L$2+$M$2+$N$2,IFERROR(INDEX(CLOZE_LIST!$A:$K,ROW()-1-$L$2-$M$2+1,3),""),IF(ROW()-1&lt;=$L$2+$M$2+$N$2+$O$2,IFERROR(INDEX(PROFORMA!$A:$K,ROW()-1-$L$2-$M$2-$N$2+1,3),""),"")))))</f>
        <v>0</v>
      </c>
      <c r="D153" s="3">
        <f>IF(ROW()-1&lt;=0,"",IF(ROW()-1&lt;=$L$2,IFERROR(INDEX(MCQ!$A:$K,ROW()-1+1,4),""),IF(ROW()-1&lt;=$L$2+$M$2,IFERROR(INDEX(CLOZE_AB!$A:$K,ROW()-1-$L$2+1,4),""),IF(ROW()-1&lt;=$L$2+$M$2+$N$2,IFERROR(INDEX(CLOZE_LIST!$A:$K,ROW()-1-$L$2-$M$2+1,4),""),IF(ROW()-1&lt;=$L$2+$M$2+$N$2+$O$2,IFERROR(INDEX(PROFORMA!$A:$K,ROW()-1-$L$2-$M$2-$N$2+1,4),""),"")))))</f>
        <v>0</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0</v>
      </c>
      <c r="G153" s="3">
        <f>IF(ROW()-1&lt;=0,"",IF(ROW()-1&lt;=$L$2,IFERROR(INDEX(MCQ!$A:$K,ROW()-1+1,7),""),IF(ROW()-1&lt;=$L$2+$M$2,IFERROR(INDEX(CLOZE_AB!$A:$K,ROW()-1-$L$2+1,7),""),IF(ROW()-1&lt;=$L$2+$M$2+$N$2,IFERROR(INDEX(CLOZE_LIST!$A:$K,ROW()-1-$L$2-$M$2+1,7),""),IF(ROW()-1&lt;=$L$2+$M$2+$N$2+$O$2,IFERROR(INDEX(PROFORMA!$A:$K,ROW()-1-$L$2-$M$2-$N$2+1,7),""),"")))))</f>
        <v>0</v>
      </c>
      <c r="H153" s="3">
        <f>IF(ROW()-1&lt;=0,"",IF(ROW()-1&lt;=$L$2,IFERROR(INDEX(MCQ!$A:$K,ROW()-1+1,8),""),IF(ROW()-1&lt;=$L$2+$M$2,IFERROR(INDEX(CLOZE_AB!$A:$K,ROW()-1-$L$2+1,8),""),IF(ROW()-1&lt;=$L$2+$M$2+$N$2,IFERROR(INDEX(CLOZE_LIST!$A:$K,ROW()-1-$L$2-$M$2+1,8),""),IF(ROW()-1&lt;=$L$2+$M$2+$N$2+$O$2,IFERROR(INDEX(PROFORMA!$A:$K,ROW()-1-$L$2-$M$2-$N$2+1,8),""),"")))))</f>
        <v>0</v>
      </c>
      <c r="I153" s="3">
        <f>IF(ROW()-1&lt;=0,"",IF(ROW()-1&lt;=$L$2,IFERROR(INDEX(MCQ!$A:$K,ROW()-1+1,9),""),IF(ROW()-1&lt;=$L$2+$M$2,IFERROR(INDEX(CLOZE_AB!$A:$K,ROW()-1-$L$2+1,9),""),IF(ROW()-1&lt;=$L$2+$M$2+$N$2,IFERROR(INDEX(CLOZE_LIST!$A:$K,ROW()-1-$L$2-$M$2+1,9),""),IF(ROW()-1&lt;=$L$2+$M$2+$N$2+$O$2,IFERROR(INDEX(PROFORMA!$A:$K,ROW()-1-$L$2-$M$2-$N$2+1,9),""),"")))))</f>
        <v>0</v>
      </c>
      <c r="J153" s="3">
        <f>IF(ROW()-1&lt;=0,"",IF(ROW()-1&lt;=$L$2,IFERROR(INDEX(MCQ!$A:$K,ROW()-1+1,10),""),IF(ROW()-1&lt;=$L$2+$M$2,IFERROR(INDEX(CLOZE_AB!$A:$K,ROW()-1-$L$2+1,10),""),IF(ROW()-1&lt;=$L$2+$M$2+$N$2,IFERROR(INDEX(CLOZE_LIST!$A:$K,ROW()-1-$L$2-$M$2+1,10),""),IF(ROW()-1&lt;=$L$2+$M$2+$N$2+$O$2,IFERROR(INDEX(PROFORMA!$A:$K,ROW()-1-$L$2-$M$2-$N$2+1,10),""),"")))))</f>
        <v>0</v>
      </c>
      <c r="K153" s="3">
        <f>IF(ROW()-1&lt;=0,"",IF(ROW()-1&lt;=$L$2,IFERROR(INDEX(MCQ!$A:$K,ROW()-1+1,11),""),IF(ROW()-1&lt;=$L$2+$M$2,IFERROR(INDEX(CLOZE_AB!$A:$K,ROW()-1-$L$2+1,11),""),IF(ROW()-1&lt;=$L$2+$M$2+$N$2,IFERROR(INDEX(CLOZE_LIST!$A:$K,ROW()-1-$L$2-$M$2+1,11),""),IF(ROW()-1&lt;=$L$2+$M$2+$N$2+$O$2,IFERROR(INDEX(PROFORMA!$A:$K,ROW()-1-$L$2-$M$2-$N$2+1,11),""),"")))))</f>
        <v>0</v>
      </c>
      <c r="L153" s="3">
        <f>COUNTA(MCQ!$A:$A)-1</f>
        <v>143</v>
      </c>
      <c r="M153" s="3">
        <f>COUNTA(CLOZE_AB!$A:$A)-1</f>
        <v>168</v>
      </c>
      <c r="N153" s="3">
        <f>COUNTA(CLOZE_LIST!$A:$A)-1</f>
        <v>199</v>
      </c>
      <c r="O153" s="3">
        <f>COUNTA(PROFORMA!$A:$A)-1</f>
        <v>199</v>
      </c>
    </row>
    <row r="154" spans="1:15" x14ac:dyDescent="0.3">
      <c r="A154" s="3" t="str">
        <f>IF(ROW()-1&lt;=0,"",IF(ROW()-1&lt;=$L$2,IFERROR(INDEX(MCQ!$A:$K,ROW()-1+1,1),""),IF(ROW()-1&lt;=$L$2+$M$2,IFERROR(INDEX(CLOZE_AB!$A:$K,ROW()-1-$L$2+1,1),""),IF(ROW()-1&lt;=$L$2+$M$2+$N$2,IFERROR(INDEX(CLOZE_LIST!$A:$K,ROW()-1-$L$2-$M$2+1,1),""),IF(ROW()-1&lt;=$L$2+$M$2+$N$2+$O$2,IFERROR(INDEX(PROFORMA!$A:$K,ROW()-1-$L$2-$M$2-$N$2+1,1),""),"")))))</f>
        <v/>
      </c>
      <c r="B154" s="3">
        <f>IF(ROW()-1&lt;=0,"",IF(ROW()-1&lt;=$L$2,IFERROR(INDEX(MCQ!$A:$K,ROW()-1+1,2),""),IF(ROW()-1&lt;=$L$2+$M$2,IFERROR(INDEX(CLOZE_AB!$A:$K,ROW()-1-$L$2+1,2),""),IF(ROW()-1&lt;=$L$2+$M$2+$N$2,IFERROR(INDEX(CLOZE_LIST!$A:$K,ROW()-1-$L$2-$M$2+1,2),""),IF(ROW()-1&lt;=$L$2+$M$2+$N$2+$O$2,IFERROR(INDEX(PROFORMA!$A:$K,ROW()-1-$L$2-$M$2-$N$2+1,2),""),"")))))</f>
        <v>0</v>
      </c>
      <c r="C154" s="3">
        <f>IF(ROW()-1&lt;=0,"",IF(ROW()-1&lt;=$L$2,IFERROR(INDEX(MCQ!$A:$K,ROW()-1+1,3),""),IF(ROW()-1&lt;=$L$2+$M$2,IFERROR(INDEX(CLOZE_AB!$A:$K,ROW()-1-$L$2+1,3),""),IF(ROW()-1&lt;=$L$2+$M$2+$N$2,IFERROR(INDEX(CLOZE_LIST!$A:$K,ROW()-1-$L$2-$M$2+1,3),""),IF(ROW()-1&lt;=$L$2+$M$2+$N$2+$O$2,IFERROR(INDEX(PROFORMA!$A:$K,ROW()-1-$L$2-$M$2-$N$2+1,3),""),"")))))</f>
        <v>0</v>
      </c>
      <c r="D154" s="3">
        <f>IF(ROW()-1&lt;=0,"",IF(ROW()-1&lt;=$L$2,IFERROR(INDEX(MCQ!$A:$K,ROW()-1+1,4),""),IF(ROW()-1&lt;=$L$2+$M$2,IFERROR(INDEX(CLOZE_AB!$A:$K,ROW()-1-$L$2+1,4),""),IF(ROW()-1&lt;=$L$2+$M$2+$N$2,IFERROR(INDEX(CLOZE_LIST!$A:$K,ROW()-1-$L$2-$M$2+1,4),""),IF(ROW()-1&lt;=$L$2+$M$2+$N$2+$O$2,IFERROR(INDEX(PROFORMA!$A:$K,ROW()-1-$L$2-$M$2-$N$2+1,4),""),"")))))</f>
        <v>0</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0</v>
      </c>
      <c r="G154" s="3">
        <f>IF(ROW()-1&lt;=0,"",IF(ROW()-1&lt;=$L$2,IFERROR(INDEX(MCQ!$A:$K,ROW()-1+1,7),""),IF(ROW()-1&lt;=$L$2+$M$2,IFERROR(INDEX(CLOZE_AB!$A:$K,ROW()-1-$L$2+1,7),""),IF(ROW()-1&lt;=$L$2+$M$2+$N$2,IFERROR(INDEX(CLOZE_LIST!$A:$K,ROW()-1-$L$2-$M$2+1,7),""),IF(ROW()-1&lt;=$L$2+$M$2+$N$2+$O$2,IFERROR(INDEX(PROFORMA!$A:$K,ROW()-1-$L$2-$M$2-$N$2+1,7),""),"")))))</f>
        <v>0</v>
      </c>
      <c r="H154" s="3">
        <f>IF(ROW()-1&lt;=0,"",IF(ROW()-1&lt;=$L$2,IFERROR(INDEX(MCQ!$A:$K,ROW()-1+1,8),""),IF(ROW()-1&lt;=$L$2+$M$2,IFERROR(INDEX(CLOZE_AB!$A:$K,ROW()-1-$L$2+1,8),""),IF(ROW()-1&lt;=$L$2+$M$2+$N$2,IFERROR(INDEX(CLOZE_LIST!$A:$K,ROW()-1-$L$2-$M$2+1,8),""),IF(ROW()-1&lt;=$L$2+$M$2+$N$2+$O$2,IFERROR(INDEX(PROFORMA!$A:$K,ROW()-1-$L$2-$M$2-$N$2+1,8),""),"")))))</f>
        <v>0</v>
      </c>
      <c r="I154" s="3">
        <f>IF(ROW()-1&lt;=0,"",IF(ROW()-1&lt;=$L$2,IFERROR(INDEX(MCQ!$A:$K,ROW()-1+1,9),""),IF(ROW()-1&lt;=$L$2+$M$2,IFERROR(INDEX(CLOZE_AB!$A:$K,ROW()-1-$L$2+1,9),""),IF(ROW()-1&lt;=$L$2+$M$2+$N$2,IFERROR(INDEX(CLOZE_LIST!$A:$K,ROW()-1-$L$2-$M$2+1,9),""),IF(ROW()-1&lt;=$L$2+$M$2+$N$2+$O$2,IFERROR(INDEX(PROFORMA!$A:$K,ROW()-1-$L$2-$M$2-$N$2+1,9),""),"")))))</f>
        <v>0</v>
      </c>
      <c r="J154" s="3">
        <f>IF(ROW()-1&lt;=0,"",IF(ROW()-1&lt;=$L$2,IFERROR(INDEX(MCQ!$A:$K,ROW()-1+1,10),""),IF(ROW()-1&lt;=$L$2+$M$2,IFERROR(INDEX(CLOZE_AB!$A:$K,ROW()-1-$L$2+1,10),""),IF(ROW()-1&lt;=$L$2+$M$2+$N$2,IFERROR(INDEX(CLOZE_LIST!$A:$K,ROW()-1-$L$2-$M$2+1,10),""),IF(ROW()-1&lt;=$L$2+$M$2+$N$2+$O$2,IFERROR(INDEX(PROFORMA!$A:$K,ROW()-1-$L$2-$M$2-$N$2+1,10),""),"")))))</f>
        <v>0</v>
      </c>
      <c r="K154" s="3">
        <f>IF(ROW()-1&lt;=0,"",IF(ROW()-1&lt;=$L$2,IFERROR(INDEX(MCQ!$A:$K,ROW()-1+1,11),""),IF(ROW()-1&lt;=$L$2+$M$2,IFERROR(INDEX(CLOZE_AB!$A:$K,ROW()-1-$L$2+1,11),""),IF(ROW()-1&lt;=$L$2+$M$2+$N$2,IFERROR(INDEX(CLOZE_LIST!$A:$K,ROW()-1-$L$2-$M$2+1,11),""),IF(ROW()-1&lt;=$L$2+$M$2+$N$2+$O$2,IFERROR(INDEX(PROFORMA!$A:$K,ROW()-1-$L$2-$M$2-$N$2+1,11),""),"")))))</f>
        <v>0</v>
      </c>
      <c r="L154" s="3">
        <f>COUNTA(MCQ!$A:$A)-1</f>
        <v>143</v>
      </c>
      <c r="M154" s="3">
        <f>COUNTA(CLOZE_AB!$A:$A)-1</f>
        <v>168</v>
      </c>
      <c r="N154" s="3">
        <f>COUNTA(CLOZE_LIST!$A:$A)-1</f>
        <v>199</v>
      </c>
      <c r="O154" s="3">
        <f>COUNTA(PROFORMA!$A:$A)-1</f>
        <v>199</v>
      </c>
    </row>
    <row r="155" spans="1:15" x14ac:dyDescent="0.3">
      <c r="A155" s="3" t="str">
        <f>IF(ROW()-1&lt;=0,"",IF(ROW()-1&lt;=$L$2,IFERROR(INDEX(MCQ!$A:$K,ROW()-1+1,1),""),IF(ROW()-1&lt;=$L$2+$M$2,IFERROR(INDEX(CLOZE_AB!$A:$K,ROW()-1-$L$2+1,1),""),IF(ROW()-1&lt;=$L$2+$M$2+$N$2,IFERROR(INDEX(CLOZE_LIST!$A:$K,ROW()-1-$L$2-$M$2+1,1),""),IF(ROW()-1&lt;=$L$2+$M$2+$N$2+$O$2,IFERROR(INDEX(PROFORMA!$A:$K,ROW()-1-$L$2-$M$2-$N$2+1,1),""),"")))))</f>
        <v/>
      </c>
      <c r="B155" s="3">
        <f>IF(ROW()-1&lt;=0,"",IF(ROW()-1&lt;=$L$2,IFERROR(INDEX(MCQ!$A:$K,ROW()-1+1,2),""),IF(ROW()-1&lt;=$L$2+$M$2,IFERROR(INDEX(CLOZE_AB!$A:$K,ROW()-1-$L$2+1,2),""),IF(ROW()-1&lt;=$L$2+$M$2+$N$2,IFERROR(INDEX(CLOZE_LIST!$A:$K,ROW()-1-$L$2-$M$2+1,2),""),IF(ROW()-1&lt;=$L$2+$M$2+$N$2+$O$2,IFERROR(INDEX(PROFORMA!$A:$K,ROW()-1-$L$2-$M$2-$N$2+1,2),""),"")))))</f>
        <v>0</v>
      </c>
      <c r="C155" s="3">
        <f>IF(ROW()-1&lt;=0,"",IF(ROW()-1&lt;=$L$2,IFERROR(INDEX(MCQ!$A:$K,ROW()-1+1,3),""),IF(ROW()-1&lt;=$L$2+$M$2,IFERROR(INDEX(CLOZE_AB!$A:$K,ROW()-1-$L$2+1,3),""),IF(ROW()-1&lt;=$L$2+$M$2+$N$2,IFERROR(INDEX(CLOZE_LIST!$A:$K,ROW()-1-$L$2-$M$2+1,3),""),IF(ROW()-1&lt;=$L$2+$M$2+$N$2+$O$2,IFERROR(INDEX(PROFORMA!$A:$K,ROW()-1-$L$2-$M$2-$N$2+1,3),""),"")))))</f>
        <v>0</v>
      </c>
      <c r="D155" s="3">
        <f>IF(ROW()-1&lt;=0,"",IF(ROW()-1&lt;=$L$2,IFERROR(INDEX(MCQ!$A:$K,ROW()-1+1,4),""),IF(ROW()-1&lt;=$L$2+$M$2,IFERROR(INDEX(CLOZE_AB!$A:$K,ROW()-1-$L$2+1,4),""),IF(ROW()-1&lt;=$L$2+$M$2+$N$2,IFERROR(INDEX(CLOZE_LIST!$A:$K,ROW()-1-$L$2-$M$2+1,4),""),IF(ROW()-1&lt;=$L$2+$M$2+$N$2+$O$2,IFERROR(INDEX(PROFORMA!$A:$K,ROW()-1-$L$2-$M$2-$N$2+1,4),""),"")))))</f>
        <v>0</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0</v>
      </c>
      <c r="G155" s="3">
        <f>IF(ROW()-1&lt;=0,"",IF(ROW()-1&lt;=$L$2,IFERROR(INDEX(MCQ!$A:$K,ROW()-1+1,7),""),IF(ROW()-1&lt;=$L$2+$M$2,IFERROR(INDEX(CLOZE_AB!$A:$K,ROW()-1-$L$2+1,7),""),IF(ROW()-1&lt;=$L$2+$M$2+$N$2,IFERROR(INDEX(CLOZE_LIST!$A:$K,ROW()-1-$L$2-$M$2+1,7),""),IF(ROW()-1&lt;=$L$2+$M$2+$N$2+$O$2,IFERROR(INDEX(PROFORMA!$A:$K,ROW()-1-$L$2-$M$2-$N$2+1,7),""),"")))))</f>
        <v>0</v>
      </c>
      <c r="H155" s="3">
        <f>IF(ROW()-1&lt;=0,"",IF(ROW()-1&lt;=$L$2,IFERROR(INDEX(MCQ!$A:$K,ROW()-1+1,8),""),IF(ROW()-1&lt;=$L$2+$M$2,IFERROR(INDEX(CLOZE_AB!$A:$K,ROW()-1-$L$2+1,8),""),IF(ROW()-1&lt;=$L$2+$M$2+$N$2,IFERROR(INDEX(CLOZE_LIST!$A:$K,ROW()-1-$L$2-$M$2+1,8),""),IF(ROW()-1&lt;=$L$2+$M$2+$N$2+$O$2,IFERROR(INDEX(PROFORMA!$A:$K,ROW()-1-$L$2-$M$2-$N$2+1,8),""),"")))))</f>
        <v>0</v>
      </c>
      <c r="I155" s="3">
        <f>IF(ROW()-1&lt;=0,"",IF(ROW()-1&lt;=$L$2,IFERROR(INDEX(MCQ!$A:$K,ROW()-1+1,9),""),IF(ROW()-1&lt;=$L$2+$M$2,IFERROR(INDEX(CLOZE_AB!$A:$K,ROW()-1-$L$2+1,9),""),IF(ROW()-1&lt;=$L$2+$M$2+$N$2,IFERROR(INDEX(CLOZE_LIST!$A:$K,ROW()-1-$L$2-$M$2+1,9),""),IF(ROW()-1&lt;=$L$2+$M$2+$N$2+$O$2,IFERROR(INDEX(PROFORMA!$A:$K,ROW()-1-$L$2-$M$2-$N$2+1,9),""),"")))))</f>
        <v>0</v>
      </c>
      <c r="J155" s="3">
        <f>IF(ROW()-1&lt;=0,"",IF(ROW()-1&lt;=$L$2,IFERROR(INDEX(MCQ!$A:$K,ROW()-1+1,10),""),IF(ROW()-1&lt;=$L$2+$M$2,IFERROR(INDEX(CLOZE_AB!$A:$K,ROW()-1-$L$2+1,10),""),IF(ROW()-1&lt;=$L$2+$M$2+$N$2,IFERROR(INDEX(CLOZE_LIST!$A:$K,ROW()-1-$L$2-$M$2+1,10),""),IF(ROW()-1&lt;=$L$2+$M$2+$N$2+$O$2,IFERROR(INDEX(PROFORMA!$A:$K,ROW()-1-$L$2-$M$2-$N$2+1,10),""),"")))))</f>
        <v>0</v>
      </c>
      <c r="K155" s="3">
        <f>IF(ROW()-1&lt;=0,"",IF(ROW()-1&lt;=$L$2,IFERROR(INDEX(MCQ!$A:$K,ROW()-1+1,11),""),IF(ROW()-1&lt;=$L$2+$M$2,IFERROR(INDEX(CLOZE_AB!$A:$K,ROW()-1-$L$2+1,11),""),IF(ROW()-1&lt;=$L$2+$M$2+$N$2,IFERROR(INDEX(CLOZE_LIST!$A:$K,ROW()-1-$L$2-$M$2+1,11),""),IF(ROW()-1&lt;=$L$2+$M$2+$N$2+$O$2,IFERROR(INDEX(PROFORMA!$A:$K,ROW()-1-$L$2-$M$2-$N$2+1,11),""),"")))))</f>
        <v>0</v>
      </c>
      <c r="L155" s="3">
        <f>COUNTA(MCQ!$A:$A)-1</f>
        <v>143</v>
      </c>
      <c r="M155" s="3">
        <f>COUNTA(CLOZE_AB!$A:$A)-1</f>
        <v>168</v>
      </c>
      <c r="N155" s="3">
        <f>COUNTA(CLOZE_LIST!$A:$A)-1</f>
        <v>199</v>
      </c>
      <c r="O155" s="3">
        <f>COUNTA(PROFORMA!$A:$A)-1</f>
        <v>199</v>
      </c>
    </row>
    <row r="156" spans="1:15" x14ac:dyDescent="0.3">
      <c r="A156" s="3" t="str">
        <f>IF(ROW()-1&lt;=0,"",IF(ROW()-1&lt;=$L$2,IFERROR(INDEX(MCQ!$A:$K,ROW()-1+1,1),""),IF(ROW()-1&lt;=$L$2+$M$2,IFERROR(INDEX(CLOZE_AB!$A:$K,ROW()-1-$L$2+1,1),""),IF(ROW()-1&lt;=$L$2+$M$2+$N$2,IFERROR(INDEX(CLOZE_LIST!$A:$K,ROW()-1-$L$2-$M$2+1,1),""),IF(ROW()-1&lt;=$L$2+$M$2+$N$2+$O$2,IFERROR(INDEX(PROFORMA!$A:$K,ROW()-1-$L$2-$M$2-$N$2+1,1),""),"")))))</f>
        <v/>
      </c>
      <c r="B156" s="3">
        <f>IF(ROW()-1&lt;=0,"",IF(ROW()-1&lt;=$L$2,IFERROR(INDEX(MCQ!$A:$K,ROW()-1+1,2),""),IF(ROW()-1&lt;=$L$2+$M$2,IFERROR(INDEX(CLOZE_AB!$A:$K,ROW()-1-$L$2+1,2),""),IF(ROW()-1&lt;=$L$2+$M$2+$N$2,IFERROR(INDEX(CLOZE_LIST!$A:$K,ROW()-1-$L$2-$M$2+1,2),""),IF(ROW()-1&lt;=$L$2+$M$2+$N$2+$O$2,IFERROR(INDEX(PROFORMA!$A:$K,ROW()-1-$L$2-$M$2-$N$2+1,2),""),"")))))</f>
        <v>0</v>
      </c>
      <c r="C156" s="3">
        <f>IF(ROW()-1&lt;=0,"",IF(ROW()-1&lt;=$L$2,IFERROR(INDEX(MCQ!$A:$K,ROW()-1+1,3),""),IF(ROW()-1&lt;=$L$2+$M$2,IFERROR(INDEX(CLOZE_AB!$A:$K,ROW()-1-$L$2+1,3),""),IF(ROW()-1&lt;=$L$2+$M$2+$N$2,IFERROR(INDEX(CLOZE_LIST!$A:$K,ROW()-1-$L$2-$M$2+1,3),""),IF(ROW()-1&lt;=$L$2+$M$2+$N$2+$O$2,IFERROR(INDEX(PROFORMA!$A:$K,ROW()-1-$L$2-$M$2-$N$2+1,3),""),"")))))</f>
        <v>0</v>
      </c>
      <c r="D156" s="3">
        <f>IF(ROW()-1&lt;=0,"",IF(ROW()-1&lt;=$L$2,IFERROR(INDEX(MCQ!$A:$K,ROW()-1+1,4),""),IF(ROW()-1&lt;=$L$2+$M$2,IFERROR(INDEX(CLOZE_AB!$A:$K,ROW()-1-$L$2+1,4),""),IF(ROW()-1&lt;=$L$2+$M$2+$N$2,IFERROR(INDEX(CLOZE_LIST!$A:$K,ROW()-1-$L$2-$M$2+1,4),""),IF(ROW()-1&lt;=$L$2+$M$2+$N$2+$O$2,IFERROR(INDEX(PROFORMA!$A:$K,ROW()-1-$L$2-$M$2-$N$2+1,4),""),"")))))</f>
        <v>0</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0</v>
      </c>
      <c r="G156" s="3">
        <f>IF(ROW()-1&lt;=0,"",IF(ROW()-1&lt;=$L$2,IFERROR(INDEX(MCQ!$A:$K,ROW()-1+1,7),""),IF(ROW()-1&lt;=$L$2+$M$2,IFERROR(INDEX(CLOZE_AB!$A:$K,ROW()-1-$L$2+1,7),""),IF(ROW()-1&lt;=$L$2+$M$2+$N$2,IFERROR(INDEX(CLOZE_LIST!$A:$K,ROW()-1-$L$2-$M$2+1,7),""),IF(ROW()-1&lt;=$L$2+$M$2+$N$2+$O$2,IFERROR(INDEX(PROFORMA!$A:$K,ROW()-1-$L$2-$M$2-$N$2+1,7),""),"")))))</f>
        <v>0</v>
      </c>
      <c r="H156" s="3">
        <f>IF(ROW()-1&lt;=0,"",IF(ROW()-1&lt;=$L$2,IFERROR(INDEX(MCQ!$A:$K,ROW()-1+1,8),""),IF(ROW()-1&lt;=$L$2+$M$2,IFERROR(INDEX(CLOZE_AB!$A:$K,ROW()-1-$L$2+1,8),""),IF(ROW()-1&lt;=$L$2+$M$2+$N$2,IFERROR(INDEX(CLOZE_LIST!$A:$K,ROW()-1-$L$2-$M$2+1,8),""),IF(ROW()-1&lt;=$L$2+$M$2+$N$2+$O$2,IFERROR(INDEX(PROFORMA!$A:$K,ROW()-1-$L$2-$M$2-$N$2+1,8),""),"")))))</f>
        <v>0</v>
      </c>
      <c r="I156" s="3">
        <f>IF(ROW()-1&lt;=0,"",IF(ROW()-1&lt;=$L$2,IFERROR(INDEX(MCQ!$A:$K,ROW()-1+1,9),""),IF(ROW()-1&lt;=$L$2+$M$2,IFERROR(INDEX(CLOZE_AB!$A:$K,ROW()-1-$L$2+1,9),""),IF(ROW()-1&lt;=$L$2+$M$2+$N$2,IFERROR(INDEX(CLOZE_LIST!$A:$K,ROW()-1-$L$2-$M$2+1,9),""),IF(ROW()-1&lt;=$L$2+$M$2+$N$2+$O$2,IFERROR(INDEX(PROFORMA!$A:$K,ROW()-1-$L$2-$M$2-$N$2+1,9),""),"")))))</f>
        <v>0</v>
      </c>
      <c r="J156" s="3">
        <f>IF(ROW()-1&lt;=0,"",IF(ROW()-1&lt;=$L$2,IFERROR(INDEX(MCQ!$A:$K,ROW()-1+1,10),""),IF(ROW()-1&lt;=$L$2+$M$2,IFERROR(INDEX(CLOZE_AB!$A:$K,ROW()-1-$L$2+1,10),""),IF(ROW()-1&lt;=$L$2+$M$2+$N$2,IFERROR(INDEX(CLOZE_LIST!$A:$K,ROW()-1-$L$2-$M$2+1,10),""),IF(ROW()-1&lt;=$L$2+$M$2+$N$2+$O$2,IFERROR(INDEX(PROFORMA!$A:$K,ROW()-1-$L$2-$M$2-$N$2+1,10),""),"")))))</f>
        <v>0</v>
      </c>
      <c r="K156" s="3">
        <f>IF(ROW()-1&lt;=0,"",IF(ROW()-1&lt;=$L$2,IFERROR(INDEX(MCQ!$A:$K,ROW()-1+1,11),""),IF(ROW()-1&lt;=$L$2+$M$2,IFERROR(INDEX(CLOZE_AB!$A:$K,ROW()-1-$L$2+1,11),""),IF(ROW()-1&lt;=$L$2+$M$2+$N$2,IFERROR(INDEX(CLOZE_LIST!$A:$K,ROW()-1-$L$2-$M$2+1,11),""),IF(ROW()-1&lt;=$L$2+$M$2+$N$2+$O$2,IFERROR(INDEX(PROFORMA!$A:$K,ROW()-1-$L$2-$M$2-$N$2+1,11),""),"")))))</f>
        <v>0</v>
      </c>
      <c r="L156" s="3">
        <f>COUNTA(MCQ!$A:$A)-1</f>
        <v>143</v>
      </c>
      <c r="M156" s="3">
        <f>COUNTA(CLOZE_AB!$A:$A)-1</f>
        <v>168</v>
      </c>
      <c r="N156" s="3">
        <f>COUNTA(CLOZE_LIST!$A:$A)-1</f>
        <v>199</v>
      </c>
      <c r="O156" s="3">
        <f>COUNTA(PROFORMA!$A:$A)-1</f>
        <v>199</v>
      </c>
    </row>
    <row r="157" spans="1:15" x14ac:dyDescent="0.3">
      <c r="A157" s="3" t="str">
        <f>IF(ROW()-1&lt;=0,"",IF(ROW()-1&lt;=$L$2,IFERROR(INDEX(MCQ!$A:$K,ROW()-1+1,1),""),IF(ROW()-1&lt;=$L$2+$M$2,IFERROR(INDEX(CLOZE_AB!$A:$K,ROW()-1-$L$2+1,1),""),IF(ROW()-1&lt;=$L$2+$M$2+$N$2,IFERROR(INDEX(CLOZE_LIST!$A:$K,ROW()-1-$L$2-$M$2+1,1),""),IF(ROW()-1&lt;=$L$2+$M$2+$N$2+$O$2,IFERROR(INDEX(PROFORMA!$A:$K,ROW()-1-$L$2-$M$2-$N$2+1,1),""),"")))))</f>
        <v/>
      </c>
      <c r="B157" s="3">
        <f>IF(ROW()-1&lt;=0,"",IF(ROW()-1&lt;=$L$2,IFERROR(INDEX(MCQ!$A:$K,ROW()-1+1,2),""),IF(ROW()-1&lt;=$L$2+$M$2,IFERROR(INDEX(CLOZE_AB!$A:$K,ROW()-1-$L$2+1,2),""),IF(ROW()-1&lt;=$L$2+$M$2+$N$2,IFERROR(INDEX(CLOZE_LIST!$A:$K,ROW()-1-$L$2-$M$2+1,2),""),IF(ROW()-1&lt;=$L$2+$M$2+$N$2+$O$2,IFERROR(INDEX(PROFORMA!$A:$K,ROW()-1-$L$2-$M$2-$N$2+1,2),""),"")))))</f>
        <v>0</v>
      </c>
      <c r="C157" s="3">
        <f>IF(ROW()-1&lt;=0,"",IF(ROW()-1&lt;=$L$2,IFERROR(INDEX(MCQ!$A:$K,ROW()-1+1,3),""),IF(ROW()-1&lt;=$L$2+$M$2,IFERROR(INDEX(CLOZE_AB!$A:$K,ROW()-1-$L$2+1,3),""),IF(ROW()-1&lt;=$L$2+$M$2+$N$2,IFERROR(INDEX(CLOZE_LIST!$A:$K,ROW()-1-$L$2-$M$2+1,3),""),IF(ROW()-1&lt;=$L$2+$M$2+$N$2+$O$2,IFERROR(INDEX(PROFORMA!$A:$K,ROW()-1-$L$2-$M$2-$N$2+1,3),""),"")))))</f>
        <v>0</v>
      </c>
      <c r="D157" s="3">
        <f>IF(ROW()-1&lt;=0,"",IF(ROW()-1&lt;=$L$2,IFERROR(INDEX(MCQ!$A:$K,ROW()-1+1,4),""),IF(ROW()-1&lt;=$L$2+$M$2,IFERROR(INDEX(CLOZE_AB!$A:$K,ROW()-1-$L$2+1,4),""),IF(ROW()-1&lt;=$L$2+$M$2+$N$2,IFERROR(INDEX(CLOZE_LIST!$A:$K,ROW()-1-$L$2-$M$2+1,4),""),IF(ROW()-1&lt;=$L$2+$M$2+$N$2+$O$2,IFERROR(INDEX(PROFORMA!$A:$K,ROW()-1-$L$2-$M$2-$N$2+1,4),""),"")))))</f>
        <v>0</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0</v>
      </c>
      <c r="G157" s="3">
        <f>IF(ROW()-1&lt;=0,"",IF(ROW()-1&lt;=$L$2,IFERROR(INDEX(MCQ!$A:$K,ROW()-1+1,7),""),IF(ROW()-1&lt;=$L$2+$M$2,IFERROR(INDEX(CLOZE_AB!$A:$K,ROW()-1-$L$2+1,7),""),IF(ROW()-1&lt;=$L$2+$M$2+$N$2,IFERROR(INDEX(CLOZE_LIST!$A:$K,ROW()-1-$L$2-$M$2+1,7),""),IF(ROW()-1&lt;=$L$2+$M$2+$N$2+$O$2,IFERROR(INDEX(PROFORMA!$A:$K,ROW()-1-$L$2-$M$2-$N$2+1,7),""),"")))))</f>
        <v>0</v>
      </c>
      <c r="H157" s="3">
        <f>IF(ROW()-1&lt;=0,"",IF(ROW()-1&lt;=$L$2,IFERROR(INDEX(MCQ!$A:$K,ROW()-1+1,8),""),IF(ROW()-1&lt;=$L$2+$M$2,IFERROR(INDEX(CLOZE_AB!$A:$K,ROW()-1-$L$2+1,8),""),IF(ROW()-1&lt;=$L$2+$M$2+$N$2,IFERROR(INDEX(CLOZE_LIST!$A:$K,ROW()-1-$L$2-$M$2+1,8),""),IF(ROW()-1&lt;=$L$2+$M$2+$N$2+$O$2,IFERROR(INDEX(PROFORMA!$A:$K,ROW()-1-$L$2-$M$2-$N$2+1,8),""),"")))))</f>
        <v>0</v>
      </c>
      <c r="I157" s="3">
        <f>IF(ROW()-1&lt;=0,"",IF(ROW()-1&lt;=$L$2,IFERROR(INDEX(MCQ!$A:$K,ROW()-1+1,9),""),IF(ROW()-1&lt;=$L$2+$M$2,IFERROR(INDEX(CLOZE_AB!$A:$K,ROW()-1-$L$2+1,9),""),IF(ROW()-1&lt;=$L$2+$M$2+$N$2,IFERROR(INDEX(CLOZE_LIST!$A:$K,ROW()-1-$L$2-$M$2+1,9),""),IF(ROW()-1&lt;=$L$2+$M$2+$N$2+$O$2,IFERROR(INDEX(PROFORMA!$A:$K,ROW()-1-$L$2-$M$2-$N$2+1,9),""),"")))))</f>
        <v>0</v>
      </c>
      <c r="J157" s="3">
        <f>IF(ROW()-1&lt;=0,"",IF(ROW()-1&lt;=$L$2,IFERROR(INDEX(MCQ!$A:$K,ROW()-1+1,10),""),IF(ROW()-1&lt;=$L$2+$M$2,IFERROR(INDEX(CLOZE_AB!$A:$K,ROW()-1-$L$2+1,10),""),IF(ROW()-1&lt;=$L$2+$M$2+$N$2,IFERROR(INDEX(CLOZE_LIST!$A:$K,ROW()-1-$L$2-$M$2+1,10),""),IF(ROW()-1&lt;=$L$2+$M$2+$N$2+$O$2,IFERROR(INDEX(PROFORMA!$A:$K,ROW()-1-$L$2-$M$2-$N$2+1,10),""),"")))))</f>
        <v>0</v>
      </c>
      <c r="K157" s="3">
        <f>IF(ROW()-1&lt;=0,"",IF(ROW()-1&lt;=$L$2,IFERROR(INDEX(MCQ!$A:$K,ROW()-1+1,11),""),IF(ROW()-1&lt;=$L$2+$M$2,IFERROR(INDEX(CLOZE_AB!$A:$K,ROW()-1-$L$2+1,11),""),IF(ROW()-1&lt;=$L$2+$M$2+$N$2,IFERROR(INDEX(CLOZE_LIST!$A:$K,ROW()-1-$L$2-$M$2+1,11),""),IF(ROW()-1&lt;=$L$2+$M$2+$N$2+$O$2,IFERROR(INDEX(PROFORMA!$A:$K,ROW()-1-$L$2-$M$2-$N$2+1,11),""),"")))))</f>
        <v>0</v>
      </c>
      <c r="L157" s="3">
        <f>COUNTA(MCQ!$A:$A)-1</f>
        <v>143</v>
      </c>
      <c r="M157" s="3">
        <f>COUNTA(CLOZE_AB!$A:$A)-1</f>
        <v>168</v>
      </c>
      <c r="N157" s="3">
        <f>COUNTA(CLOZE_LIST!$A:$A)-1</f>
        <v>199</v>
      </c>
      <c r="O157" s="3">
        <f>COUNTA(PROFORMA!$A:$A)-1</f>
        <v>199</v>
      </c>
    </row>
    <row r="158" spans="1:15" x14ac:dyDescent="0.3">
      <c r="A158" s="3" t="str">
        <f>IF(ROW()-1&lt;=0,"",IF(ROW()-1&lt;=$L$2,IFERROR(INDEX(MCQ!$A:$K,ROW()-1+1,1),""),IF(ROW()-1&lt;=$L$2+$M$2,IFERROR(INDEX(CLOZE_AB!$A:$K,ROW()-1-$L$2+1,1),""),IF(ROW()-1&lt;=$L$2+$M$2+$N$2,IFERROR(INDEX(CLOZE_LIST!$A:$K,ROW()-1-$L$2-$M$2+1,1),""),IF(ROW()-1&lt;=$L$2+$M$2+$N$2+$O$2,IFERROR(INDEX(PROFORMA!$A:$K,ROW()-1-$L$2-$M$2-$N$2+1,1),""),"")))))</f>
        <v/>
      </c>
      <c r="B158" s="3">
        <f>IF(ROW()-1&lt;=0,"",IF(ROW()-1&lt;=$L$2,IFERROR(INDEX(MCQ!$A:$K,ROW()-1+1,2),""),IF(ROW()-1&lt;=$L$2+$M$2,IFERROR(INDEX(CLOZE_AB!$A:$K,ROW()-1-$L$2+1,2),""),IF(ROW()-1&lt;=$L$2+$M$2+$N$2,IFERROR(INDEX(CLOZE_LIST!$A:$K,ROW()-1-$L$2-$M$2+1,2),""),IF(ROW()-1&lt;=$L$2+$M$2+$N$2+$O$2,IFERROR(INDEX(PROFORMA!$A:$K,ROW()-1-$L$2-$M$2-$N$2+1,2),""),"")))))</f>
        <v>0</v>
      </c>
      <c r="C158" s="3">
        <f>IF(ROW()-1&lt;=0,"",IF(ROW()-1&lt;=$L$2,IFERROR(INDEX(MCQ!$A:$K,ROW()-1+1,3),""),IF(ROW()-1&lt;=$L$2+$M$2,IFERROR(INDEX(CLOZE_AB!$A:$K,ROW()-1-$L$2+1,3),""),IF(ROW()-1&lt;=$L$2+$M$2+$N$2,IFERROR(INDEX(CLOZE_LIST!$A:$K,ROW()-1-$L$2-$M$2+1,3),""),IF(ROW()-1&lt;=$L$2+$M$2+$N$2+$O$2,IFERROR(INDEX(PROFORMA!$A:$K,ROW()-1-$L$2-$M$2-$N$2+1,3),""),"")))))</f>
        <v>0</v>
      </c>
      <c r="D158" s="3">
        <f>IF(ROW()-1&lt;=0,"",IF(ROW()-1&lt;=$L$2,IFERROR(INDEX(MCQ!$A:$K,ROW()-1+1,4),""),IF(ROW()-1&lt;=$L$2+$M$2,IFERROR(INDEX(CLOZE_AB!$A:$K,ROW()-1-$L$2+1,4),""),IF(ROW()-1&lt;=$L$2+$M$2+$N$2,IFERROR(INDEX(CLOZE_LIST!$A:$K,ROW()-1-$L$2-$M$2+1,4),""),IF(ROW()-1&lt;=$L$2+$M$2+$N$2+$O$2,IFERROR(INDEX(PROFORMA!$A:$K,ROW()-1-$L$2-$M$2-$N$2+1,4),""),"")))))</f>
        <v>0</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0</v>
      </c>
      <c r="G158" s="3">
        <f>IF(ROW()-1&lt;=0,"",IF(ROW()-1&lt;=$L$2,IFERROR(INDEX(MCQ!$A:$K,ROW()-1+1,7),""),IF(ROW()-1&lt;=$L$2+$M$2,IFERROR(INDEX(CLOZE_AB!$A:$K,ROW()-1-$L$2+1,7),""),IF(ROW()-1&lt;=$L$2+$M$2+$N$2,IFERROR(INDEX(CLOZE_LIST!$A:$K,ROW()-1-$L$2-$M$2+1,7),""),IF(ROW()-1&lt;=$L$2+$M$2+$N$2+$O$2,IFERROR(INDEX(PROFORMA!$A:$K,ROW()-1-$L$2-$M$2-$N$2+1,7),""),"")))))</f>
        <v>0</v>
      </c>
      <c r="H158" s="3">
        <f>IF(ROW()-1&lt;=0,"",IF(ROW()-1&lt;=$L$2,IFERROR(INDEX(MCQ!$A:$K,ROW()-1+1,8),""),IF(ROW()-1&lt;=$L$2+$M$2,IFERROR(INDEX(CLOZE_AB!$A:$K,ROW()-1-$L$2+1,8),""),IF(ROW()-1&lt;=$L$2+$M$2+$N$2,IFERROR(INDEX(CLOZE_LIST!$A:$K,ROW()-1-$L$2-$M$2+1,8),""),IF(ROW()-1&lt;=$L$2+$M$2+$N$2+$O$2,IFERROR(INDEX(PROFORMA!$A:$K,ROW()-1-$L$2-$M$2-$N$2+1,8),""),"")))))</f>
        <v>0</v>
      </c>
      <c r="I158" s="3">
        <f>IF(ROW()-1&lt;=0,"",IF(ROW()-1&lt;=$L$2,IFERROR(INDEX(MCQ!$A:$K,ROW()-1+1,9),""),IF(ROW()-1&lt;=$L$2+$M$2,IFERROR(INDEX(CLOZE_AB!$A:$K,ROW()-1-$L$2+1,9),""),IF(ROW()-1&lt;=$L$2+$M$2+$N$2,IFERROR(INDEX(CLOZE_LIST!$A:$K,ROW()-1-$L$2-$M$2+1,9),""),IF(ROW()-1&lt;=$L$2+$M$2+$N$2+$O$2,IFERROR(INDEX(PROFORMA!$A:$K,ROW()-1-$L$2-$M$2-$N$2+1,9),""),"")))))</f>
        <v>0</v>
      </c>
      <c r="J158" s="3">
        <f>IF(ROW()-1&lt;=0,"",IF(ROW()-1&lt;=$L$2,IFERROR(INDEX(MCQ!$A:$K,ROW()-1+1,10),""),IF(ROW()-1&lt;=$L$2+$M$2,IFERROR(INDEX(CLOZE_AB!$A:$K,ROW()-1-$L$2+1,10),""),IF(ROW()-1&lt;=$L$2+$M$2+$N$2,IFERROR(INDEX(CLOZE_LIST!$A:$K,ROW()-1-$L$2-$M$2+1,10),""),IF(ROW()-1&lt;=$L$2+$M$2+$N$2+$O$2,IFERROR(INDEX(PROFORMA!$A:$K,ROW()-1-$L$2-$M$2-$N$2+1,10),""),"")))))</f>
        <v>0</v>
      </c>
      <c r="K158" s="3">
        <f>IF(ROW()-1&lt;=0,"",IF(ROW()-1&lt;=$L$2,IFERROR(INDEX(MCQ!$A:$K,ROW()-1+1,11),""),IF(ROW()-1&lt;=$L$2+$M$2,IFERROR(INDEX(CLOZE_AB!$A:$K,ROW()-1-$L$2+1,11),""),IF(ROW()-1&lt;=$L$2+$M$2+$N$2,IFERROR(INDEX(CLOZE_LIST!$A:$K,ROW()-1-$L$2-$M$2+1,11),""),IF(ROW()-1&lt;=$L$2+$M$2+$N$2+$O$2,IFERROR(INDEX(PROFORMA!$A:$K,ROW()-1-$L$2-$M$2-$N$2+1,11),""),"")))))</f>
        <v>0</v>
      </c>
      <c r="L158" s="3">
        <f>COUNTA(MCQ!$A:$A)-1</f>
        <v>143</v>
      </c>
      <c r="M158" s="3">
        <f>COUNTA(CLOZE_AB!$A:$A)-1</f>
        <v>168</v>
      </c>
      <c r="N158" s="3">
        <f>COUNTA(CLOZE_LIST!$A:$A)-1</f>
        <v>199</v>
      </c>
      <c r="O158" s="3">
        <f>COUNTA(PROFORMA!$A:$A)-1</f>
        <v>199</v>
      </c>
    </row>
    <row r="159" spans="1:15" x14ac:dyDescent="0.3">
      <c r="A159" s="3" t="str">
        <f>IF(ROW()-1&lt;=0,"",IF(ROW()-1&lt;=$L$2,IFERROR(INDEX(MCQ!$A:$K,ROW()-1+1,1),""),IF(ROW()-1&lt;=$L$2+$M$2,IFERROR(INDEX(CLOZE_AB!$A:$K,ROW()-1-$L$2+1,1),""),IF(ROW()-1&lt;=$L$2+$M$2+$N$2,IFERROR(INDEX(CLOZE_LIST!$A:$K,ROW()-1-$L$2-$M$2+1,1),""),IF(ROW()-1&lt;=$L$2+$M$2+$N$2+$O$2,IFERROR(INDEX(PROFORMA!$A:$K,ROW()-1-$L$2-$M$2-$N$2+1,1),""),"")))))</f>
        <v/>
      </c>
      <c r="B159" s="3">
        <f>IF(ROW()-1&lt;=0,"",IF(ROW()-1&lt;=$L$2,IFERROR(INDEX(MCQ!$A:$K,ROW()-1+1,2),""),IF(ROW()-1&lt;=$L$2+$M$2,IFERROR(INDEX(CLOZE_AB!$A:$K,ROW()-1-$L$2+1,2),""),IF(ROW()-1&lt;=$L$2+$M$2+$N$2,IFERROR(INDEX(CLOZE_LIST!$A:$K,ROW()-1-$L$2-$M$2+1,2),""),IF(ROW()-1&lt;=$L$2+$M$2+$N$2+$O$2,IFERROR(INDEX(PROFORMA!$A:$K,ROW()-1-$L$2-$M$2-$N$2+1,2),""),"")))))</f>
        <v>0</v>
      </c>
      <c r="C159" s="3">
        <f>IF(ROW()-1&lt;=0,"",IF(ROW()-1&lt;=$L$2,IFERROR(INDEX(MCQ!$A:$K,ROW()-1+1,3),""),IF(ROW()-1&lt;=$L$2+$M$2,IFERROR(INDEX(CLOZE_AB!$A:$K,ROW()-1-$L$2+1,3),""),IF(ROW()-1&lt;=$L$2+$M$2+$N$2,IFERROR(INDEX(CLOZE_LIST!$A:$K,ROW()-1-$L$2-$M$2+1,3),""),IF(ROW()-1&lt;=$L$2+$M$2+$N$2+$O$2,IFERROR(INDEX(PROFORMA!$A:$K,ROW()-1-$L$2-$M$2-$N$2+1,3),""),"")))))</f>
        <v>0</v>
      </c>
      <c r="D159" s="3">
        <f>IF(ROW()-1&lt;=0,"",IF(ROW()-1&lt;=$L$2,IFERROR(INDEX(MCQ!$A:$K,ROW()-1+1,4),""),IF(ROW()-1&lt;=$L$2+$M$2,IFERROR(INDEX(CLOZE_AB!$A:$K,ROW()-1-$L$2+1,4),""),IF(ROW()-1&lt;=$L$2+$M$2+$N$2,IFERROR(INDEX(CLOZE_LIST!$A:$K,ROW()-1-$L$2-$M$2+1,4),""),IF(ROW()-1&lt;=$L$2+$M$2+$N$2+$O$2,IFERROR(INDEX(PROFORMA!$A:$K,ROW()-1-$L$2-$M$2-$N$2+1,4),""),"")))))</f>
        <v>0</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0</v>
      </c>
      <c r="G159" s="3">
        <f>IF(ROW()-1&lt;=0,"",IF(ROW()-1&lt;=$L$2,IFERROR(INDEX(MCQ!$A:$K,ROW()-1+1,7),""),IF(ROW()-1&lt;=$L$2+$M$2,IFERROR(INDEX(CLOZE_AB!$A:$K,ROW()-1-$L$2+1,7),""),IF(ROW()-1&lt;=$L$2+$M$2+$N$2,IFERROR(INDEX(CLOZE_LIST!$A:$K,ROW()-1-$L$2-$M$2+1,7),""),IF(ROW()-1&lt;=$L$2+$M$2+$N$2+$O$2,IFERROR(INDEX(PROFORMA!$A:$K,ROW()-1-$L$2-$M$2-$N$2+1,7),""),"")))))</f>
        <v>0</v>
      </c>
      <c r="H159" s="3">
        <f>IF(ROW()-1&lt;=0,"",IF(ROW()-1&lt;=$L$2,IFERROR(INDEX(MCQ!$A:$K,ROW()-1+1,8),""),IF(ROW()-1&lt;=$L$2+$M$2,IFERROR(INDEX(CLOZE_AB!$A:$K,ROW()-1-$L$2+1,8),""),IF(ROW()-1&lt;=$L$2+$M$2+$N$2,IFERROR(INDEX(CLOZE_LIST!$A:$K,ROW()-1-$L$2-$M$2+1,8),""),IF(ROW()-1&lt;=$L$2+$M$2+$N$2+$O$2,IFERROR(INDEX(PROFORMA!$A:$K,ROW()-1-$L$2-$M$2-$N$2+1,8),""),"")))))</f>
        <v>0</v>
      </c>
      <c r="I159" s="3">
        <f>IF(ROW()-1&lt;=0,"",IF(ROW()-1&lt;=$L$2,IFERROR(INDEX(MCQ!$A:$K,ROW()-1+1,9),""),IF(ROW()-1&lt;=$L$2+$M$2,IFERROR(INDEX(CLOZE_AB!$A:$K,ROW()-1-$L$2+1,9),""),IF(ROW()-1&lt;=$L$2+$M$2+$N$2,IFERROR(INDEX(CLOZE_LIST!$A:$K,ROW()-1-$L$2-$M$2+1,9),""),IF(ROW()-1&lt;=$L$2+$M$2+$N$2+$O$2,IFERROR(INDEX(PROFORMA!$A:$K,ROW()-1-$L$2-$M$2-$N$2+1,9),""),"")))))</f>
        <v>0</v>
      </c>
      <c r="J159" s="3">
        <f>IF(ROW()-1&lt;=0,"",IF(ROW()-1&lt;=$L$2,IFERROR(INDEX(MCQ!$A:$K,ROW()-1+1,10),""),IF(ROW()-1&lt;=$L$2+$M$2,IFERROR(INDEX(CLOZE_AB!$A:$K,ROW()-1-$L$2+1,10),""),IF(ROW()-1&lt;=$L$2+$M$2+$N$2,IFERROR(INDEX(CLOZE_LIST!$A:$K,ROW()-1-$L$2-$M$2+1,10),""),IF(ROW()-1&lt;=$L$2+$M$2+$N$2+$O$2,IFERROR(INDEX(PROFORMA!$A:$K,ROW()-1-$L$2-$M$2-$N$2+1,10),""),"")))))</f>
        <v>0</v>
      </c>
      <c r="K159" s="3">
        <f>IF(ROW()-1&lt;=0,"",IF(ROW()-1&lt;=$L$2,IFERROR(INDEX(MCQ!$A:$K,ROW()-1+1,11),""),IF(ROW()-1&lt;=$L$2+$M$2,IFERROR(INDEX(CLOZE_AB!$A:$K,ROW()-1-$L$2+1,11),""),IF(ROW()-1&lt;=$L$2+$M$2+$N$2,IFERROR(INDEX(CLOZE_LIST!$A:$K,ROW()-1-$L$2-$M$2+1,11),""),IF(ROW()-1&lt;=$L$2+$M$2+$N$2+$O$2,IFERROR(INDEX(PROFORMA!$A:$K,ROW()-1-$L$2-$M$2-$N$2+1,11),""),"")))))</f>
        <v>0</v>
      </c>
      <c r="L159" s="3">
        <f>COUNTA(MCQ!$A:$A)-1</f>
        <v>143</v>
      </c>
      <c r="M159" s="3">
        <f>COUNTA(CLOZE_AB!$A:$A)-1</f>
        <v>168</v>
      </c>
      <c r="N159" s="3">
        <f>COUNTA(CLOZE_LIST!$A:$A)-1</f>
        <v>199</v>
      </c>
      <c r="O159" s="3">
        <f>COUNTA(PROFORMA!$A:$A)-1</f>
        <v>199</v>
      </c>
    </row>
    <row r="160" spans="1:15" x14ac:dyDescent="0.3">
      <c r="A160" s="3" t="str">
        <f>IF(ROW()-1&lt;=0,"",IF(ROW()-1&lt;=$L$2,IFERROR(INDEX(MCQ!$A:$K,ROW()-1+1,1),""),IF(ROW()-1&lt;=$L$2+$M$2,IFERROR(INDEX(CLOZE_AB!$A:$K,ROW()-1-$L$2+1,1),""),IF(ROW()-1&lt;=$L$2+$M$2+$N$2,IFERROR(INDEX(CLOZE_LIST!$A:$K,ROW()-1-$L$2-$M$2+1,1),""),IF(ROW()-1&lt;=$L$2+$M$2+$N$2+$O$2,IFERROR(INDEX(PROFORMA!$A:$K,ROW()-1-$L$2-$M$2-$N$2+1,1),""),"")))))</f>
        <v/>
      </c>
      <c r="B160" s="3">
        <f>IF(ROW()-1&lt;=0,"",IF(ROW()-1&lt;=$L$2,IFERROR(INDEX(MCQ!$A:$K,ROW()-1+1,2),""),IF(ROW()-1&lt;=$L$2+$M$2,IFERROR(INDEX(CLOZE_AB!$A:$K,ROW()-1-$L$2+1,2),""),IF(ROW()-1&lt;=$L$2+$M$2+$N$2,IFERROR(INDEX(CLOZE_LIST!$A:$K,ROW()-1-$L$2-$M$2+1,2),""),IF(ROW()-1&lt;=$L$2+$M$2+$N$2+$O$2,IFERROR(INDEX(PROFORMA!$A:$K,ROW()-1-$L$2-$M$2-$N$2+1,2),""),"")))))</f>
        <v>0</v>
      </c>
      <c r="C160" s="3">
        <f>IF(ROW()-1&lt;=0,"",IF(ROW()-1&lt;=$L$2,IFERROR(INDEX(MCQ!$A:$K,ROW()-1+1,3),""),IF(ROW()-1&lt;=$L$2+$M$2,IFERROR(INDEX(CLOZE_AB!$A:$K,ROW()-1-$L$2+1,3),""),IF(ROW()-1&lt;=$L$2+$M$2+$N$2,IFERROR(INDEX(CLOZE_LIST!$A:$K,ROW()-1-$L$2-$M$2+1,3),""),IF(ROW()-1&lt;=$L$2+$M$2+$N$2+$O$2,IFERROR(INDEX(PROFORMA!$A:$K,ROW()-1-$L$2-$M$2-$N$2+1,3),""),"")))))</f>
        <v>0</v>
      </c>
      <c r="D160" s="3">
        <f>IF(ROW()-1&lt;=0,"",IF(ROW()-1&lt;=$L$2,IFERROR(INDEX(MCQ!$A:$K,ROW()-1+1,4),""),IF(ROW()-1&lt;=$L$2+$M$2,IFERROR(INDEX(CLOZE_AB!$A:$K,ROW()-1-$L$2+1,4),""),IF(ROW()-1&lt;=$L$2+$M$2+$N$2,IFERROR(INDEX(CLOZE_LIST!$A:$K,ROW()-1-$L$2-$M$2+1,4),""),IF(ROW()-1&lt;=$L$2+$M$2+$N$2+$O$2,IFERROR(INDEX(PROFORMA!$A:$K,ROW()-1-$L$2-$M$2-$N$2+1,4),""),"")))))</f>
        <v>0</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0</v>
      </c>
      <c r="G160" s="3">
        <f>IF(ROW()-1&lt;=0,"",IF(ROW()-1&lt;=$L$2,IFERROR(INDEX(MCQ!$A:$K,ROW()-1+1,7),""),IF(ROW()-1&lt;=$L$2+$M$2,IFERROR(INDEX(CLOZE_AB!$A:$K,ROW()-1-$L$2+1,7),""),IF(ROW()-1&lt;=$L$2+$M$2+$N$2,IFERROR(INDEX(CLOZE_LIST!$A:$K,ROW()-1-$L$2-$M$2+1,7),""),IF(ROW()-1&lt;=$L$2+$M$2+$N$2+$O$2,IFERROR(INDEX(PROFORMA!$A:$K,ROW()-1-$L$2-$M$2-$N$2+1,7),""),"")))))</f>
        <v>0</v>
      </c>
      <c r="H160" s="3">
        <f>IF(ROW()-1&lt;=0,"",IF(ROW()-1&lt;=$L$2,IFERROR(INDEX(MCQ!$A:$K,ROW()-1+1,8),""),IF(ROW()-1&lt;=$L$2+$M$2,IFERROR(INDEX(CLOZE_AB!$A:$K,ROW()-1-$L$2+1,8),""),IF(ROW()-1&lt;=$L$2+$M$2+$N$2,IFERROR(INDEX(CLOZE_LIST!$A:$K,ROW()-1-$L$2-$M$2+1,8),""),IF(ROW()-1&lt;=$L$2+$M$2+$N$2+$O$2,IFERROR(INDEX(PROFORMA!$A:$K,ROW()-1-$L$2-$M$2-$N$2+1,8),""),"")))))</f>
        <v>0</v>
      </c>
      <c r="I160" s="3">
        <f>IF(ROW()-1&lt;=0,"",IF(ROW()-1&lt;=$L$2,IFERROR(INDEX(MCQ!$A:$K,ROW()-1+1,9),""),IF(ROW()-1&lt;=$L$2+$M$2,IFERROR(INDEX(CLOZE_AB!$A:$K,ROW()-1-$L$2+1,9),""),IF(ROW()-1&lt;=$L$2+$M$2+$N$2,IFERROR(INDEX(CLOZE_LIST!$A:$K,ROW()-1-$L$2-$M$2+1,9),""),IF(ROW()-1&lt;=$L$2+$M$2+$N$2+$O$2,IFERROR(INDEX(PROFORMA!$A:$K,ROW()-1-$L$2-$M$2-$N$2+1,9),""),"")))))</f>
        <v>0</v>
      </c>
      <c r="J160" s="3">
        <f>IF(ROW()-1&lt;=0,"",IF(ROW()-1&lt;=$L$2,IFERROR(INDEX(MCQ!$A:$K,ROW()-1+1,10),""),IF(ROW()-1&lt;=$L$2+$M$2,IFERROR(INDEX(CLOZE_AB!$A:$K,ROW()-1-$L$2+1,10),""),IF(ROW()-1&lt;=$L$2+$M$2+$N$2,IFERROR(INDEX(CLOZE_LIST!$A:$K,ROW()-1-$L$2-$M$2+1,10),""),IF(ROW()-1&lt;=$L$2+$M$2+$N$2+$O$2,IFERROR(INDEX(PROFORMA!$A:$K,ROW()-1-$L$2-$M$2-$N$2+1,10),""),"")))))</f>
        <v>0</v>
      </c>
      <c r="K160" s="3">
        <f>IF(ROW()-1&lt;=0,"",IF(ROW()-1&lt;=$L$2,IFERROR(INDEX(MCQ!$A:$K,ROW()-1+1,11),""),IF(ROW()-1&lt;=$L$2+$M$2,IFERROR(INDEX(CLOZE_AB!$A:$K,ROW()-1-$L$2+1,11),""),IF(ROW()-1&lt;=$L$2+$M$2+$N$2,IFERROR(INDEX(CLOZE_LIST!$A:$K,ROW()-1-$L$2-$M$2+1,11),""),IF(ROW()-1&lt;=$L$2+$M$2+$N$2+$O$2,IFERROR(INDEX(PROFORMA!$A:$K,ROW()-1-$L$2-$M$2-$N$2+1,11),""),"")))))</f>
        <v>0</v>
      </c>
      <c r="L160" s="3">
        <f>COUNTA(MCQ!$A:$A)-1</f>
        <v>143</v>
      </c>
      <c r="M160" s="3">
        <f>COUNTA(CLOZE_AB!$A:$A)-1</f>
        <v>168</v>
      </c>
      <c r="N160" s="3">
        <f>COUNTA(CLOZE_LIST!$A:$A)-1</f>
        <v>199</v>
      </c>
      <c r="O160" s="3">
        <f>COUNTA(PROFORMA!$A:$A)-1</f>
        <v>199</v>
      </c>
    </row>
    <row r="161" spans="1:15" x14ac:dyDescent="0.3">
      <c r="A161" s="3" t="str">
        <f>IF(ROW()-1&lt;=0,"",IF(ROW()-1&lt;=$L$2,IFERROR(INDEX(MCQ!$A:$K,ROW()-1+1,1),""),IF(ROW()-1&lt;=$L$2+$M$2,IFERROR(INDEX(CLOZE_AB!$A:$K,ROW()-1-$L$2+1,1),""),IF(ROW()-1&lt;=$L$2+$M$2+$N$2,IFERROR(INDEX(CLOZE_LIST!$A:$K,ROW()-1-$L$2-$M$2+1,1),""),IF(ROW()-1&lt;=$L$2+$M$2+$N$2+$O$2,IFERROR(INDEX(PROFORMA!$A:$K,ROW()-1-$L$2-$M$2-$N$2+1,1),""),"")))))</f>
        <v/>
      </c>
      <c r="B161" s="3">
        <f>IF(ROW()-1&lt;=0,"",IF(ROW()-1&lt;=$L$2,IFERROR(INDEX(MCQ!$A:$K,ROW()-1+1,2),""),IF(ROW()-1&lt;=$L$2+$M$2,IFERROR(INDEX(CLOZE_AB!$A:$K,ROW()-1-$L$2+1,2),""),IF(ROW()-1&lt;=$L$2+$M$2+$N$2,IFERROR(INDEX(CLOZE_LIST!$A:$K,ROW()-1-$L$2-$M$2+1,2),""),IF(ROW()-1&lt;=$L$2+$M$2+$N$2+$O$2,IFERROR(INDEX(PROFORMA!$A:$K,ROW()-1-$L$2-$M$2-$N$2+1,2),""),"")))))</f>
        <v>0</v>
      </c>
      <c r="C161" s="3">
        <f>IF(ROW()-1&lt;=0,"",IF(ROW()-1&lt;=$L$2,IFERROR(INDEX(MCQ!$A:$K,ROW()-1+1,3),""),IF(ROW()-1&lt;=$L$2+$M$2,IFERROR(INDEX(CLOZE_AB!$A:$K,ROW()-1-$L$2+1,3),""),IF(ROW()-1&lt;=$L$2+$M$2+$N$2,IFERROR(INDEX(CLOZE_LIST!$A:$K,ROW()-1-$L$2-$M$2+1,3),""),IF(ROW()-1&lt;=$L$2+$M$2+$N$2+$O$2,IFERROR(INDEX(PROFORMA!$A:$K,ROW()-1-$L$2-$M$2-$N$2+1,3),""),"")))))</f>
        <v>0</v>
      </c>
      <c r="D161" s="3">
        <f>IF(ROW()-1&lt;=0,"",IF(ROW()-1&lt;=$L$2,IFERROR(INDEX(MCQ!$A:$K,ROW()-1+1,4),""),IF(ROW()-1&lt;=$L$2+$M$2,IFERROR(INDEX(CLOZE_AB!$A:$K,ROW()-1-$L$2+1,4),""),IF(ROW()-1&lt;=$L$2+$M$2+$N$2,IFERROR(INDEX(CLOZE_LIST!$A:$K,ROW()-1-$L$2-$M$2+1,4),""),IF(ROW()-1&lt;=$L$2+$M$2+$N$2+$O$2,IFERROR(INDEX(PROFORMA!$A:$K,ROW()-1-$L$2-$M$2-$N$2+1,4),""),"")))))</f>
        <v>0</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0</v>
      </c>
      <c r="G161" s="3">
        <f>IF(ROW()-1&lt;=0,"",IF(ROW()-1&lt;=$L$2,IFERROR(INDEX(MCQ!$A:$K,ROW()-1+1,7),""),IF(ROW()-1&lt;=$L$2+$M$2,IFERROR(INDEX(CLOZE_AB!$A:$K,ROW()-1-$L$2+1,7),""),IF(ROW()-1&lt;=$L$2+$M$2+$N$2,IFERROR(INDEX(CLOZE_LIST!$A:$K,ROW()-1-$L$2-$M$2+1,7),""),IF(ROW()-1&lt;=$L$2+$M$2+$N$2+$O$2,IFERROR(INDEX(PROFORMA!$A:$K,ROW()-1-$L$2-$M$2-$N$2+1,7),""),"")))))</f>
        <v>0</v>
      </c>
      <c r="H161" s="3">
        <f>IF(ROW()-1&lt;=0,"",IF(ROW()-1&lt;=$L$2,IFERROR(INDEX(MCQ!$A:$K,ROW()-1+1,8),""),IF(ROW()-1&lt;=$L$2+$M$2,IFERROR(INDEX(CLOZE_AB!$A:$K,ROW()-1-$L$2+1,8),""),IF(ROW()-1&lt;=$L$2+$M$2+$N$2,IFERROR(INDEX(CLOZE_LIST!$A:$K,ROW()-1-$L$2-$M$2+1,8),""),IF(ROW()-1&lt;=$L$2+$M$2+$N$2+$O$2,IFERROR(INDEX(PROFORMA!$A:$K,ROW()-1-$L$2-$M$2-$N$2+1,8),""),"")))))</f>
        <v>0</v>
      </c>
      <c r="I161" s="3">
        <f>IF(ROW()-1&lt;=0,"",IF(ROW()-1&lt;=$L$2,IFERROR(INDEX(MCQ!$A:$K,ROW()-1+1,9),""),IF(ROW()-1&lt;=$L$2+$M$2,IFERROR(INDEX(CLOZE_AB!$A:$K,ROW()-1-$L$2+1,9),""),IF(ROW()-1&lt;=$L$2+$M$2+$N$2,IFERROR(INDEX(CLOZE_LIST!$A:$K,ROW()-1-$L$2-$M$2+1,9),""),IF(ROW()-1&lt;=$L$2+$M$2+$N$2+$O$2,IFERROR(INDEX(PROFORMA!$A:$K,ROW()-1-$L$2-$M$2-$N$2+1,9),""),"")))))</f>
        <v>0</v>
      </c>
      <c r="J161" s="3">
        <f>IF(ROW()-1&lt;=0,"",IF(ROW()-1&lt;=$L$2,IFERROR(INDEX(MCQ!$A:$K,ROW()-1+1,10),""),IF(ROW()-1&lt;=$L$2+$M$2,IFERROR(INDEX(CLOZE_AB!$A:$K,ROW()-1-$L$2+1,10),""),IF(ROW()-1&lt;=$L$2+$M$2+$N$2,IFERROR(INDEX(CLOZE_LIST!$A:$K,ROW()-1-$L$2-$M$2+1,10),""),IF(ROW()-1&lt;=$L$2+$M$2+$N$2+$O$2,IFERROR(INDEX(PROFORMA!$A:$K,ROW()-1-$L$2-$M$2-$N$2+1,10),""),"")))))</f>
        <v>0</v>
      </c>
      <c r="K161" s="3">
        <f>IF(ROW()-1&lt;=0,"",IF(ROW()-1&lt;=$L$2,IFERROR(INDEX(MCQ!$A:$K,ROW()-1+1,11),""),IF(ROW()-1&lt;=$L$2+$M$2,IFERROR(INDEX(CLOZE_AB!$A:$K,ROW()-1-$L$2+1,11),""),IF(ROW()-1&lt;=$L$2+$M$2+$N$2,IFERROR(INDEX(CLOZE_LIST!$A:$K,ROW()-1-$L$2-$M$2+1,11),""),IF(ROW()-1&lt;=$L$2+$M$2+$N$2+$O$2,IFERROR(INDEX(PROFORMA!$A:$K,ROW()-1-$L$2-$M$2-$N$2+1,11),""),"")))))</f>
        <v>0</v>
      </c>
      <c r="L161" s="3">
        <f>COUNTA(MCQ!$A:$A)-1</f>
        <v>143</v>
      </c>
      <c r="M161" s="3">
        <f>COUNTA(CLOZE_AB!$A:$A)-1</f>
        <v>168</v>
      </c>
      <c r="N161" s="3">
        <f>COUNTA(CLOZE_LIST!$A:$A)-1</f>
        <v>199</v>
      </c>
      <c r="O161" s="3">
        <f>COUNTA(PROFORMA!$A:$A)-1</f>
        <v>199</v>
      </c>
    </row>
    <row r="162" spans="1:15" x14ac:dyDescent="0.3">
      <c r="A162" s="3" t="str">
        <f>IF(ROW()-1&lt;=0,"",IF(ROW()-1&lt;=$L$2,IFERROR(INDEX(MCQ!$A:$K,ROW()-1+1,1),""),IF(ROW()-1&lt;=$L$2+$M$2,IFERROR(INDEX(CLOZE_AB!$A:$K,ROW()-1-$L$2+1,1),""),IF(ROW()-1&lt;=$L$2+$M$2+$N$2,IFERROR(INDEX(CLOZE_LIST!$A:$K,ROW()-1-$L$2-$M$2+1,1),""),IF(ROW()-1&lt;=$L$2+$M$2+$N$2+$O$2,IFERROR(INDEX(PROFORMA!$A:$K,ROW()-1-$L$2-$M$2-$N$2+1,1),""),"")))))</f>
        <v/>
      </c>
      <c r="B162" s="3">
        <f>IF(ROW()-1&lt;=0,"",IF(ROW()-1&lt;=$L$2,IFERROR(INDEX(MCQ!$A:$K,ROW()-1+1,2),""),IF(ROW()-1&lt;=$L$2+$M$2,IFERROR(INDEX(CLOZE_AB!$A:$K,ROW()-1-$L$2+1,2),""),IF(ROW()-1&lt;=$L$2+$M$2+$N$2,IFERROR(INDEX(CLOZE_LIST!$A:$K,ROW()-1-$L$2-$M$2+1,2),""),IF(ROW()-1&lt;=$L$2+$M$2+$N$2+$O$2,IFERROR(INDEX(PROFORMA!$A:$K,ROW()-1-$L$2-$M$2-$N$2+1,2),""),"")))))</f>
        <v>0</v>
      </c>
      <c r="C162" s="3">
        <f>IF(ROW()-1&lt;=0,"",IF(ROW()-1&lt;=$L$2,IFERROR(INDEX(MCQ!$A:$K,ROW()-1+1,3),""),IF(ROW()-1&lt;=$L$2+$M$2,IFERROR(INDEX(CLOZE_AB!$A:$K,ROW()-1-$L$2+1,3),""),IF(ROW()-1&lt;=$L$2+$M$2+$N$2,IFERROR(INDEX(CLOZE_LIST!$A:$K,ROW()-1-$L$2-$M$2+1,3),""),IF(ROW()-1&lt;=$L$2+$M$2+$N$2+$O$2,IFERROR(INDEX(PROFORMA!$A:$K,ROW()-1-$L$2-$M$2-$N$2+1,3),""),"")))))</f>
        <v>0</v>
      </c>
      <c r="D162" s="3">
        <f>IF(ROW()-1&lt;=0,"",IF(ROW()-1&lt;=$L$2,IFERROR(INDEX(MCQ!$A:$K,ROW()-1+1,4),""),IF(ROW()-1&lt;=$L$2+$M$2,IFERROR(INDEX(CLOZE_AB!$A:$K,ROW()-1-$L$2+1,4),""),IF(ROW()-1&lt;=$L$2+$M$2+$N$2,IFERROR(INDEX(CLOZE_LIST!$A:$K,ROW()-1-$L$2-$M$2+1,4),""),IF(ROW()-1&lt;=$L$2+$M$2+$N$2+$O$2,IFERROR(INDEX(PROFORMA!$A:$K,ROW()-1-$L$2-$M$2-$N$2+1,4),""),"")))))</f>
        <v>0</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0</v>
      </c>
      <c r="G162" s="3">
        <f>IF(ROW()-1&lt;=0,"",IF(ROW()-1&lt;=$L$2,IFERROR(INDEX(MCQ!$A:$K,ROW()-1+1,7),""),IF(ROW()-1&lt;=$L$2+$M$2,IFERROR(INDEX(CLOZE_AB!$A:$K,ROW()-1-$L$2+1,7),""),IF(ROW()-1&lt;=$L$2+$M$2+$N$2,IFERROR(INDEX(CLOZE_LIST!$A:$K,ROW()-1-$L$2-$M$2+1,7),""),IF(ROW()-1&lt;=$L$2+$M$2+$N$2+$O$2,IFERROR(INDEX(PROFORMA!$A:$K,ROW()-1-$L$2-$M$2-$N$2+1,7),""),"")))))</f>
        <v>0</v>
      </c>
      <c r="H162" s="3">
        <f>IF(ROW()-1&lt;=0,"",IF(ROW()-1&lt;=$L$2,IFERROR(INDEX(MCQ!$A:$K,ROW()-1+1,8),""),IF(ROW()-1&lt;=$L$2+$M$2,IFERROR(INDEX(CLOZE_AB!$A:$K,ROW()-1-$L$2+1,8),""),IF(ROW()-1&lt;=$L$2+$M$2+$N$2,IFERROR(INDEX(CLOZE_LIST!$A:$K,ROW()-1-$L$2-$M$2+1,8),""),IF(ROW()-1&lt;=$L$2+$M$2+$N$2+$O$2,IFERROR(INDEX(PROFORMA!$A:$K,ROW()-1-$L$2-$M$2-$N$2+1,8),""),"")))))</f>
        <v>0</v>
      </c>
      <c r="I162" s="3">
        <f>IF(ROW()-1&lt;=0,"",IF(ROW()-1&lt;=$L$2,IFERROR(INDEX(MCQ!$A:$K,ROW()-1+1,9),""),IF(ROW()-1&lt;=$L$2+$M$2,IFERROR(INDEX(CLOZE_AB!$A:$K,ROW()-1-$L$2+1,9),""),IF(ROW()-1&lt;=$L$2+$M$2+$N$2,IFERROR(INDEX(CLOZE_LIST!$A:$K,ROW()-1-$L$2-$M$2+1,9),""),IF(ROW()-1&lt;=$L$2+$M$2+$N$2+$O$2,IFERROR(INDEX(PROFORMA!$A:$K,ROW()-1-$L$2-$M$2-$N$2+1,9),""),"")))))</f>
        <v>0</v>
      </c>
      <c r="J162" s="3">
        <f>IF(ROW()-1&lt;=0,"",IF(ROW()-1&lt;=$L$2,IFERROR(INDEX(MCQ!$A:$K,ROW()-1+1,10),""),IF(ROW()-1&lt;=$L$2+$M$2,IFERROR(INDEX(CLOZE_AB!$A:$K,ROW()-1-$L$2+1,10),""),IF(ROW()-1&lt;=$L$2+$M$2+$N$2,IFERROR(INDEX(CLOZE_LIST!$A:$K,ROW()-1-$L$2-$M$2+1,10),""),IF(ROW()-1&lt;=$L$2+$M$2+$N$2+$O$2,IFERROR(INDEX(PROFORMA!$A:$K,ROW()-1-$L$2-$M$2-$N$2+1,10),""),"")))))</f>
        <v>0</v>
      </c>
      <c r="K162" s="3">
        <f>IF(ROW()-1&lt;=0,"",IF(ROW()-1&lt;=$L$2,IFERROR(INDEX(MCQ!$A:$K,ROW()-1+1,11),""),IF(ROW()-1&lt;=$L$2+$M$2,IFERROR(INDEX(CLOZE_AB!$A:$K,ROW()-1-$L$2+1,11),""),IF(ROW()-1&lt;=$L$2+$M$2+$N$2,IFERROR(INDEX(CLOZE_LIST!$A:$K,ROW()-1-$L$2-$M$2+1,11),""),IF(ROW()-1&lt;=$L$2+$M$2+$N$2+$O$2,IFERROR(INDEX(PROFORMA!$A:$K,ROW()-1-$L$2-$M$2-$N$2+1,11),""),"")))))</f>
        <v>0</v>
      </c>
      <c r="L162" s="3">
        <f>COUNTA(MCQ!$A:$A)-1</f>
        <v>143</v>
      </c>
      <c r="M162" s="3">
        <f>COUNTA(CLOZE_AB!$A:$A)-1</f>
        <v>168</v>
      </c>
      <c r="N162" s="3">
        <f>COUNTA(CLOZE_LIST!$A:$A)-1</f>
        <v>199</v>
      </c>
      <c r="O162" s="3">
        <f>COUNTA(PROFORMA!$A:$A)-1</f>
        <v>199</v>
      </c>
    </row>
    <row r="163" spans="1:15" x14ac:dyDescent="0.3">
      <c r="A163" s="3" t="str">
        <f>IF(ROW()-1&lt;=0,"",IF(ROW()-1&lt;=$L$2,IFERROR(INDEX(MCQ!$A:$K,ROW()-1+1,1),""),IF(ROW()-1&lt;=$L$2+$M$2,IFERROR(INDEX(CLOZE_AB!$A:$K,ROW()-1-$L$2+1,1),""),IF(ROW()-1&lt;=$L$2+$M$2+$N$2,IFERROR(INDEX(CLOZE_LIST!$A:$K,ROW()-1-$L$2-$M$2+1,1),""),IF(ROW()-1&lt;=$L$2+$M$2+$N$2+$O$2,IFERROR(INDEX(PROFORMA!$A:$K,ROW()-1-$L$2-$M$2-$N$2+1,1),""),"")))))</f>
        <v/>
      </c>
      <c r="B163" s="3">
        <f>IF(ROW()-1&lt;=0,"",IF(ROW()-1&lt;=$L$2,IFERROR(INDEX(MCQ!$A:$K,ROW()-1+1,2),""),IF(ROW()-1&lt;=$L$2+$M$2,IFERROR(INDEX(CLOZE_AB!$A:$K,ROW()-1-$L$2+1,2),""),IF(ROW()-1&lt;=$L$2+$M$2+$N$2,IFERROR(INDEX(CLOZE_LIST!$A:$K,ROW()-1-$L$2-$M$2+1,2),""),IF(ROW()-1&lt;=$L$2+$M$2+$N$2+$O$2,IFERROR(INDEX(PROFORMA!$A:$K,ROW()-1-$L$2-$M$2-$N$2+1,2),""),"")))))</f>
        <v>0</v>
      </c>
      <c r="C163" s="3">
        <f>IF(ROW()-1&lt;=0,"",IF(ROW()-1&lt;=$L$2,IFERROR(INDEX(MCQ!$A:$K,ROW()-1+1,3),""),IF(ROW()-1&lt;=$L$2+$M$2,IFERROR(INDEX(CLOZE_AB!$A:$K,ROW()-1-$L$2+1,3),""),IF(ROW()-1&lt;=$L$2+$M$2+$N$2,IFERROR(INDEX(CLOZE_LIST!$A:$K,ROW()-1-$L$2-$M$2+1,3),""),IF(ROW()-1&lt;=$L$2+$M$2+$N$2+$O$2,IFERROR(INDEX(PROFORMA!$A:$K,ROW()-1-$L$2-$M$2-$N$2+1,3),""),"")))))</f>
        <v>0</v>
      </c>
      <c r="D163" s="3">
        <f>IF(ROW()-1&lt;=0,"",IF(ROW()-1&lt;=$L$2,IFERROR(INDEX(MCQ!$A:$K,ROW()-1+1,4),""),IF(ROW()-1&lt;=$L$2+$M$2,IFERROR(INDEX(CLOZE_AB!$A:$K,ROW()-1-$L$2+1,4),""),IF(ROW()-1&lt;=$L$2+$M$2+$N$2,IFERROR(INDEX(CLOZE_LIST!$A:$K,ROW()-1-$L$2-$M$2+1,4),""),IF(ROW()-1&lt;=$L$2+$M$2+$N$2+$O$2,IFERROR(INDEX(PROFORMA!$A:$K,ROW()-1-$L$2-$M$2-$N$2+1,4),""),"")))))</f>
        <v>0</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0</v>
      </c>
      <c r="G163" s="3">
        <f>IF(ROW()-1&lt;=0,"",IF(ROW()-1&lt;=$L$2,IFERROR(INDEX(MCQ!$A:$K,ROW()-1+1,7),""),IF(ROW()-1&lt;=$L$2+$M$2,IFERROR(INDEX(CLOZE_AB!$A:$K,ROW()-1-$L$2+1,7),""),IF(ROW()-1&lt;=$L$2+$M$2+$N$2,IFERROR(INDEX(CLOZE_LIST!$A:$K,ROW()-1-$L$2-$M$2+1,7),""),IF(ROW()-1&lt;=$L$2+$M$2+$N$2+$O$2,IFERROR(INDEX(PROFORMA!$A:$K,ROW()-1-$L$2-$M$2-$N$2+1,7),""),"")))))</f>
        <v>0</v>
      </c>
      <c r="H163" s="3">
        <f>IF(ROW()-1&lt;=0,"",IF(ROW()-1&lt;=$L$2,IFERROR(INDEX(MCQ!$A:$K,ROW()-1+1,8),""),IF(ROW()-1&lt;=$L$2+$M$2,IFERROR(INDEX(CLOZE_AB!$A:$K,ROW()-1-$L$2+1,8),""),IF(ROW()-1&lt;=$L$2+$M$2+$N$2,IFERROR(INDEX(CLOZE_LIST!$A:$K,ROW()-1-$L$2-$M$2+1,8),""),IF(ROW()-1&lt;=$L$2+$M$2+$N$2+$O$2,IFERROR(INDEX(PROFORMA!$A:$K,ROW()-1-$L$2-$M$2-$N$2+1,8),""),"")))))</f>
        <v>0</v>
      </c>
      <c r="I163" s="3">
        <f>IF(ROW()-1&lt;=0,"",IF(ROW()-1&lt;=$L$2,IFERROR(INDEX(MCQ!$A:$K,ROW()-1+1,9),""),IF(ROW()-1&lt;=$L$2+$M$2,IFERROR(INDEX(CLOZE_AB!$A:$K,ROW()-1-$L$2+1,9),""),IF(ROW()-1&lt;=$L$2+$M$2+$N$2,IFERROR(INDEX(CLOZE_LIST!$A:$K,ROW()-1-$L$2-$M$2+1,9),""),IF(ROW()-1&lt;=$L$2+$M$2+$N$2+$O$2,IFERROR(INDEX(PROFORMA!$A:$K,ROW()-1-$L$2-$M$2-$N$2+1,9),""),"")))))</f>
        <v>0</v>
      </c>
      <c r="J163" s="3">
        <f>IF(ROW()-1&lt;=0,"",IF(ROW()-1&lt;=$L$2,IFERROR(INDEX(MCQ!$A:$K,ROW()-1+1,10),""),IF(ROW()-1&lt;=$L$2+$M$2,IFERROR(INDEX(CLOZE_AB!$A:$K,ROW()-1-$L$2+1,10),""),IF(ROW()-1&lt;=$L$2+$M$2+$N$2,IFERROR(INDEX(CLOZE_LIST!$A:$K,ROW()-1-$L$2-$M$2+1,10),""),IF(ROW()-1&lt;=$L$2+$M$2+$N$2+$O$2,IFERROR(INDEX(PROFORMA!$A:$K,ROW()-1-$L$2-$M$2-$N$2+1,10),""),"")))))</f>
        <v>0</v>
      </c>
      <c r="K163" s="3">
        <f>IF(ROW()-1&lt;=0,"",IF(ROW()-1&lt;=$L$2,IFERROR(INDEX(MCQ!$A:$K,ROW()-1+1,11),""),IF(ROW()-1&lt;=$L$2+$M$2,IFERROR(INDEX(CLOZE_AB!$A:$K,ROW()-1-$L$2+1,11),""),IF(ROW()-1&lt;=$L$2+$M$2+$N$2,IFERROR(INDEX(CLOZE_LIST!$A:$K,ROW()-1-$L$2-$M$2+1,11),""),IF(ROW()-1&lt;=$L$2+$M$2+$N$2+$O$2,IFERROR(INDEX(PROFORMA!$A:$K,ROW()-1-$L$2-$M$2-$N$2+1,11),""),"")))))</f>
        <v>0</v>
      </c>
      <c r="L163" s="3">
        <f>COUNTA(MCQ!$A:$A)-1</f>
        <v>143</v>
      </c>
      <c r="M163" s="3">
        <f>COUNTA(CLOZE_AB!$A:$A)-1</f>
        <v>168</v>
      </c>
      <c r="N163" s="3">
        <f>COUNTA(CLOZE_LIST!$A:$A)-1</f>
        <v>199</v>
      </c>
      <c r="O163" s="3">
        <f>COUNTA(PROFORMA!$A:$A)-1</f>
        <v>199</v>
      </c>
    </row>
    <row r="164" spans="1:15" x14ac:dyDescent="0.3">
      <c r="A164" s="3" t="str">
        <f>IF(ROW()-1&lt;=0,"",IF(ROW()-1&lt;=$L$2,IFERROR(INDEX(MCQ!$A:$K,ROW()-1+1,1),""),IF(ROW()-1&lt;=$L$2+$M$2,IFERROR(INDEX(CLOZE_AB!$A:$K,ROW()-1-$L$2+1,1),""),IF(ROW()-1&lt;=$L$2+$M$2+$N$2,IFERROR(INDEX(CLOZE_LIST!$A:$K,ROW()-1-$L$2-$M$2+1,1),""),IF(ROW()-1&lt;=$L$2+$M$2+$N$2+$O$2,IFERROR(INDEX(PROFORMA!$A:$K,ROW()-1-$L$2-$M$2-$N$2+1,1),""),"")))))</f>
        <v/>
      </c>
      <c r="B164" s="3">
        <f>IF(ROW()-1&lt;=0,"",IF(ROW()-1&lt;=$L$2,IFERROR(INDEX(MCQ!$A:$K,ROW()-1+1,2),""),IF(ROW()-1&lt;=$L$2+$M$2,IFERROR(INDEX(CLOZE_AB!$A:$K,ROW()-1-$L$2+1,2),""),IF(ROW()-1&lt;=$L$2+$M$2+$N$2,IFERROR(INDEX(CLOZE_LIST!$A:$K,ROW()-1-$L$2-$M$2+1,2),""),IF(ROW()-1&lt;=$L$2+$M$2+$N$2+$O$2,IFERROR(INDEX(PROFORMA!$A:$K,ROW()-1-$L$2-$M$2-$N$2+1,2),""),"")))))</f>
        <v>0</v>
      </c>
      <c r="C164" s="3">
        <f>IF(ROW()-1&lt;=0,"",IF(ROW()-1&lt;=$L$2,IFERROR(INDEX(MCQ!$A:$K,ROW()-1+1,3),""),IF(ROW()-1&lt;=$L$2+$M$2,IFERROR(INDEX(CLOZE_AB!$A:$K,ROW()-1-$L$2+1,3),""),IF(ROW()-1&lt;=$L$2+$M$2+$N$2,IFERROR(INDEX(CLOZE_LIST!$A:$K,ROW()-1-$L$2-$M$2+1,3),""),IF(ROW()-1&lt;=$L$2+$M$2+$N$2+$O$2,IFERROR(INDEX(PROFORMA!$A:$K,ROW()-1-$L$2-$M$2-$N$2+1,3),""),"")))))</f>
        <v>0</v>
      </c>
      <c r="D164" s="3">
        <f>IF(ROW()-1&lt;=0,"",IF(ROW()-1&lt;=$L$2,IFERROR(INDEX(MCQ!$A:$K,ROW()-1+1,4),""),IF(ROW()-1&lt;=$L$2+$M$2,IFERROR(INDEX(CLOZE_AB!$A:$K,ROW()-1-$L$2+1,4),""),IF(ROW()-1&lt;=$L$2+$M$2+$N$2,IFERROR(INDEX(CLOZE_LIST!$A:$K,ROW()-1-$L$2-$M$2+1,4),""),IF(ROW()-1&lt;=$L$2+$M$2+$N$2+$O$2,IFERROR(INDEX(PROFORMA!$A:$K,ROW()-1-$L$2-$M$2-$N$2+1,4),""),"")))))</f>
        <v>0</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0</v>
      </c>
      <c r="G164" s="3">
        <f>IF(ROW()-1&lt;=0,"",IF(ROW()-1&lt;=$L$2,IFERROR(INDEX(MCQ!$A:$K,ROW()-1+1,7),""),IF(ROW()-1&lt;=$L$2+$M$2,IFERROR(INDEX(CLOZE_AB!$A:$K,ROW()-1-$L$2+1,7),""),IF(ROW()-1&lt;=$L$2+$M$2+$N$2,IFERROR(INDEX(CLOZE_LIST!$A:$K,ROW()-1-$L$2-$M$2+1,7),""),IF(ROW()-1&lt;=$L$2+$M$2+$N$2+$O$2,IFERROR(INDEX(PROFORMA!$A:$K,ROW()-1-$L$2-$M$2-$N$2+1,7),""),"")))))</f>
        <v>0</v>
      </c>
      <c r="H164" s="3">
        <f>IF(ROW()-1&lt;=0,"",IF(ROW()-1&lt;=$L$2,IFERROR(INDEX(MCQ!$A:$K,ROW()-1+1,8),""),IF(ROW()-1&lt;=$L$2+$M$2,IFERROR(INDEX(CLOZE_AB!$A:$K,ROW()-1-$L$2+1,8),""),IF(ROW()-1&lt;=$L$2+$M$2+$N$2,IFERROR(INDEX(CLOZE_LIST!$A:$K,ROW()-1-$L$2-$M$2+1,8),""),IF(ROW()-1&lt;=$L$2+$M$2+$N$2+$O$2,IFERROR(INDEX(PROFORMA!$A:$K,ROW()-1-$L$2-$M$2-$N$2+1,8),""),"")))))</f>
        <v>0</v>
      </c>
      <c r="I164" s="3">
        <f>IF(ROW()-1&lt;=0,"",IF(ROW()-1&lt;=$L$2,IFERROR(INDEX(MCQ!$A:$K,ROW()-1+1,9),""),IF(ROW()-1&lt;=$L$2+$M$2,IFERROR(INDEX(CLOZE_AB!$A:$K,ROW()-1-$L$2+1,9),""),IF(ROW()-1&lt;=$L$2+$M$2+$N$2,IFERROR(INDEX(CLOZE_LIST!$A:$K,ROW()-1-$L$2-$M$2+1,9),""),IF(ROW()-1&lt;=$L$2+$M$2+$N$2+$O$2,IFERROR(INDEX(PROFORMA!$A:$K,ROW()-1-$L$2-$M$2-$N$2+1,9),""),"")))))</f>
        <v>0</v>
      </c>
      <c r="J164" s="3">
        <f>IF(ROW()-1&lt;=0,"",IF(ROW()-1&lt;=$L$2,IFERROR(INDEX(MCQ!$A:$K,ROW()-1+1,10),""),IF(ROW()-1&lt;=$L$2+$M$2,IFERROR(INDEX(CLOZE_AB!$A:$K,ROW()-1-$L$2+1,10),""),IF(ROW()-1&lt;=$L$2+$M$2+$N$2,IFERROR(INDEX(CLOZE_LIST!$A:$K,ROW()-1-$L$2-$M$2+1,10),""),IF(ROW()-1&lt;=$L$2+$M$2+$N$2+$O$2,IFERROR(INDEX(PROFORMA!$A:$K,ROW()-1-$L$2-$M$2-$N$2+1,10),""),"")))))</f>
        <v>0</v>
      </c>
      <c r="K164" s="3">
        <f>IF(ROW()-1&lt;=0,"",IF(ROW()-1&lt;=$L$2,IFERROR(INDEX(MCQ!$A:$K,ROW()-1+1,11),""),IF(ROW()-1&lt;=$L$2+$M$2,IFERROR(INDEX(CLOZE_AB!$A:$K,ROW()-1-$L$2+1,11),""),IF(ROW()-1&lt;=$L$2+$M$2+$N$2,IFERROR(INDEX(CLOZE_LIST!$A:$K,ROW()-1-$L$2-$M$2+1,11),""),IF(ROW()-1&lt;=$L$2+$M$2+$N$2+$O$2,IFERROR(INDEX(PROFORMA!$A:$K,ROW()-1-$L$2-$M$2-$N$2+1,11),""),"")))))</f>
        <v>0</v>
      </c>
      <c r="L164" s="3">
        <f>COUNTA(MCQ!$A:$A)-1</f>
        <v>143</v>
      </c>
      <c r="M164" s="3">
        <f>COUNTA(CLOZE_AB!$A:$A)-1</f>
        <v>168</v>
      </c>
      <c r="N164" s="3">
        <f>COUNTA(CLOZE_LIST!$A:$A)-1</f>
        <v>199</v>
      </c>
      <c r="O164" s="3">
        <f>COUNTA(PROFORMA!$A:$A)-1</f>
        <v>199</v>
      </c>
    </row>
    <row r="165" spans="1:15" x14ac:dyDescent="0.3">
      <c r="A165" s="3" t="str">
        <f>IF(ROW()-1&lt;=0,"",IF(ROW()-1&lt;=$L$2,IFERROR(INDEX(MCQ!$A:$K,ROW()-1+1,1),""),IF(ROW()-1&lt;=$L$2+$M$2,IFERROR(INDEX(CLOZE_AB!$A:$K,ROW()-1-$L$2+1,1),""),IF(ROW()-1&lt;=$L$2+$M$2+$N$2,IFERROR(INDEX(CLOZE_LIST!$A:$K,ROW()-1-$L$2-$M$2+1,1),""),IF(ROW()-1&lt;=$L$2+$M$2+$N$2+$O$2,IFERROR(INDEX(PROFORMA!$A:$K,ROW()-1-$L$2-$M$2-$N$2+1,1),""),"")))))</f>
        <v/>
      </c>
      <c r="B165" s="3">
        <f>IF(ROW()-1&lt;=0,"",IF(ROW()-1&lt;=$L$2,IFERROR(INDEX(MCQ!$A:$K,ROW()-1+1,2),""),IF(ROW()-1&lt;=$L$2+$M$2,IFERROR(INDEX(CLOZE_AB!$A:$K,ROW()-1-$L$2+1,2),""),IF(ROW()-1&lt;=$L$2+$M$2+$N$2,IFERROR(INDEX(CLOZE_LIST!$A:$K,ROW()-1-$L$2-$M$2+1,2),""),IF(ROW()-1&lt;=$L$2+$M$2+$N$2+$O$2,IFERROR(INDEX(PROFORMA!$A:$K,ROW()-1-$L$2-$M$2-$N$2+1,2),""),"")))))</f>
        <v>0</v>
      </c>
      <c r="C165" s="3">
        <f>IF(ROW()-1&lt;=0,"",IF(ROW()-1&lt;=$L$2,IFERROR(INDEX(MCQ!$A:$K,ROW()-1+1,3),""),IF(ROW()-1&lt;=$L$2+$M$2,IFERROR(INDEX(CLOZE_AB!$A:$K,ROW()-1-$L$2+1,3),""),IF(ROW()-1&lt;=$L$2+$M$2+$N$2,IFERROR(INDEX(CLOZE_LIST!$A:$K,ROW()-1-$L$2-$M$2+1,3),""),IF(ROW()-1&lt;=$L$2+$M$2+$N$2+$O$2,IFERROR(INDEX(PROFORMA!$A:$K,ROW()-1-$L$2-$M$2-$N$2+1,3),""),"")))))</f>
        <v>0</v>
      </c>
      <c r="D165" s="3">
        <f>IF(ROW()-1&lt;=0,"",IF(ROW()-1&lt;=$L$2,IFERROR(INDEX(MCQ!$A:$K,ROW()-1+1,4),""),IF(ROW()-1&lt;=$L$2+$M$2,IFERROR(INDEX(CLOZE_AB!$A:$K,ROW()-1-$L$2+1,4),""),IF(ROW()-1&lt;=$L$2+$M$2+$N$2,IFERROR(INDEX(CLOZE_LIST!$A:$K,ROW()-1-$L$2-$M$2+1,4),""),IF(ROW()-1&lt;=$L$2+$M$2+$N$2+$O$2,IFERROR(INDEX(PROFORMA!$A:$K,ROW()-1-$L$2-$M$2-$N$2+1,4),""),"")))))</f>
        <v>0</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0</v>
      </c>
      <c r="G165" s="3">
        <f>IF(ROW()-1&lt;=0,"",IF(ROW()-1&lt;=$L$2,IFERROR(INDEX(MCQ!$A:$K,ROW()-1+1,7),""),IF(ROW()-1&lt;=$L$2+$M$2,IFERROR(INDEX(CLOZE_AB!$A:$K,ROW()-1-$L$2+1,7),""),IF(ROW()-1&lt;=$L$2+$M$2+$N$2,IFERROR(INDEX(CLOZE_LIST!$A:$K,ROW()-1-$L$2-$M$2+1,7),""),IF(ROW()-1&lt;=$L$2+$M$2+$N$2+$O$2,IFERROR(INDEX(PROFORMA!$A:$K,ROW()-1-$L$2-$M$2-$N$2+1,7),""),"")))))</f>
        <v>0</v>
      </c>
      <c r="H165" s="3">
        <f>IF(ROW()-1&lt;=0,"",IF(ROW()-1&lt;=$L$2,IFERROR(INDEX(MCQ!$A:$K,ROW()-1+1,8),""),IF(ROW()-1&lt;=$L$2+$M$2,IFERROR(INDEX(CLOZE_AB!$A:$K,ROW()-1-$L$2+1,8),""),IF(ROW()-1&lt;=$L$2+$M$2+$N$2,IFERROR(INDEX(CLOZE_LIST!$A:$K,ROW()-1-$L$2-$M$2+1,8),""),IF(ROW()-1&lt;=$L$2+$M$2+$N$2+$O$2,IFERROR(INDEX(PROFORMA!$A:$K,ROW()-1-$L$2-$M$2-$N$2+1,8),""),"")))))</f>
        <v>0</v>
      </c>
      <c r="I165" s="3">
        <f>IF(ROW()-1&lt;=0,"",IF(ROW()-1&lt;=$L$2,IFERROR(INDEX(MCQ!$A:$K,ROW()-1+1,9),""),IF(ROW()-1&lt;=$L$2+$M$2,IFERROR(INDEX(CLOZE_AB!$A:$K,ROW()-1-$L$2+1,9),""),IF(ROW()-1&lt;=$L$2+$M$2+$N$2,IFERROR(INDEX(CLOZE_LIST!$A:$K,ROW()-1-$L$2-$M$2+1,9),""),IF(ROW()-1&lt;=$L$2+$M$2+$N$2+$O$2,IFERROR(INDEX(PROFORMA!$A:$K,ROW()-1-$L$2-$M$2-$N$2+1,9),""),"")))))</f>
        <v>0</v>
      </c>
      <c r="J165" s="3">
        <f>IF(ROW()-1&lt;=0,"",IF(ROW()-1&lt;=$L$2,IFERROR(INDEX(MCQ!$A:$K,ROW()-1+1,10),""),IF(ROW()-1&lt;=$L$2+$M$2,IFERROR(INDEX(CLOZE_AB!$A:$K,ROW()-1-$L$2+1,10),""),IF(ROW()-1&lt;=$L$2+$M$2+$N$2,IFERROR(INDEX(CLOZE_LIST!$A:$K,ROW()-1-$L$2-$M$2+1,10),""),IF(ROW()-1&lt;=$L$2+$M$2+$N$2+$O$2,IFERROR(INDEX(PROFORMA!$A:$K,ROW()-1-$L$2-$M$2-$N$2+1,10),""),"")))))</f>
        <v>0</v>
      </c>
      <c r="K165" s="3">
        <f>IF(ROW()-1&lt;=0,"",IF(ROW()-1&lt;=$L$2,IFERROR(INDEX(MCQ!$A:$K,ROW()-1+1,11),""),IF(ROW()-1&lt;=$L$2+$M$2,IFERROR(INDEX(CLOZE_AB!$A:$K,ROW()-1-$L$2+1,11),""),IF(ROW()-1&lt;=$L$2+$M$2+$N$2,IFERROR(INDEX(CLOZE_LIST!$A:$K,ROW()-1-$L$2-$M$2+1,11),""),IF(ROW()-1&lt;=$L$2+$M$2+$N$2+$O$2,IFERROR(INDEX(PROFORMA!$A:$K,ROW()-1-$L$2-$M$2-$N$2+1,11),""),"")))))</f>
        <v>0</v>
      </c>
      <c r="L165" s="3">
        <f>COUNTA(MCQ!$A:$A)-1</f>
        <v>143</v>
      </c>
      <c r="M165" s="3">
        <f>COUNTA(CLOZE_AB!$A:$A)-1</f>
        <v>168</v>
      </c>
      <c r="N165" s="3">
        <f>COUNTA(CLOZE_LIST!$A:$A)-1</f>
        <v>199</v>
      </c>
      <c r="O165" s="3">
        <f>COUNTA(PROFORMA!$A:$A)-1</f>
        <v>199</v>
      </c>
    </row>
    <row r="166" spans="1:15" x14ac:dyDescent="0.3">
      <c r="A166" s="3" t="str">
        <f>IF(ROW()-1&lt;=0,"",IF(ROW()-1&lt;=$L$2,IFERROR(INDEX(MCQ!$A:$K,ROW()-1+1,1),""),IF(ROW()-1&lt;=$L$2+$M$2,IFERROR(INDEX(CLOZE_AB!$A:$K,ROW()-1-$L$2+1,1),""),IF(ROW()-1&lt;=$L$2+$M$2+$N$2,IFERROR(INDEX(CLOZE_LIST!$A:$K,ROW()-1-$L$2-$M$2+1,1),""),IF(ROW()-1&lt;=$L$2+$M$2+$N$2+$O$2,IFERROR(INDEX(PROFORMA!$A:$K,ROW()-1-$L$2-$M$2-$N$2+1,1),""),"")))))</f>
        <v/>
      </c>
      <c r="B166" s="3">
        <f>IF(ROW()-1&lt;=0,"",IF(ROW()-1&lt;=$L$2,IFERROR(INDEX(MCQ!$A:$K,ROW()-1+1,2),""),IF(ROW()-1&lt;=$L$2+$M$2,IFERROR(INDEX(CLOZE_AB!$A:$K,ROW()-1-$L$2+1,2),""),IF(ROW()-1&lt;=$L$2+$M$2+$N$2,IFERROR(INDEX(CLOZE_LIST!$A:$K,ROW()-1-$L$2-$M$2+1,2),""),IF(ROW()-1&lt;=$L$2+$M$2+$N$2+$O$2,IFERROR(INDEX(PROFORMA!$A:$K,ROW()-1-$L$2-$M$2-$N$2+1,2),""),"")))))</f>
        <v>0</v>
      </c>
      <c r="C166" s="3">
        <f>IF(ROW()-1&lt;=0,"",IF(ROW()-1&lt;=$L$2,IFERROR(INDEX(MCQ!$A:$K,ROW()-1+1,3),""),IF(ROW()-1&lt;=$L$2+$M$2,IFERROR(INDEX(CLOZE_AB!$A:$K,ROW()-1-$L$2+1,3),""),IF(ROW()-1&lt;=$L$2+$M$2+$N$2,IFERROR(INDEX(CLOZE_LIST!$A:$K,ROW()-1-$L$2-$M$2+1,3),""),IF(ROW()-1&lt;=$L$2+$M$2+$N$2+$O$2,IFERROR(INDEX(PROFORMA!$A:$K,ROW()-1-$L$2-$M$2-$N$2+1,3),""),"")))))</f>
        <v>0</v>
      </c>
      <c r="D166" s="3">
        <f>IF(ROW()-1&lt;=0,"",IF(ROW()-1&lt;=$L$2,IFERROR(INDEX(MCQ!$A:$K,ROW()-1+1,4),""),IF(ROW()-1&lt;=$L$2+$M$2,IFERROR(INDEX(CLOZE_AB!$A:$K,ROW()-1-$L$2+1,4),""),IF(ROW()-1&lt;=$L$2+$M$2+$N$2,IFERROR(INDEX(CLOZE_LIST!$A:$K,ROW()-1-$L$2-$M$2+1,4),""),IF(ROW()-1&lt;=$L$2+$M$2+$N$2+$O$2,IFERROR(INDEX(PROFORMA!$A:$K,ROW()-1-$L$2-$M$2-$N$2+1,4),""),"")))))</f>
        <v>0</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0</v>
      </c>
      <c r="G166" s="3">
        <f>IF(ROW()-1&lt;=0,"",IF(ROW()-1&lt;=$L$2,IFERROR(INDEX(MCQ!$A:$K,ROW()-1+1,7),""),IF(ROW()-1&lt;=$L$2+$M$2,IFERROR(INDEX(CLOZE_AB!$A:$K,ROW()-1-$L$2+1,7),""),IF(ROW()-1&lt;=$L$2+$M$2+$N$2,IFERROR(INDEX(CLOZE_LIST!$A:$K,ROW()-1-$L$2-$M$2+1,7),""),IF(ROW()-1&lt;=$L$2+$M$2+$N$2+$O$2,IFERROR(INDEX(PROFORMA!$A:$K,ROW()-1-$L$2-$M$2-$N$2+1,7),""),"")))))</f>
        <v>0</v>
      </c>
      <c r="H166" s="3">
        <f>IF(ROW()-1&lt;=0,"",IF(ROW()-1&lt;=$L$2,IFERROR(INDEX(MCQ!$A:$K,ROW()-1+1,8),""),IF(ROW()-1&lt;=$L$2+$M$2,IFERROR(INDEX(CLOZE_AB!$A:$K,ROW()-1-$L$2+1,8),""),IF(ROW()-1&lt;=$L$2+$M$2+$N$2,IFERROR(INDEX(CLOZE_LIST!$A:$K,ROW()-1-$L$2-$M$2+1,8),""),IF(ROW()-1&lt;=$L$2+$M$2+$N$2+$O$2,IFERROR(INDEX(PROFORMA!$A:$K,ROW()-1-$L$2-$M$2-$N$2+1,8),""),"")))))</f>
        <v>0</v>
      </c>
      <c r="I166" s="3">
        <f>IF(ROW()-1&lt;=0,"",IF(ROW()-1&lt;=$L$2,IFERROR(INDEX(MCQ!$A:$K,ROW()-1+1,9),""),IF(ROW()-1&lt;=$L$2+$M$2,IFERROR(INDEX(CLOZE_AB!$A:$K,ROW()-1-$L$2+1,9),""),IF(ROW()-1&lt;=$L$2+$M$2+$N$2,IFERROR(INDEX(CLOZE_LIST!$A:$K,ROW()-1-$L$2-$M$2+1,9),""),IF(ROW()-1&lt;=$L$2+$M$2+$N$2+$O$2,IFERROR(INDEX(PROFORMA!$A:$K,ROW()-1-$L$2-$M$2-$N$2+1,9),""),"")))))</f>
        <v>0</v>
      </c>
      <c r="J166" s="3">
        <f>IF(ROW()-1&lt;=0,"",IF(ROW()-1&lt;=$L$2,IFERROR(INDEX(MCQ!$A:$K,ROW()-1+1,10),""),IF(ROW()-1&lt;=$L$2+$M$2,IFERROR(INDEX(CLOZE_AB!$A:$K,ROW()-1-$L$2+1,10),""),IF(ROW()-1&lt;=$L$2+$M$2+$N$2,IFERROR(INDEX(CLOZE_LIST!$A:$K,ROW()-1-$L$2-$M$2+1,10),""),IF(ROW()-1&lt;=$L$2+$M$2+$N$2+$O$2,IFERROR(INDEX(PROFORMA!$A:$K,ROW()-1-$L$2-$M$2-$N$2+1,10),""),"")))))</f>
        <v>0</v>
      </c>
      <c r="K166" s="3">
        <f>IF(ROW()-1&lt;=0,"",IF(ROW()-1&lt;=$L$2,IFERROR(INDEX(MCQ!$A:$K,ROW()-1+1,11),""),IF(ROW()-1&lt;=$L$2+$M$2,IFERROR(INDEX(CLOZE_AB!$A:$K,ROW()-1-$L$2+1,11),""),IF(ROW()-1&lt;=$L$2+$M$2+$N$2,IFERROR(INDEX(CLOZE_LIST!$A:$K,ROW()-1-$L$2-$M$2+1,11),""),IF(ROW()-1&lt;=$L$2+$M$2+$N$2+$O$2,IFERROR(INDEX(PROFORMA!$A:$K,ROW()-1-$L$2-$M$2-$N$2+1,11),""),"")))))</f>
        <v>0</v>
      </c>
      <c r="L166" s="3">
        <f>COUNTA(MCQ!$A:$A)-1</f>
        <v>143</v>
      </c>
      <c r="M166" s="3">
        <f>COUNTA(CLOZE_AB!$A:$A)-1</f>
        <v>168</v>
      </c>
      <c r="N166" s="3">
        <f>COUNTA(CLOZE_LIST!$A:$A)-1</f>
        <v>199</v>
      </c>
      <c r="O166" s="3">
        <f>COUNTA(PROFORMA!$A:$A)-1</f>
        <v>199</v>
      </c>
    </row>
    <row r="167" spans="1:15" x14ac:dyDescent="0.3">
      <c r="A167" s="3" t="str">
        <f>IF(ROW()-1&lt;=0,"",IF(ROW()-1&lt;=$L$2,IFERROR(INDEX(MCQ!$A:$K,ROW()-1+1,1),""),IF(ROW()-1&lt;=$L$2+$M$2,IFERROR(INDEX(CLOZE_AB!$A:$K,ROW()-1-$L$2+1,1),""),IF(ROW()-1&lt;=$L$2+$M$2+$N$2,IFERROR(INDEX(CLOZE_LIST!$A:$K,ROW()-1-$L$2-$M$2+1,1),""),IF(ROW()-1&lt;=$L$2+$M$2+$N$2+$O$2,IFERROR(INDEX(PROFORMA!$A:$K,ROW()-1-$L$2-$M$2-$N$2+1,1),""),"")))))</f>
        <v/>
      </c>
      <c r="B167" s="3">
        <f>IF(ROW()-1&lt;=0,"",IF(ROW()-1&lt;=$L$2,IFERROR(INDEX(MCQ!$A:$K,ROW()-1+1,2),""),IF(ROW()-1&lt;=$L$2+$M$2,IFERROR(INDEX(CLOZE_AB!$A:$K,ROW()-1-$L$2+1,2),""),IF(ROW()-1&lt;=$L$2+$M$2+$N$2,IFERROR(INDEX(CLOZE_LIST!$A:$K,ROW()-1-$L$2-$M$2+1,2),""),IF(ROW()-1&lt;=$L$2+$M$2+$N$2+$O$2,IFERROR(INDEX(PROFORMA!$A:$K,ROW()-1-$L$2-$M$2-$N$2+1,2),""),"")))))</f>
        <v>0</v>
      </c>
      <c r="C167" s="3">
        <f>IF(ROW()-1&lt;=0,"",IF(ROW()-1&lt;=$L$2,IFERROR(INDEX(MCQ!$A:$K,ROW()-1+1,3),""),IF(ROW()-1&lt;=$L$2+$M$2,IFERROR(INDEX(CLOZE_AB!$A:$K,ROW()-1-$L$2+1,3),""),IF(ROW()-1&lt;=$L$2+$M$2+$N$2,IFERROR(INDEX(CLOZE_LIST!$A:$K,ROW()-1-$L$2-$M$2+1,3),""),IF(ROW()-1&lt;=$L$2+$M$2+$N$2+$O$2,IFERROR(INDEX(PROFORMA!$A:$K,ROW()-1-$L$2-$M$2-$N$2+1,3),""),"")))))</f>
        <v>0</v>
      </c>
      <c r="D167" s="3">
        <f>IF(ROW()-1&lt;=0,"",IF(ROW()-1&lt;=$L$2,IFERROR(INDEX(MCQ!$A:$K,ROW()-1+1,4),""),IF(ROW()-1&lt;=$L$2+$M$2,IFERROR(INDEX(CLOZE_AB!$A:$K,ROW()-1-$L$2+1,4),""),IF(ROW()-1&lt;=$L$2+$M$2+$N$2,IFERROR(INDEX(CLOZE_LIST!$A:$K,ROW()-1-$L$2-$M$2+1,4),""),IF(ROW()-1&lt;=$L$2+$M$2+$N$2+$O$2,IFERROR(INDEX(PROFORMA!$A:$K,ROW()-1-$L$2-$M$2-$N$2+1,4),""),"")))))</f>
        <v>0</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0</v>
      </c>
      <c r="G167" s="3">
        <f>IF(ROW()-1&lt;=0,"",IF(ROW()-1&lt;=$L$2,IFERROR(INDEX(MCQ!$A:$K,ROW()-1+1,7),""),IF(ROW()-1&lt;=$L$2+$M$2,IFERROR(INDEX(CLOZE_AB!$A:$K,ROW()-1-$L$2+1,7),""),IF(ROW()-1&lt;=$L$2+$M$2+$N$2,IFERROR(INDEX(CLOZE_LIST!$A:$K,ROW()-1-$L$2-$M$2+1,7),""),IF(ROW()-1&lt;=$L$2+$M$2+$N$2+$O$2,IFERROR(INDEX(PROFORMA!$A:$K,ROW()-1-$L$2-$M$2-$N$2+1,7),""),"")))))</f>
        <v>0</v>
      </c>
      <c r="H167" s="3">
        <f>IF(ROW()-1&lt;=0,"",IF(ROW()-1&lt;=$L$2,IFERROR(INDEX(MCQ!$A:$K,ROW()-1+1,8),""),IF(ROW()-1&lt;=$L$2+$M$2,IFERROR(INDEX(CLOZE_AB!$A:$K,ROW()-1-$L$2+1,8),""),IF(ROW()-1&lt;=$L$2+$M$2+$N$2,IFERROR(INDEX(CLOZE_LIST!$A:$K,ROW()-1-$L$2-$M$2+1,8),""),IF(ROW()-1&lt;=$L$2+$M$2+$N$2+$O$2,IFERROR(INDEX(PROFORMA!$A:$K,ROW()-1-$L$2-$M$2-$N$2+1,8),""),"")))))</f>
        <v>0</v>
      </c>
      <c r="I167" s="3">
        <f>IF(ROW()-1&lt;=0,"",IF(ROW()-1&lt;=$L$2,IFERROR(INDEX(MCQ!$A:$K,ROW()-1+1,9),""),IF(ROW()-1&lt;=$L$2+$M$2,IFERROR(INDEX(CLOZE_AB!$A:$K,ROW()-1-$L$2+1,9),""),IF(ROW()-1&lt;=$L$2+$M$2+$N$2,IFERROR(INDEX(CLOZE_LIST!$A:$K,ROW()-1-$L$2-$M$2+1,9),""),IF(ROW()-1&lt;=$L$2+$M$2+$N$2+$O$2,IFERROR(INDEX(PROFORMA!$A:$K,ROW()-1-$L$2-$M$2-$N$2+1,9),""),"")))))</f>
        <v>0</v>
      </c>
      <c r="J167" s="3">
        <f>IF(ROW()-1&lt;=0,"",IF(ROW()-1&lt;=$L$2,IFERROR(INDEX(MCQ!$A:$K,ROW()-1+1,10),""),IF(ROW()-1&lt;=$L$2+$M$2,IFERROR(INDEX(CLOZE_AB!$A:$K,ROW()-1-$L$2+1,10),""),IF(ROW()-1&lt;=$L$2+$M$2+$N$2,IFERROR(INDEX(CLOZE_LIST!$A:$K,ROW()-1-$L$2-$M$2+1,10),""),IF(ROW()-1&lt;=$L$2+$M$2+$N$2+$O$2,IFERROR(INDEX(PROFORMA!$A:$K,ROW()-1-$L$2-$M$2-$N$2+1,10),""),"")))))</f>
        <v>0</v>
      </c>
      <c r="K167" s="3">
        <f>IF(ROW()-1&lt;=0,"",IF(ROW()-1&lt;=$L$2,IFERROR(INDEX(MCQ!$A:$K,ROW()-1+1,11),""),IF(ROW()-1&lt;=$L$2+$M$2,IFERROR(INDEX(CLOZE_AB!$A:$K,ROW()-1-$L$2+1,11),""),IF(ROW()-1&lt;=$L$2+$M$2+$N$2,IFERROR(INDEX(CLOZE_LIST!$A:$K,ROW()-1-$L$2-$M$2+1,11),""),IF(ROW()-1&lt;=$L$2+$M$2+$N$2+$O$2,IFERROR(INDEX(PROFORMA!$A:$K,ROW()-1-$L$2-$M$2-$N$2+1,11),""),"")))))</f>
        <v>0</v>
      </c>
      <c r="L167" s="3">
        <f>COUNTA(MCQ!$A:$A)-1</f>
        <v>143</v>
      </c>
      <c r="M167" s="3">
        <f>COUNTA(CLOZE_AB!$A:$A)-1</f>
        <v>168</v>
      </c>
      <c r="N167" s="3">
        <f>COUNTA(CLOZE_LIST!$A:$A)-1</f>
        <v>199</v>
      </c>
      <c r="O167" s="3">
        <f>COUNTA(PROFORMA!$A:$A)-1</f>
        <v>199</v>
      </c>
    </row>
    <row r="168" spans="1:15" x14ac:dyDescent="0.3">
      <c r="A168" s="3" t="str">
        <f>IF(ROW()-1&lt;=0,"",IF(ROW()-1&lt;=$L$2,IFERROR(INDEX(MCQ!$A:$K,ROW()-1+1,1),""),IF(ROW()-1&lt;=$L$2+$M$2,IFERROR(INDEX(CLOZE_AB!$A:$K,ROW()-1-$L$2+1,1),""),IF(ROW()-1&lt;=$L$2+$M$2+$N$2,IFERROR(INDEX(CLOZE_LIST!$A:$K,ROW()-1-$L$2-$M$2+1,1),""),IF(ROW()-1&lt;=$L$2+$M$2+$N$2+$O$2,IFERROR(INDEX(PROFORMA!$A:$K,ROW()-1-$L$2-$M$2-$N$2+1,1),""),"")))))</f>
        <v/>
      </c>
      <c r="B168" s="3">
        <f>IF(ROW()-1&lt;=0,"",IF(ROW()-1&lt;=$L$2,IFERROR(INDEX(MCQ!$A:$K,ROW()-1+1,2),""),IF(ROW()-1&lt;=$L$2+$M$2,IFERROR(INDEX(CLOZE_AB!$A:$K,ROW()-1-$L$2+1,2),""),IF(ROW()-1&lt;=$L$2+$M$2+$N$2,IFERROR(INDEX(CLOZE_LIST!$A:$K,ROW()-1-$L$2-$M$2+1,2),""),IF(ROW()-1&lt;=$L$2+$M$2+$N$2+$O$2,IFERROR(INDEX(PROFORMA!$A:$K,ROW()-1-$L$2-$M$2-$N$2+1,2),""),"")))))</f>
        <v>0</v>
      </c>
      <c r="C168" s="3">
        <f>IF(ROW()-1&lt;=0,"",IF(ROW()-1&lt;=$L$2,IFERROR(INDEX(MCQ!$A:$K,ROW()-1+1,3),""),IF(ROW()-1&lt;=$L$2+$M$2,IFERROR(INDEX(CLOZE_AB!$A:$K,ROW()-1-$L$2+1,3),""),IF(ROW()-1&lt;=$L$2+$M$2+$N$2,IFERROR(INDEX(CLOZE_LIST!$A:$K,ROW()-1-$L$2-$M$2+1,3),""),IF(ROW()-1&lt;=$L$2+$M$2+$N$2+$O$2,IFERROR(INDEX(PROFORMA!$A:$K,ROW()-1-$L$2-$M$2-$N$2+1,3),""),"")))))</f>
        <v>0</v>
      </c>
      <c r="D168" s="3">
        <f>IF(ROW()-1&lt;=0,"",IF(ROW()-1&lt;=$L$2,IFERROR(INDEX(MCQ!$A:$K,ROW()-1+1,4),""),IF(ROW()-1&lt;=$L$2+$M$2,IFERROR(INDEX(CLOZE_AB!$A:$K,ROW()-1-$L$2+1,4),""),IF(ROW()-1&lt;=$L$2+$M$2+$N$2,IFERROR(INDEX(CLOZE_LIST!$A:$K,ROW()-1-$L$2-$M$2+1,4),""),IF(ROW()-1&lt;=$L$2+$M$2+$N$2+$O$2,IFERROR(INDEX(PROFORMA!$A:$K,ROW()-1-$L$2-$M$2-$N$2+1,4),""),"")))))</f>
        <v>0</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0</v>
      </c>
      <c r="G168" s="3">
        <f>IF(ROW()-1&lt;=0,"",IF(ROW()-1&lt;=$L$2,IFERROR(INDEX(MCQ!$A:$K,ROW()-1+1,7),""),IF(ROW()-1&lt;=$L$2+$M$2,IFERROR(INDEX(CLOZE_AB!$A:$K,ROW()-1-$L$2+1,7),""),IF(ROW()-1&lt;=$L$2+$M$2+$N$2,IFERROR(INDEX(CLOZE_LIST!$A:$K,ROW()-1-$L$2-$M$2+1,7),""),IF(ROW()-1&lt;=$L$2+$M$2+$N$2+$O$2,IFERROR(INDEX(PROFORMA!$A:$K,ROW()-1-$L$2-$M$2-$N$2+1,7),""),"")))))</f>
        <v>0</v>
      </c>
      <c r="H168" s="3">
        <f>IF(ROW()-1&lt;=0,"",IF(ROW()-1&lt;=$L$2,IFERROR(INDEX(MCQ!$A:$K,ROW()-1+1,8),""),IF(ROW()-1&lt;=$L$2+$M$2,IFERROR(INDEX(CLOZE_AB!$A:$K,ROW()-1-$L$2+1,8),""),IF(ROW()-1&lt;=$L$2+$M$2+$N$2,IFERROR(INDEX(CLOZE_LIST!$A:$K,ROW()-1-$L$2-$M$2+1,8),""),IF(ROW()-1&lt;=$L$2+$M$2+$N$2+$O$2,IFERROR(INDEX(PROFORMA!$A:$K,ROW()-1-$L$2-$M$2-$N$2+1,8),""),"")))))</f>
        <v>0</v>
      </c>
      <c r="I168" s="3">
        <f>IF(ROW()-1&lt;=0,"",IF(ROW()-1&lt;=$L$2,IFERROR(INDEX(MCQ!$A:$K,ROW()-1+1,9),""),IF(ROW()-1&lt;=$L$2+$M$2,IFERROR(INDEX(CLOZE_AB!$A:$K,ROW()-1-$L$2+1,9),""),IF(ROW()-1&lt;=$L$2+$M$2+$N$2,IFERROR(INDEX(CLOZE_LIST!$A:$K,ROW()-1-$L$2-$M$2+1,9),""),IF(ROW()-1&lt;=$L$2+$M$2+$N$2+$O$2,IFERROR(INDEX(PROFORMA!$A:$K,ROW()-1-$L$2-$M$2-$N$2+1,9),""),"")))))</f>
        <v>0</v>
      </c>
      <c r="J168" s="3">
        <f>IF(ROW()-1&lt;=0,"",IF(ROW()-1&lt;=$L$2,IFERROR(INDEX(MCQ!$A:$K,ROW()-1+1,10),""),IF(ROW()-1&lt;=$L$2+$M$2,IFERROR(INDEX(CLOZE_AB!$A:$K,ROW()-1-$L$2+1,10),""),IF(ROW()-1&lt;=$L$2+$M$2+$N$2,IFERROR(INDEX(CLOZE_LIST!$A:$K,ROW()-1-$L$2-$M$2+1,10),""),IF(ROW()-1&lt;=$L$2+$M$2+$N$2+$O$2,IFERROR(INDEX(PROFORMA!$A:$K,ROW()-1-$L$2-$M$2-$N$2+1,10),""),"")))))</f>
        <v>0</v>
      </c>
      <c r="K168" s="3">
        <f>IF(ROW()-1&lt;=0,"",IF(ROW()-1&lt;=$L$2,IFERROR(INDEX(MCQ!$A:$K,ROW()-1+1,11),""),IF(ROW()-1&lt;=$L$2+$M$2,IFERROR(INDEX(CLOZE_AB!$A:$K,ROW()-1-$L$2+1,11),""),IF(ROW()-1&lt;=$L$2+$M$2+$N$2,IFERROR(INDEX(CLOZE_LIST!$A:$K,ROW()-1-$L$2-$M$2+1,11),""),IF(ROW()-1&lt;=$L$2+$M$2+$N$2+$O$2,IFERROR(INDEX(PROFORMA!$A:$K,ROW()-1-$L$2-$M$2-$N$2+1,11),""),"")))))</f>
        <v>0</v>
      </c>
      <c r="L168" s="3">
        <f>COUNTA(MCQ!$A:$A)-1</f>
        <v>143</v>
      </c>
      <c r="M168" s="3">
        <f>COUNTA(CLOZE_AB!$A:$A)-1</f>
        <v>168</v>
      </c>
      <c r="N168" s="3">
        <f>COUNTA(CLOZE_LIST!$A:$A)-1</f>
        <v>199</v>
      </c>
      <c r="O168" s="3">
        <f>COUNTA(PROFORMA!$A:$A)-1</f>
        <v>199</v>
      </c>
    </row>
    <row r="169" spans="1:15" x14ac:dyDescent="0.3">
      <c r="A169" s="3" t="str">
        <f>IF(ROW()-1&lt;=0,"",IF(ROW()-1&lt;=$L$2,IFERROR(INDEX(MCQ!$A:$K,ROW()-1+1,1),""),IF(ROW()-1&lt;=$L$2+$M$2,IFERROR(INDEX(CLOZE_AB!$A:$K,ROW()-1-$L$2+1,1),""),IF(ROW()-1&lt;=$L$2+$M$2+$N$2,IFERROR(INDEX(CLOZE_LIST!$A:$K,ROW()-1-$L$2-$M$2+1,1),""),IF(ROW()-1&lt;=$L$2+$M$2+$N$2+$O$2,IFERROR(INDEX(PROFORMA!$A:$K,ROW()-1-$L$2-$M$2-$N$2+1,1),""),"")))))</f>
        <v/>
      </c>
      <c r="B169" s="3">
        <f>IF(ROW()-1&lt;=0,"",IF(ROW()-1&lt;=$L$2,IFERROR(INDEX(MCQ!$A:$K,ROW()-1+1,2),""),IF(ROW()-1&lt;=$L$2+$M$2,IFERROR(INDEX(CLOZE_AB!$A:$K,ROW()-1-$L$2+1,2),""),IF(ROW()-1&lt;=$L$2+$M$2+$N$2,IFERROR(INDEX(CLOZE_LIST!$A:$K,ROW()-1-$L$2-$M$2+1,2),""),IF(ROW()-1&lt;=$L$2+$M$2+$N$2+$O$2,IFERROR(INDEX(PROFORMA!$A:$K,ROW()-1-$L$2-$M$2-$N$2+1,2),""),"")))))</f>
        <v>0</v>
      </c>
      <c r="C169" s="3">
        <f>IF(ROW()-1&lt;=0,"",IF(ROW()-1&lt;=$L$2,IFERROR(INDEX(MCQ!$A:$K,ROW()-1+1,3),""),IF(ROW()-1&lt;=$L$2+$M$2,IFERROR(INDEX(CLOZE_AB!$A:$K,ROW()-1-$L$2+1,3),""),IF(ROW()-1&lt;=$L$2+$M$2+$N$2,IFERROR(INDEX(CLOZE_LIST!$A:$K,ROW()-1-$L$2-$M$2+1,3),""),IF(ROW()-1&lt;=$L$2+$M$2+$N$2+$O$2,IFERROR(INDEX(PROFORMA!$A:$K,ROW()-1-$L$2-$M$2-$N$2+1,3),""),"")))))</f>
        <v>0</v>
      </c>
      <c r="D169" s="3">
        <f>IF(ROW()-1&lt;=0,"",IF(ROW()-1&lt;=$L$2,IFERROR(INDEX(MCQ!$A:$K,ROW()-1+1,4),""),IF(ROW()-1&lt;=$L$2+$M$2,IFERROR(INDEX(CLOZE_AB!$A:$K,ROW()-1-$L$2+1,4),""),IF(ROW()-1&lt;=$L$2+$M$2+$N$2,IFERROR(INDEX(CLOZE_LIST!$A:$K,ROW()-1-$L$2-$M$2+1,4),""),IF(ROW()-1&lt;=$L$2+$M$2+$N$2+$O$2,IFERROR(INDEX(PROFORMA!$A:$K,ROW()-1-$L$2-$M$2-$N$2+1,4),""),"")))))</f>
        <v>0</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0</v>
      </c>
      <c r="G169" s="3">
        <f>IF(ROW()-1&lt;=0,"",IF(ROW()-1&lt;=$L$2,IFERROR(INDEX(MCQ!$A:$K,ROW()-1+1,7),""),IF(ROW()-1&lt;=$L$2+$M$2,IFERROR(INDEX(CLOZE_AB!$A:$K,ROW()-1-$L$2+1,7),""),IF(ROW()-1&lt;=$L$2+$M$2+$N$2,IFERROR(INDEX(CLOZE_LIST!$A:$K,ROW()-1-$L$2-$M$2+1,7),""),IF(ROW()-1&lt;=$L$2+$M$2+$N$2+$O$2,IFERROR(INDEX(PROFORMA!$A:$K,ROW()-1-$L$2-$M$2-$N$2+1,7),""),"")))))</f>
        <v>0</v>
      </c>
      <c r="H169" s="3">
        <f>IF(ROW()-1&lt;=0,"",IF(ROW()-1&lt;=$L$2,IFERROR(INDEX(MCQ!$A:$K,ROW()-1+1,8),""),IF(ROW()-1&lt;=$L$2+$M$2,IFERROR(INDEX(CLOZE_AB!$A:$K,ROW()-1-$L$2+1,8),""),IF(ROW()-1&lt;=$L$2+$M$2+$N$2,IFERROR(INDEX(CLOZE_LIST!$A:$K,ROW()-1-$L$2-$M$2+1,8),""),IF(ROW()-1&lt;=$L$2+$M$2+$N$2+$O$2,IFERROR(INDEX(PROFORMA!$A:$K,ROW()-1-$L$2-$M$2-$N$2+1,8),""),"")))))</f>
        <v>0</v>
      </c>
      <c r="I169" s="3">
        <f>IF(ROW()-1&lt;=0,"",IF(ROW()-1&lt;=$L$2,IFERROR(INDEX(MCQ!$A:$K,ROW()-1+1,9),""),IF(ROW()-1&lt;=$L$2+$M$2,IFERROR(INDEX(CLOZE_AB!$A:$K,ROW()-1-$L$2+1,9),""),IF(ROW()-1&lt;=$L$2+$M$2+$N$2,IFERROR(INDEX(CLOZE_LIST!$A:$K,ROW()-1-$L$2-$M$2+1,9),""),IF(ROW()-1&lt;=$L$2+$M$2+$N$2+$O$2,IFERROR(INDEX(PROFORMA!$A:$K,ROW()-1-$L$2-$M$2-$N$2+1,9),""),"")))))</f>
        <v>0</v>
      </c>
      <c r="J169" s="3">
        <f>IF(ROW()-1&lt;=0,"",IF(ROW()-1&lt;=$L$2,IFERROR(INDEX(MCQ!$A:$K,ROW()-1+1,10),""),IF(ROW()-1&lt;=$L$2+$M$2,IFERROR(INDEX(CLOZE_AB!$A:$K,ROW()-1-$L$2+1,10),""),IF(ROW()-1&lt;=$L$2+$M$2+$N$2,IFERROR(INDEX(CLOZE_LIST!$A:$K,ROW()-1-$L$2-$M$2+1,10),""),IF(ROW()-1&lt;=$L$2+$M$2+$N$2+$O$2,IFERROR(INDEX(PROFORMA!$A:$K,ROW()-1-$L$2-$M$2-$N$2+1,10),""),"")))))</f>
        <v>0</v>
      </c>
      <c r="K169" s="3">
        <f>IF(ROW()-1&lt;=0,"",IF(ROW()-1&lt;=$L$2,IFERROR(INDEX(MCQ!$A:$K,ROW()-1+1,11),""),IF(ROW()-1&lt;=$L$2+$M$2,IFERROR(INDEX(CLOZE_AB!$A:$K,ROW()-1-$L$2+1,11),""),IF(ROW()-1&lt;=$L$2+$M$2+$N$2,IFERROR(INDEX(CLOZE_LIST!$A:$K,ROW()-1-$L$2-$M$2+1,11),""),IF(ROW()-1&lt;=$L$2+$M$2+$N$2+$O$2,IFERROR(INDEX(PROFORMA!$A:$K,ROW()-1-$L$2-$M$2-$N$2+1,11),""),"")))))</f>
        <v>0</v>
      </c>
      <c r="L169" s="3">
        <f>COUNTA(MCQ!$A:$A)-1</f>
        <v>143</v>
      </c>
      <c r="M169" s="3">
        <f>COUNTA(CLOZE_AB!$A:$A)-1</f>
        <v>168</v>
      </c>
      <c r="N169" s="3">
        <f>COUNTA(CLOZE_LIST!$A:$A)-1</f>
        <v>199</v>
      </c>
      <c r="O169" s="3">
        <f>COUNTA(PROFORMA!$A:$A)-1</f>
        <v>199</v>
      </c>
    </row>
    <row r="170" spans="1:15" x14ac:dyDescent="0.3">
      <c r="A170" s="3" t="str">
        <f>IF(ROW()-1&lt;=0,"",IF(ROW()-1&lt;=$L$2,IFERROR(INDEX(MCQ!$A:$K,ROW()-1+1,1),""),IF(ROW()-1&lt;=$L$2+$M$2,IFERROR(INDEX(CLOZE_AB!$A:$K,ROW()-1-$L$2+1,1),""),IF(ROW()-1&lt;=$L$2+$M$2+$N$2,IFERROR(INDEX(CLOZE_LIST!$A:$K,ROW()-1-$L$2-$M$2+1,1),""),IF(ROW()-1&lt;=$L$2+$M$2+$N$2+$O$2,IFERROR(INDEX(PROFORMA!$A:$K,ROW()-1-$L$2-$M$2-$N$2+1,1),""),"")))))</f>
        <v/>
      </c>
      <c r="B170" s="3">
        <f>IF(ROW()-1&lt;=0,"",IF(ROW()-1&lt;=$L$2,IFERROR(INDEX(MCQ!$A:$K,ROW()-1+1,2),""),IF(ROW()-1&lt;=$L$2+$M$2,IFERROR(INDEX(CLOZE_AB!$A:$K,ROW()-1-$L$2+1,2),""),IF(ROW()-1&lt;=$L$2+$M$2+$N$2,IFERROR(INDEX(CLOZE_LIST!$A:$K,ROW()-1-$L$2-$M$2+1,2),""),IF(ROW()-1&lt;=$L$2+$M$2+$N$2+$O$2,IFERROR(INDEX(PROFORMA!$A:$K,ROW()-1-$L$2-$M$2-$N$2+1,2),""),"")))))</f>
        <v>0</v>
      </c>
      <c r="C170" s="3">
        <f>IF(ROW()-1&lt;=0,"",IF(ROW()-1&lt;=$L$2,IFERROR(INDEX(MCQ!$A:$K,ROW()-1+1,3),""),IF(ROW()-1&lt;=$L$2+$M$2,IFERROR(INDEX(CLOZE_AB!$A:$K,ROW()-1-$L$2+1,3),""),IF(ROW()-1&lt;=$L$2+$M$2+$N$2,IFERROR(INDEX(CLOZE_LIST!$A:$K,ROW()-1-$L$2-$M$2+1,3),""),IF(ROW()-1&lt;=$L$2+$M$2+$N$2+$O$2,IFERROR(INDEX(PROFORMA!$A:$K,ROW()-1-$L$2-$M$2-$N$2+1,3),""),"")))))</f>
        <v>0</v>
      </c>
      <c r="D170" s="3">
        <f>IF(ROW()-1&lt;=0,"",IF(ROW()-1&lt;=$L$2,IFERROR(INDEX(MCQ!$A:$K,ROW()-1+1,4),""),IF(ROW()-1&lt;=$L$2+$M$2,IFERROR(INDEX(CLOZE_AB!$A:$K,ROW()-1-$L$2+1,4),""),IF(ROW()-1&lt;=$L$2+$M$2+$N$2,IFERROR(INDEX(CLOZE_LIST!$A:$K,ROW()-1-$L$2-$M$2+1,4),""),IF(ROW()-1&lt;=$L$2+$M$2+$N$2+$O$2,IFERROR(INDEX(PROFORMA!$A:$K,ROW()-1-$L$2-$M$2-$N$2+1,4),""),"")))))</f>
        <v>0</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0</v>
      </c>
      <c r="G170" s="3">
        <f>IF(ROW()-1&lt;=0,"",IF(ROW()-1&lt;=$L$2,IFERROR(INDEX(MCQ!$A:$K,ROW()-1+1,7),""),IF(ROW()-1&lt;=$L$2+$M$2,IFERROR(INDEX(CLOZE_AB!$A:$K,ROW()-1-$L$2+1,7),""),IF(ROW()-1&lt;=$L$2+$M$2+$N$2,IFERROR(INDEX(CLOZE_LIST!$A:$K,ROW()-1-$L$2-$M$2+1,7),""),IF(ROW()-1&lt;=$L$2+$M$2+$N$2+$O$2,IFERROR(INDEX(PROFORMA!$A:$K,ROW()-1-$L$2-$M$2-$N$2+1,7),""),"")))))</f>
        <v>0</v>
      </c>
      <c r="H170" s="3">
        <f>IF(ROW()-1&lt;=0,"",IF(ROW()-1&lt;=$L$2,IFERROR(INDEX(MCQ!$A:$K,ROW()-1+1,8),""),IF(ROW()-1&lt;=$L$2+$M$2,IFERROR(INDEX(CLOZE_AB!$A:$K,ROW()-1-$L$2+1,8),""),IF(ROW()-1&lt;=$L$2+$M$2+$N$2,IFERROR(INDEX(CLOZE_LIST!$A:$K,ROW()-1-$L$2-$M$2+1,8),""),IF(ROW()-1&lt;=$L$2+$M$2+$N$2+$O$2,IFERROR(INDEX(PROFORMA!$A:$K,ROW()-1-$L$2-$M$2-$N$2+1,8),""),"")))))</f>
        <v>0</v>
      </c>
      <c r="I170" s="3">
        <f>IF(ROW()-1&lt;=0,"",IF(ROW()-1&lt;=$L$2,IFERROR(INDEX(MCQ!$A:$K,ROW()-1+1,9),""),IF(ROW()-1&lt;=$L$2+$M$2,IFERROR(INDEX(CLOZE_AB!$A:$K,ROW()-1-$L$2+1,9),""),IF(ROW()-1&lt;=$L$2+$M$2+$N$2,IFERROR(INDEX(CLOZE_LIST!$A:$K,ROW()-1-$L$2-$M$2+1,9),""),IF(ROW()-1&lt;=$L$2+$M$2+$N$2+$O$2,IFERROR(INDEX(PROFORMA!$A:$K,ROW()-1-$L$2-$M$2-$N$2+1,9),""),"")))))</f>
        <v>0</v>
      </c>
      <c r="J170" s="3">
        <f>IF(ROW()-1&lt;=0,"",IF(ROW()-1&lt;=$L$2,IFERROR(INDEX(MCQ!$A:$K,ROW()-1+1,10),""),IF(ROW()-1&lt;=$L$2+$M$2,IFERROR(INDEX(CLOZE_AB!$A:$K,ROW()-1-$L$2+1,10),""),IF(ROW()-1&lt;=$L$2+$M$2+$N$2,IFERROR(INDEX(CLOZE_LIST!$A:$K,ROW()-1-$L$2-$M$2+1,10),""),IF(ROW()-1&lt;=$L$2+$M$2+$N$2+$O$2,IFERROR(INDEX(PROFORMA!$A:$K,ROW()-1-$L$2-$M$2-$N$2+1,10),""),"")))))</f>
        <v>0</v>
      </c>
      <c r="K170" s="3">
        <f>IF(ROW()-1&lt;=0,"",IF(ROW()-1&lt;=$L$2,IFERROR(INDEX(MCQ!$A:$K,ROW()-1+1,11),""),IF(ROW()-1&lt;=$L$2+$M$2,IFERROR(INDEX(CLOZE_AB!$A:$K,ROW()-1-$L$2+1,11),""),IF(ROW()-1&lt;=$L$2+$M$2+$N$2,IFERROR(INDEX(CLOZE_LIST!$A:$K,ROW()-1-$L$2-$M$2+1,11),""),IF(ROW()-1&lt;=$L$2+$M$2+$N$2+$O$2,IFERROR(INDEX(PROFORMA!$A:$K,ROW()-1-$L$2-$M$2-$N$2+1,11),""),"")))))</f>
        <v>0</v>
      </c>
      <c r="L170" s="3">
        <f>COUNTA(MCQ!$A:$A)-1</f>
        <v>143</v>
      </c>
      <c r="M170" s="3">
        <f>COUNTA(CLOZE_AB!$A:$A)-1</f>
        <v>168</v>
      </c>
      <c r="N170" s="3">
        <f>COUNTA(CLOZE_LIST!$A:$A)-1</f>
        <v>199</v>
      </c>
      <c r="O170" s="3">
        <f>COUNTA(PROFORMA!$A:$A)-1</f>
        <v>199</v>
      </c>
    </row>
    <row r="171" spans="1:15" x14ac:dyDescent="0.3">
      <c r="A171" s="3" t="str">
        <f>IF(ROW()-1&lt;=0,"",IF(ROW()-1&lt;=$L$2,IFERROR(INDEX(MCQ!$A:$K,ROW()-1+1,1),""),IF(ROW()-1&lt;=$L$2+$M$2,IFERROR(INDEX(CLOZE_AB!$A:$K,ROW()-1-$L$2+1,1),""),IF(ROW()-1&lt;=$L$2+$M$2+$N$2,IFERROR(INDEX(CLOZE_LIST!$A:$K,ROW()-1-$L$2-$M$2+1,1),""),IF(ROW()-1&lt;=$L$2+$M$2+$N$2+$O$2,IFERROR(INDEX(PROFORMA!$A:$K,ROW()-1-$L$2-$M$2-$N$2+1,1),""),"")))))</f>
        <v/>
      </c>
      <c r="B171" s="3">
        <f>IF(ROW()-1&lt;=0,"",IF(ROW()-1&lt;=$L$2,IFERROR(INDEX(MCQ!$A:$K,ROW()-1+1,2),""),IF(ROW()-1&lt;=$L$2+$M$2,IFERROR(INDEX(CLOZE_AB!$A:$K,ROW()-1-$L$2+1,2),""),IF(ROW()-1&lt;=$L$2+$M$2+$N$2,IFERROR(INDEX(CLOZE_LIST!$A:$K,ROW()-1-$L$2-$M$2+1,2),""),IF(ROW()-1&lt;=$L$2+$M$2+$N$2+$O$2,IFERROR(INDEX(PROFORMA!$A:$K,ROW()-1-$L$2-$M$2-$N$2+1,2),""),"")))))</f>
        <v>0</v>
      </c>
      <c r="C171" s="3">
        <f>IF(ROW()-1&lt;=0,"",IF(ROW()-1&lt;=$L$2,IFERROR(INDEX(MCQ!$A:$K,ROW()-1+1,3),""),IF(ROW()-1&lt;=$L$2+$M$2,IFERROR(INDEX(CLOZE_AB!$A:$K,ROW()-1-$L$2+1,3),""),IF(ROW()-1&lt;=$L$2+$M$2+$N$2,IFERROR(INDEX(CLOZE_LIST!$A:$K,ROW()-1-$L$2-$M$2+1,3),""),IF(ROW()-1&lt;=$L$2+$M$2+$N$2+$O$2,IFERROR(INDEX(PROFORMA!$A:$K,ROW()-1-$L$2-$M$2-$N$2+1,3),""),"")))))</f>
        <v>0</v>
      </c>
      <c r="D171" s="3">
        <f>IF(ROW()-1&lt;=0,"",IF(ROW()-1&lt;=$L$2,IFERROR(INDEX(MCQ!$A:$K,ROW()-1+1,4),""),IF(ROW()-1&lt;=$L$2+$M$2,IFERROR(INDEX(CLOZE_AB!$A:$K,ROW()-1-$L$2+1,4),""),IF(ROW()-1&lt;=$L$2+$M$2+$N$2,IFERROR(INDEX(CLOZE_LIST!$A:$K,ROW()-1-$L$2-$M$2+1,4),""),IF(ROW()-1&lt;=$L$2+$M$2+$N$2+$O$2,IFERROR(INDEX(PROFORMA!$A:$K,ROW()-1-$L$2-$M$2-$N$2+1,4),""),"")))))</f>
        <v>0</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0</v>
      </c>
      <c r="G171" s="3">
        <f>IF(ROW()-1&lt;=0,"",IF(ROW()-1&lt;=$L$2,IFERROR(INDEX(MCQ!$A:$K,ROW()-1+1,7),""),IF(ROW()-1&lt;=$L$2+$M$2,IFERROR(INDEX(CLOZE_AB!$A:$K,ROW()-1-$L$2+1,7),""),IF(ROW()-1&lt;=$L$2+$M$2+$N$2,IFERROR(INDEX(CLOZE_LIST!$A:$K,ROW()-1-$L$2-$M$2+1,7),""),IF(ROW()-1&lt;=$L$2+$M$2+$N$2+$O$2,IFERROR(INDEX(PROFORMA!$A:$K,ROW()-1-$L$2-$M$2-$N$2+1,7),""),"")))))</f>
        <v>0</v>
      </c>
      <c r="H171" s="3">
        <f>IF(ROW()-1&lt;=0,"",IF(ROW()-1&lt;=$L$2,IFERROR(INDEX(MCQ!$A:$K,ROW()-1+1,8),""),IF(ROW()-1&lt;=$L$2+$M$2,IFERROR(INDEX(CLOZE_AB!$A:$K,ROW()-1-$L$2+1,8),""),IF(ROW()-1&lt;=$L$2+$M$2+$N$2,IFERROR(INDEX(CLOZE_LIST!$A:$K,ROW()-1-$L$2-$M$2+1,8),""),IF(ROW()-1&lt;=$L$2+$M$2+$N$2+$O$2,IFERROR(INDEX(PROFORMA!$A:$K,ROW()-1-$L$2-$M$2-$N$2+1,8),""),"")))))</f>
        <v>0</v>
      </c>
      <c r="I171" s="3">
        <f>IF(ROW()-1&lt;=0,"",IF(ROW()-1&lt;=$L$2,IFERROR(INDEX(MCQ!$A:$K,ROW()-1+1,9),""),IF(ROW()-1&lt;=$L$2+$M$2,IFERROR(INDEX(CLOZE_AB!$A:$K,ROW()-1-$L$2+1,9),""),IF(ROW()-1&lt;=$L$2+$M$2+$N$2,IFERROR(INDEX(CLOZE_LIST!$A:$K,ROW()-1-$L$2-$M$2+1,9),""),IF(ROW()-1&lt;=$L$2+$M$2+$N$2+$O$2,IFERROR(INDEX(PROFORMA!$A:$K,ROW()-1-$L$2-$M$2-$N$2+1,9),""),"")))))</f>
        <v>0</v>
      </c>
      <c r="J171" s="3">
        <f>IF(ROW()-1&lt;=0,"",IF(ROW()-1&lt;=$L$2,IFERROR(INDEX(MCQ!$A:$K,ROW()-1+1,10),""),IF(ROW()-1&lt;=$L$2+$M$2,IFERROR(INDEX(CLOZE_AB!$A:$K,ROW()-1-$L$2+1,10),""),IF(ROW()-1&lt;=$L$2+$M$2+$N$2,IFERROR(INDEX(CLOZE_LIST!$A:$K,ROW()-1-$L$2-$M$2+1,10),""),IF(ROW()-1&lt;=$L$2+$M$2+$N$2+$O$2,IFERROR(INDEX(PROFORMA!$A:$K,ROW()-1-$L$2-$M$2-$N$2+1,10),""),"")))))</f>
        <v>0</v>
      </c>
      <c r="K171" s="3">
        <f>IF(ROW()-1&lt;=0,"",IF(ROW()-1&lt;=$L$2,IFERROR(INDEX(MCQ!$A:$K,ROW()-1+1,11),""),IF(ROW()-1&lt;=$L$2+$M$2,IFERROR(INDEX(CLOZE_AB!$A:$K,ROW()-1-$L$2+1,11),""),IF(ROW()-1&lt;=$L$2+$M$2+$N$2,IFERROR(INDEX(CLOZE_LIST!$A:$K,ROW()-1-$L$2-$M$2+1,11),""),IF(ROW()-1&lt;=$L$2+$M$2+$N$2+$O$2,IFERROR(INDEX(PROFORMA!$A:$K,ROW()-1-$L$2-$M$2-$N$2+1,11),""),"")))))</f>
        <v>0</v>
      </c>
      <c r="L171" s="3">
        <f>COUNTA(MCQ!$A:$A)-1</f>
        <v>143</v>
      </c>
      <c r="M171" s="3">
        <f>COUNTA(CLOZE_AB!$A:$A)-1</f>
        <v>168</v>
      </c>
      <c r="N171" s="3">
        <f>COUNTA(CLOZE_LIST!$A:$A)-1</f>
        <v>199</v>
      </c>
      <c r="O171" s="3">
        <f>COUNTA(PROFORMA!$A:$A)-1</f>
        <v>199</v>
      </c>
    </row>
    <row r="172" spans="1:15" x14ac:dyDescent="0.3">
      <c r="A172" s="3" t="str">
        <f>IF(ROW()-1&lt;=0,"",IF(ROW()-1&lt;=$L$2,IFERROR(INDEX(MCQ!$A:$K,ROW()-1+1,1),""),IF(ROW()-1&lt;=$L$2+$M$2,IFERROR(INDEX(CLOZE_AB!$A:$K,ROW()-1-$L$2+1,1),""),IF(ROW()-1&lt;=$L$2+$M$2+$N$2,IFERROR(INDEX(CLOZE_LIST!$A:$K,ROW()-1-$L$2-$M$2+1,1),""),IF(ROW()-1&lt;=$L$2+$M$2+$N$2+$O$2,IFERROR(INDEX(PROFORMA!$A:$K,ROW()-1-$L$2-$M$2-$N$2+1,1),""),"")))))</f>
        <v/>
      </c>
      <c r="B172" s="3">
        <f>IF(ROW()-1&lt;=0,"",IF(ROW()-1&lt;=$L$2,IFERROR(INDEX(MCQ!$A:$K,ROW()-1+1,2),""),IF(ROW()-1&lt;=$L$2+$M$2,IFERROR(INDEX(CLOZE_AB!$A:$K,ROW()-1-$L$2+1,2),""),IF(ROW()-1&lt;=$L$2+$M$2+$N$2,IFERROR(INDEX(CLOZE_LIST!$A:$K,ROW()-1-$L$2-$M$2+1,2),""),IF(ROW()-1&lt;=$L$2+$M$2+$N$2+$O$2,IFERROR(INDEX(PROFORMA!$A:$K,ROW()-1-$L$2-$M$2-$N$2+1,2),""),"")))))</f>
        <v>0</v>
      </c>
      <c r="C172" s="3">
        <f>IF(ROW()-1&lt;=0,"",IF(ROW()-1&lt;=$L$2,IFERROR(INDEX(MCQ!$A:$K,ROW()-1+1,3),""),IF(ROW()-1&lt;=$L$2+$M$2,IFERROR(INDEX(CLOZE_AB!$A:$K,ROW()-1-$L$2+1,3),""),IF(ROW()-1&lt;=$L$2+$M$2+$N$2,IFERROR(INDEX(CLOZE_LIST!$A:$K,ROW()-1-$L$2-$M$2+1,3),""),IF(ROW()-1&lt;=$L$2+$M$2+$N$2+$O$2,IFERROR(INDEX(PROFORMA!$A:$K,ROW()-1-$L$2-$M$2-$N$2+1,3),""),"")))))</f>
        <v>0</v>
      </c>
      <c r="D172" s="3">
        <f>IF(ROW()-1&lt;=0,"",IF(ROW()-1&lt;=$L$2,IFERROR(INDEX(MCQ!$A:$K,ROW()-1+1,4),""),IF(ROW()-1&lt;=$L$2+$M$2,IFERROR(INDEX(CLOZE_AB!$A:$K,ROW()-1-$L$2+1,4),""),IF(ROW()-1&lt;=$L$2+$M$2+$N$2,IFERROR(INDEX(CLOZE_LIST!$A:$K,ROW()-1-$L$2-$M$2+1,4),""),IF(ROW()-1&lt;=$L$2+$M$2+$N$2+$O$2,IFERROR(INDEX(PROFORMA!$A:$K,ROW()-1-$L$2-$M$2-$N$2+1,4),""),"")))))</f>
        <v>0</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0</v>
      </c>
      <c r="G172" s="3">
        <f>IF(ROW()-1&lt;=0,"",IF(ROW()-1&lt;=$L$2,IFERROR(INDEX(MCQ!$A:$K,ROW()-1+1,7),""),IF(ROW()-1&lt;=$L$2+$M$2,IFERROR(INDEX(CLOZE_AB!$A:$K,ROW()-1-$L$2+1,7),""),IF(ROW()-1&lt;=$L$2+$M$2+$N$2,IFERROR(INDEX(CLOZE_LIST!$A:$K,ROW()-1-$L$2-$M$2+1,7),""),IF(ROW()-1&lt;=$L$2+$M$2+$N$2+$O$2,IFERROR(INDEX(PROFORMA!$A:$K,ROW()-1-$L$2-$M$2-$N$2+1,7),""),"")))))</f>
        <v>0</v>
      </c>
      <c r="H172" s="3">
        <f>IF(ROW()-1&lt;=0,"",IF(ROW()-1&lt;=$L$2,IFERROR(INDEX(MCQ!$A:$K,ROW()-1+1,8),""),IF(ROW()-1&lt;=$L$2+$M$2,IFERROR(INDEX(CLOZE_AB!$A:$K,ROW()-1-$L$2+1,8),""),IF(ROW()-1&lt;=$L$2+$M$2+$N$2,IFERROR(INDEX(CLOZE_LIST!$A:$K,ROW()-1-$L$2-$M$2+1,8),""),IF(ROW()-1&lt;=$L$2+$M$2+$N$2+$O$2,IFERROR(INDEX(PROFORMA!$A:$K,ROW()-1-$L$2-$M$2-$N$2+1,8),""),"")))))</f>
        <v>0</v>
      </c>
      <c r="I172" s="3">
        <f>IF(ROW()-1&lt;=0,"",IF(ROW()-1&lt;=$L$2,IFERROR(INDEX(MCQ!$A:$K,ROW()-1+1,9),""),IF(ROW()-1&lt;=$L$2+$M$2,IFERROR(INDEX(CLOZE_AB!$A:$K,ROW()-1-$L$2+1,9),""),IF(ROW()-1&lt;=$L$2+$M$2+$N$2,IFERROR(INDEX(CLOZE_LIST!$A:$K,ROW()-1-$L$2-$M$2+1,9),""),IF(ROW()-1&lt;=$L$2+$M$2+$N$2+$O$2,IFERROR(INDEX(PROFORMA!$A:$K,ROW()-1-$L$2-$M$2-$N$2+1,9),""),"")))))</f>
        <v>0</v>
      </c>
      <c r="J172" s="3">
        <f>IF(ROW()-1&lt;=0,"",IF(ROW()-1&lt;=$L$2,IFERROR(INDEX(MCQ!$A:$K,ROW()-1+1,10),""),IF(ROW()-1&lt;=$L$2+$M$2,IFERROR(INDEX(CLOZE_AB!$A:$K,ROW()-1-$L$2+1,10),""),IF(ROW()-1&lt;=$L$2+$M$2+$N$2,IFERROR(INDEX(CLOZE_LIST!$A:$K,ROW()-1-$L$2-$M$2+1,10),""),IF(ROW()-1&lt;=$L$2+$M$2+$N$2+$O$2,IFERROR(INDEX(PROFORMA!$A:$K,ROW()-1-$L$2-$M$2-$N$2+1,10),""),"")))))</f>
        <v>0</v>
      </c>
      <c r="K172" s="3">
        <f>IF(ROW()-1&lt;=0,"",IF(ROW()-1&lt;=$L$2,IFERROR(INDEX(MCQ!$A:$K,ROW()-1+1,11),""),IF(ROW()-1&lt;=$L$2+$M$2,IFERROR(INDEX(CLOZE_AB!$A:$K,ROW()-1-$L$2+1,11),""),IF(ROW()-1&lt;=$L$2+$M$2+$N$2,IFERROR(INDEX(CLOZE_LIST!$A:$K,ROW()-1-$L$2-$M$2+1,11),""),IF(ROW()-1&lt;=$L$2+$M$2+$N$2+$O$2,IFERROR(INDEX(PROFORMA!$A:$K,ROW()-1-$L$2-$M$2-$N$2+1,11),""),"")))))</f>
        <v>0</v>
      </c>
      <c r="L172" s="3">
        <f>COUNTA(MCQ!$A:$A)-1</f>
        <v>143</v>
      </c>
      <c r="M172" s="3">
        <f>COUNTA(CLOZE_AB!$A:$A)-1</f>
        <v>168</v>
      </c>
      <c r="N172" s="3">
        <f>COUNTA(CLOZE_LIST!$A:$A)-1</f>
        <v>199</v>
      </c>
      <c r="O172" s="3">
        <f>COUNTA(PROFORMA!$A:$A)-1</f>
        <v>199</v>
      </c>
    </row>
    <row r="173" spans="1:15" x14ac:dyDescent="0.3">
      <c r="A173" s="3" t="str">
        <f>IF(ROW()-1&lt;=0,"",IF(ROW()-1&lt;=$L$2,IFERROR(INDEX(MCQ!$A:$K,ROW()-1+1,1),""),IF(ROW()-1&lt;=$L$2+$M$2,IFERROR(INDEX(CLOZE_AB!$A:$K,ROW()-1-$L$2+1,1),""),IF(ROW()-1&lt;=$L$2+$M$2+$N$2,IFERROR(INDEX(CLOZE_LIST!$A:$K,ROW()-1-$L$2-$M$2+1,1),""),IF(ROW()-1&lt;=$L$2+$M$2+$N$2+$O$2,IFERROR(INDEX(PROFORMA!$A:$K,ROW()-1-$L$2-$M$2-$N$2+1,1),""),"")))))</f>
        <v/>
      </c>
      <c r="B173" s="3">
        <f>IF(ROW()-1&lt;=0,"",IF(ROW()-1&lt;=$L$2,IFERROR(INDEX(MCQ!$A:$K,ROW()-1+1,2),""),IF(ROW()-1&lt;=$L$2+$M$2,IFERROR(INDEX(CLOZE_AB!$A:$K,ROW()-1-$L$2+1,2),""),IF(ROW()-1&lt;=$L$2+$M$2+$N$2,IFERROR(INDEX(CLOZE_LIST!$A:$K,ROW()-1-$L$2-$M$2+1,2),""),IF(ROW()-1&lt;=$L$2+$M$2+$N$2+$O$2,IFERROR(INDEX(PROFORMA!$A:$K,ROW()-1-$L$2-$M$2-$N$2+1,2),""),"")))))</f>
        <v>0</v>
      </c>
      <c r="C173" s="3">
        <f>IF(ROW()-1&lt;=0,"",IF(ROW()-1&lt;=$L$2,IFERROR(INDEX(MCQ!$A:$K,ROW()-1+1,3),""),IF(ROW()-1&lt;=$L$2+$M$2,IFERROR(INDEX(CLOZE_AB!$A:$K,ROW()-1-$L$2+1,3),""),IF(ROW()-1&lt;=$L$2+$M$2+$N$2,IFERROR(INDEX(CLOZE_LIST!$A:$K,ROW()-1-$L$2-$M$2+1,3),""),IF(ROW()-1&lt;=$L$2+$M$2+$N$2+$O$2,IFERROR(INDEX(PROFORMA!$A:$K,ROW()-1-$L$2-$M$2-$N$2+1,3),""),"")))))</f>
        <v>0</v>
      </c>
      <c r="D173" s="3">
        <f>IF(ROW()-1&lt;=0,"",IF(ROW()-1&lt;=$L$2,IFERROR(INDEX(MCQ!$A:$K,ROW()-1+1,4),""),IF(ROW()-1&lt;=$L$2+$M$2,IFERROR(INDEX(CLOZE_AB!$A:$K,ROW()-1-$L$2+1,4),""),IF(ROW()-1&lt;=$L$2+$M$2+$N$2,IFERROR(INDEX(CLOZE_LIST!$A:$K,ROW()-1-$L$2-$M$2+1,4),""),IF(ROW()-1&lt;=$L$2+$M$2+$N$2+$O$2,IFERROR(INDEX(PROFORMA!$A:$K,ROW()-1-$L$2-$M$2-$N$2+1,4),""),"")))))</f>
        <v>0</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0</v>
      </c>
      <c r="G173" s="3">
        <f>IF(ROW()-1&lt;=0,"",IF(ROW()-1&lt;=$L$2,IFERROR(INDEX(MCQ!$A:$K,ROW()-1+1,7),""),IF(ROW()-1&lt;=$L$2+$M$2,IFERROR(INDEX(CLOZE_AB!$A:$K,ROW()-1-$L$2+1,7),""),IF(ROW()-1&lt;=$L$2+$M$2+$N$2,IFERROR(INDEX(CLOZE_LIST!$A:$K,ROW()-1-$L$2-$M$2+1,7),""),IF(ROW()-1&lt;=$L$2+$M$2+$N$2+$O$2,IFERROR(INDEX(PROFORMA!$A:$K,ROW()-1-$L$2-$M$2-$N$2+1,7),""),"")))))</f>
        <v>0</v>
      </c>
      <c r="H173" s="3">
        <f>IF(ROW()-1&lt;=0,"",IF(ROW()-1&lt;=$L$2,IFERROR(INDEX(MCQ!$A:$K,ROW()-1+1,8),""),IF(ROW()-1&lt;=$L$2+$M$2,IFERROR(INDEX(CLOZE_AB!$A:$K,ROW()-1-$L$2+1,8),""),IF(ROW()-1&lt;=$L$2+$M$2+$N$2,IFERROR(INDEX(CLOZE_LIST!$A:$K,ROW()-1-$L$2-$M$2+1,8),""),IF(ROW()-1&lt;=$L$2+$M$2+$N$2+$O$2,IFERROR(INDEX(PROFORMA!$A:$K,ROW()-1-$L$2-$M$2-$N$2+1,8),""),"")))))</f>
        <v>0</v>
      </c>
      <c r="I173" s="3">
        <f>IF(ROW()-1&lt;=0,"",IF(ROW()-1&lt;=$L$2,IFERROR(INDEX(MCQ!$A:$K,ROW()-1+1,9),""),IF(ROW()-1&lt;=$L$2+$M$2,IFERROR(INDEX(CLOZE_AB!$A:$K,ROW()-1-$L$2+1,9),""),IF(ROW()-1&lt;=$L$2+$M$2+$N$2,IFERROR(INDEX(CLOZE_LIST!$A:$K,ROW()-1-$L$2-$M$2+1,9),""),IF(ROW()-1&lt;=$L$2+$M$2+$N$2+$O$2,IFERROR(INDEX(PROFORMA!$A:$K,ROW()-1-$L$2-$M$2-$N$2+1,9),""),"")))))</f>
        <v>0</v>
      </c>
      <c r="J173" s="3">
        <f>IF(ROW()-1&lt;=0,"",IF(ROW()-1&lt;=$L$2,IFERROR(INDEX(MCQ!$A:$K,ROW()-1+1,10),""),IF(ROW()-1&lt;=$L$2+$M$2,IFERROR(INDEX(CLOZE_AB!$A:$K,ROW()-1-$L$2+1,10),""),IF(ROW()-1&lt;=$L$2+$M$2+$N$2,IFERROR(INDEX(CLOZE_LIST!$A:$K,ROW()-1-$L$2-$M$2+1,10),""),IF(ROW()-1&lt;=$L$2+$M$2+$N$2+$O$2,IFERROR(INDEX(PROFORMA!$A:$K,ROW()-1-$L$2-$M$2-$N$2+1,10),""),"")))))</f>
        <v>0</v>
      </c>
      <c r="K173" s="3">
        <f>IF(ROW()-1&lt;=0,"",IF(ROW()-1&lt;=$L$2,IFERROR(INDEX(MCQ!$A:$K,ROW()-1+1,11),""),IF(ROW()-1&lt;=$L$2+$M$2,IFERROR(INDEX(CLOZE_AB!$A:$K,ROW()-1-$L$2+1,11),""),IF(ROW()-1&lt;=$L$2+$M$2+$N$2,IFERROR(INDEX(CLOZE_LIST!$A:$K,ROW()-1-$L$2-$M$2+1,11),""),IF(ROW()-1&lt;=$L$2+$M$2+$N$2+$O$2,IFERROR(INDEX(PROFORMA!$A:$K,ROW()-1-$L$2-$M$2-$N$2+1,11),""),"")))))</f>
        <v>0</v>
      </c>
      <c r="L173" s="3">
        <f>COUNTA(MCQ!$A:$A)-1</f>
        <v>143</v>
      </c>
      <c r="M173" s="3">
        <f>COUNTA(CLOZE_AB!$A:$A)-1</f>
        <v>168</v>
      </c>
      <c r="N173" s="3">
        <f>COUNTA(CLOZE_LIST!$A:$A)-1</f>
        <v>199</v>
      </c>
      <c r="O173" s="3">
        <f>COUNTA(PROFORMA!$A:$A)-1</f>
        <v>199</v>
      </c>
    </row>
    <row r="174" spans="1:15" x14ac:dyDescent="0.3">
      <c r="A174" s="3" t="str">
        <f>IF(ROW()-1&lt;=0,"",IF(ROW()-1&lt;=$L$2,IFERROR(INDEX(MCQ!$A:$K,ROW()-1+1,1),""),IF(ROW()-1&lt;=$L$2+$M$2,IFERROR(INDEX(CLOZE_AB!$A:$K,ROW()-1-$L$2+1,1),""),IF(ROW()-1&lt;=$L$2+$M$2+$N$2,IFERROR(INDEX(CLOZE_LIST!$A:$K,ROW()-1-$L$2-$M$2+1,1),""),IF(ROW()-1&lt;=$L$2+$M$2+$N$2+$O$2,IFERROR(INDEX(PROFORMA!$A:$K,ROW()-1-$L$2-$M$2-$N$2+1,1),""),"")))))</f>
        <v/>
      </c>
      <c r="B174" s="3">
        <f>IF(ROW()-1&lt;=0,"",IF(ROW()-1&lt;=$L$2,IFERROR(INDEX(MCQ!$A:$K,ROW()-1+1,2),""),IF(ROW()-1&lt;=$L$2+$M$2,IFERROR(INDEX(CLOZE_AB!$A:$K,ROW()-1-$L$2+1,2),""),IF(ROW()-1&lt;=$L$2+$M$2+$N$2,IFERROR(INDEX(CLOZE_LIST!$A:$K,ROW()-1-$L$2-$M$2+1,2),""),IF(ROW()-1&lt;=$L$2+$M$2+$N$2+$O$2,IFERROR(INDEX(PROFORMA!$A:$K,ROW()-1-$L$2-$M$2-$N$2+1,2),""),"")))))</f>
        <v>0</v>
      </c>
      <c r="C174" s="3">
        <f>IF(ROW()-1&lt;=0,"",IF(ROW()-1&lt;=$L$2,IFERROR(INDEX(MCQ!$A:$K,ROW()-1+1,3),""),IF(ROW()-1&lt;=$L$2+$M$2,IFERROR(INDEX(CLOZE_AB!$A:$K,ROW()-1-$L$2+1,3),""),IF(ROW()-1&lt;=$L$2+$M$2+$N$2,IFERROR(INDEX(CLOZE_LIST!$A:$K,ROW()-1-$L$2-$M$2+1,3),""),IF(ROW()-1&lt;=$L$2+$M$2+$N$2+$O$2,IFERROR(INDEX(PROFORMA!$A:$K,ROW()-1-$L$2-$M$2-$N$2+1,3),""),"")))))</f>
        <v>0</v>
      </c>
      <c r="D174" s="3">
        <f>IF(ROW()-1&lt;=0,"",IF(ROW()-1&lt;=$L$2,IFERROR(INDEX(MCQ!$A:$K,ROW()-1+1,4),""),IF(ROW()-1&lt;=$L$2+$M$2,IFERROR(INDEX(CLOZE_AB!$A:$K,ROW()-1-$L$2+1,4),""),IF(ROW()-1&lt;=$L$2+$M$2+$N$2,IFERROR(INDEX(CLOZE_LIST!$A:$K,ROW()-1-$L$2-$M$2+1,4),""),IF(ROW()-1&lt;=$L$2+$M$2+$N$2+$O$2,IFERROR(INDEX(PROFORMA!$A:$K,ROW()-1-$L$2-$M$2-$N$2+1,4),""),"")))))</f>
        <v>0</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0</v>
      </c>
      <c r="G174" s="3">
        <f>IF(ROW()-1&lt;=0,"",IF(ROW()-1&lt;=$L$2,IFERROR(INDEX(MCQ!$A:$K,ROW()-1+1,7),""),IF(ROW()-1&lt;=$L$2+$M$2,IFERROR(INDEX(CLOZE_AB!$A:$K,ROW()-1-$L$2+1,7),""),IF(ROW()-1&lt;=$L$2+$M$2+$N$2,IFERROR(INDEX(CLOZE_LIST!$A:$K,ROW()-1-$L$2-$M$2+1,7),""),IF(ROW()-1&lt;=$L$2+$M$2+$N$2+$O$2,IFERROR(INDEX(PROFORMA!$A:$K,ROW()-1-$L$2-$M$2-$N$2+1,7),""),"")))))</f>
        <v>0</v>
      </c>
      <c r="H174" s="3">
        <f>IF(ROW()-1&lt;=0,"",IF(ROW()-1&lt;=$L$2,IFERROR(INDEX(MCQ!$A:$K,ROW()-1+1,8),""),IF(ROW()-1&lt;=$L$2+$M$2,IFERROR(INDEX(CLOZE_AB!$A:$K,ROW()-1-$L$2+1,8),""),IF(ROW()-1&lt;=$L$2+$M$2+$N$2,IFERROR(INDEX(CLOZE_LIST!$A:$K,ROW()-1-$L$2-$M$2+1,8),""),IF(ROW()-1&lt;=$L$2+$M$2+$N$2+$O$2,IFERROR(INDEX(PROFORMA!$A:$K,ROW()-1-$L$2-$M$2-$N$2+1,8),""),"")))))</f>
        <v>0</v>
      </c>
      <c r="I174" s="3">
        <f>IF(ROW()-1&lt;=0,"",IF(ROW()-1&lt;=$L$2,IFERROR(INDEX(MCQ!$A:$K,ROW()-1+1,9),""),IF(ROW()-1&lt;=$L$2+$M$2,IFERROR(INDEX(CLOZE_AB!$A:$K,ROW()-1-$L$2+1,9),""),IF(ROW()-1&lt;=$L$2+$M$2+$N$2,IFERROR(INDEX(CLOZE_LIST!$A:$K,ROW()-1-$L$2-$M$2+1,9),""),IF(ROW()-1&lt;=$L$2+$M$2+$N$2+$O$2,IFERROR(INDEX(PROFORMA!$A:$K,ROW()-1-$L$2-$M$2-$N$2+1,9),""),"")))))</f>
        <v>0</v>
      </c>
      <c r="J174" s="3">
        <f>IF(ROW()-1&lt;=0,"",IF(ROW()-1&lt;=$L$2,IFERROR(INDEX(MCQ!$A:$K,ROW()-1+1,10),""),IF(ROW()-1&lt;=$L$2+$M$2,IFERROR(INDEX(CLOZE_AB!$A:$K,ROW()-1-$L$2+1,10),""),IF(ROW()-1&lt;=$L$2+$M$2+$N$2,IFERROR(INDEX(CLOZE_LIST!$A:$K,ROW()-1-$L$2-$M$2+1,10),""),IF(ROW()-1&lt;=$L$2+$M$2+$N$2+$O$2,IFERROR(INDEX(PROFORMA!$A:$K,ROW()-1-$L$2-$M$2-$N$2+1,10),""),"")))))</f>
        <v>0</v>
      </c>
      <c r="K174" s="3">
        <f>IF(ROW()-1&lt;=0,"",IF(ROW()-1&lt;=$L$2,IFERROR(INDEX(MCQ!$A:$K,ROW()-1+1,11),""),IF(ROW()-1&lt;=$L$2+$M$2,IFERROR(INDEX(CLOZE_AB!$A:$K,ROW()-1-$L$2+1,11),""),IF(ROW()-1&lt;=$L$2+$M$2+$N$2,IFERROR(INDEX(CLOZE_LIST!$A:$K,ROW()-1-$L$2-$M$2+1,11),""),IF(ROW()-1&lt;=$L$2+$M$2+$N$2+$O$2,IFERROR(INDEX(PROFORMA!$A:$K,ROW()-1-$L$2-$M$2-$N$2+1,11),""),"")))))</f>
        <v>0</v>
      </c>
      <c r="L174" s="3">
        <f>COUNTA(MCQ!$A:$A)-1</f>
        <v>143</v>
      </c>
      <c r="M174" s="3">
        <f>COUNTA(CLOZE_AB!$A:$A)-1</f>
        <v>168</v>
      </c>
      <c r="N174" s="3">
        <f>COUNTA(CLOZE_LIST!$A:$A)-1</f>
        <v>199</v>
      </c>
      <c r="O174" s="3">
        <f>COUNTA(PROFORMA!$A:$A)-1</f>
        <v>199</v>
      </c>
    </row>
    <row r="175" spans="1:15" x14ac:dyDescent="0.3">
      <c r="A175" s="3" t="str">
        <f>IF(ROW()-1&lt;=0,"",IF(ROW()-1&lt;=$L$2,IFERROR(INDEX(MCQ!$A:$K,ROW()-1+1,1),""),IF(ROW()-1&lt;=$L$2+$M$2,IFERROR(INDEX(CLOZE_AB!$A:$K,ROW()-1-$L$2+1,1),""),IF(ROW()-1&lt;=$L$2+$M$2+$N$2,IFERROR(INDEX(CLOZE_LIST!$A:$K,ROW()-1-$L$2-$M$2+1,1),""),IF(ROW()-1&lt;=$L$2+$M$2+$N$2+$O$2,IFERROR(INDEX(PROFORMA!$A:$K,ROW()-1-$L$2-$M$2-$N$2+1,1),""),"")))))</f>
        <v/>
      </c>
      <c r="B175" s="3">
        <f>IF(ROW()-1&lt;=0,"",IF(ROW()-1&lt;=$L$2,IFERROR(INDEX(MCQ!$A:$K,ROW()-1+1,2),""),IF(ROW()-1&lt;=$L$2+$M$2,IFERROR(INDEX(CLOZE_AB!$A:$K,ROW()-1-$L$2+1,2),""),IF(ROW()-1&lt;=$L$2+$M$2+$N$2,IFERROR(INDEX(CLOZE_LIST!$A:$K,ROW()-1-$L$2-$M$2+1,2),""),IF(ROW()-1&lt;=$L$2+$M$2+$N$2+$O$2,IFERROR(INDEX(PROFORMA!$A:$K,ROW()-1-$L$2-$M$2-$N$2+1,2),""),"")))))</f>
        <v>0</v>
      </c>
      <c r="C175" s="3">
        <f>IF(ROW()-1&lt;=0,"",IF(ROW()-1&lt;=$L$2,IFERROR(INDEX(MCQ!$A:$K,ROW()-1+1,3),""),IF(ROW()-1&lt;=$L$2+$M$2,IFERROR(INDEX(CLOZE_AB!$A:$K,ROW()-1-$L$2+1,3),""),IF(ROW()-1&lt;=$L$2+$M$2+$N$2,IFERROR(INDEX(CLOZE_LIST!$A:$K,ROW()-1-$L$2-$M$2+1,3),""),IF(ROW()-1&lt;=$L$2+$M$2+$N$2+$O$2,IFERROR(INDEX(PROFORMA!$A:$K,ROW()-1-$L$2-$M$2-$N$2+1,3),""),"")))))</f>
        <v>0</v>
      </c>
      <c r="D175" s="3">
        <f>IF(ROW()-1&lt;=0,"",IF(ROW()-1&lt;=$L$2,IFERROR(INDEX(MCQ!$A:$K,ROW()-1+1,4),""),IF(ROW()-1&lt;=$L$2+$M$2,IFERROR(INDEX(CLOZE_AB!$A:$K,ROW()-1-$L$2+1,4),""),IF(ROW()-1&lt;=$L$2+$M$2+$N$2,IFERROR(INDEX(CLOZE_LIST!$A:$K,ROW()-1-$L$2-$M$2+1,4),""),IF(ROW()-1&lt;=$L$2+$M$2+$N$2+$O$2,IFERROR(INDEX(PROFORMA!$A:$K,ROW()-1-$L$2-$M$2-$N$2+1,4),""),"")))))</f>
        <v>0</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0</v>
      </c>
      <c r="G175" s="3">
        <f>IF(ROW()-1&lt;=0,"",IF(ROW()-1&lt;=$L$2,IFERROR(INDEX(MCQ!$A:$K,ROW()-1+1,7),""),IF(ROW()-1&lt;=$L$2+$M$2,IFERROR(INDEX(CLOZE_AB!$A:$K,ROW()-1-$L$2+1,7),""),IF(ROW()-1&lt;=$L$2+$M$2+$N$2,IFERROR(INDEX(CLOZE_LIST!$A:$K,ROW()-1-$L$2-$M$2+1,7),""),IF(ROW()-1&lt;=$L$2+$M$2+$N$2+$O$2,IFERROR(INDEX(PROFORMA!$A:$K,ROW()-1-$L$2-$M$2-$N$2+1,7),""),"")))))</f>
        <v>0</v>
      </c>
      <c r="H175" s="3">
        <f>IF(ROW()-1&lt;=0,"",IF(ROW()-1&lt;=$L$2,IFERROR(INDEX(MCQ!$A:$K,ROW()-1+1,8),""),IF(ROW()-1&lt;=$L$2+$M$2,IFERROR(INDEX(CLOZE_AB!$A:$K,ROW()-1-$L$2+1,8),""),IF(ROW()-1&lt;=$L$2+$M$2+$N$2,IFERROR(INDEX(CLOZE_LIST!$A:$K,ROW()-1-$L$2-$M$2+1,8),""),IF(ROW()-1&lt;=$L$2+$M$2+$N$2+$O$2,IFERROR(INDEX(PROFORMA!$A:$K,ROW()-1-$L$2-$M$2-$N$2+1,8),""),"")))))</f>
        <v>0</v>
      </c>
      <c r="I175" s="3">
        <f>IF(ROW()-1&lt;=0,"",IF(ROW()-1&lt;=$L$2,IFERROR(INDEX(MCQ!$A:$K,ROW()-1+1,9),""),IF(ROW()-1&lt;=$L$2+$M$2,IFERROR(INDEX(CLOZE_AB!$A:$K,ROW()-1-$L$2+1,9),""),IF(ROW()-1&lt;=$L$2+$M$2+$N$2,IFERROR(INDEX(CLOZE_LIST!$A:$K,ROW()-1-$L$2-$M$2+1,9),""),IF(ROW()-1&lt;=$L$2+$M$2+$N$2+$O$2,IFERROR(INDEX(PROFORMA!$A:$K,ROW()-1-$L$2-$M$2-$N$2+1,9),""),"")))))</f>
        <v>0</v>
      </c>
      <c r="J175" s="3">
        <f>IF(ROW()-1&lt;=0,"",IF(ROW()-1&lt;=$L$2,IFERROR(INDEX(MCQ!$A:$K,ROW()-1+1,10),""),IF(ROW()-1&lt;=$L$2+$M$2,IFERROR(INDEX(CLOZE_AB!$A:$K,ROW()-1-$L$2+1,10),""),IF(ROW()-1&lt;=$L$2+$M$2+$N$2,IFERROR(INDEX(CLOZE_LIST!$A:$K,ROW()-1-$L$2-$M$2+1,10),""),IF(ROW()-1&lt;=$L$2+$M$2+$N$2+$O$2,IFERROR(INDEX(PROFORMA!$A:$K,ROW()-1-$L$2-$M$2-$N$2+1,10),""),"")))))</f>
        <v>0</v>
      </c>
      <c r="K175" s="3">
        <f>IF(ROW()-1&lt;=0,"",IF(ROW()-1&lt;=$L$2,IFERROR(INDEX(MCQ!$A:$K,ROW()-1+1,11),""),IF(ROW()-1&lt;=$L$2+$M$2,IFERROR(INDEX(CLOZE_AB!$A:$K,ROW()-1-$L$2+1,11),""),IF(ROW()-1&lt;=$L$2+$M$2+$N$2,IFERROR(INDEX(CLOZE_LIST!$A:$K,ROW()-1-$L$2-$M$2+1,11),""),IF(ROW()-1&lt;=$L$2+$M$2+$N$2+$O$2,IFERROR(INDEX(PROFORMA!$A:$K,ROW()-1-$L$2-$M$2-$N$2+1,11),""),"")))))</f>
        <v>0</v>
      </c>
      <c r="L175" s="3">
        <f>COUNTA(MCQ!$A:$A)-1</f>
        <v>143</v>
      </c>
      <c r="M175" s="3">
        <f>COUNTA(CLOZE_AB!$A:$A)-1</f>
        <v>168</v>
      </c>
      <c r="N175" s="3">
        <f>COUNTA(CLOZE_LIST!$A:$A)-1</f>
        <v>199</v>
      </c>
      <c r="O175" s="3">
        <f>COUNTA(PROFORMA!$A:$A)-1</f>
        <v>199</v>
      </c>
    </row>
    <row r="176" spans="1:15" x14ac:dyDescent="0.3">
      <c r="A176" s="3" t="str">
        <f>IF(ROW()-1&lt;=0,"",IF(ROW()-1&lt;=$L$2,IFERROR(INDEX(MCQ!$A:$K,ROW()-1+1,1),""),IF(ROW()-1&lt;=$L$2+$M$2,IFERROR(INDEX(CLOZE_AB!$A:$K,ROW()-1-$L$2+1,1),""),IF(ROW()-1&lt;=$L$2+$M$2+$N$2,IFERROR(INDEX(CLOZE_LIST!$A:$K,ROW()-1-$L$2-$M$2+1,1),""),IF(ROW()-1&lt;=$L$2+$M$2+$N$2+$O$2,IFERROR(INDEX(PROFORMA!$A:$K,ROW()-1-$L$2-$M$2-$N$2+1,1),""),"")))))</f>
        <v/>
      </c>
      <c r="B176" s="3">
        <f>IF(ROW()-1&lt;=0,"",IF(ROW()-1&lt;=$L$2,IFERROR(INDEX(MCQ!$A:$K,ROW()-1+1,2),""),IF(ROW()-1&lt;=$L$2+$M$2,IFERROR(INDEX(CLOZE_AB!$A:$K,ROW()-1-$L$2+1,2),""),IF(ROW()-1&lt;=$L$2+$M$2+$N$2,IFERROR(INDEX(CLOZE_LIST!$A:$K,ROW()-1-$L$2-$M$2+1,2),""),IF(ROW()-1&lt;=$L$2+$M$2+$N$2+$O$2,IFERROR(INDEX(PROFORMA!$A:$K,ROW()-1-$L$2-$M$2-$N$2+1,2),""),"")))))</f>
        <v>0</v>
      </c>
      <c r="C176" s="3">
        <f>IF(ROW()-1&lt;=0,"",IF(ROW()-1&lt;=$L$2,IFERROR(INDEX(MCQ!$A:$K,ROW()-1+1,3),""),IF(ROW()-1&lt;=$L$2+$M$2,IFERROR(INDEX(CLOZE_AB!$A:$K,ROW()-1-$L$2+1,3),""),IF(ROW()-1&lt;=$L$2+$M$2+$N$2,IFERROR(INDEX(CLOZE_LIST!$A:$K,ROW()-1-$L$2-$M$2+1,3),""),IF(ROW()-1&lt;=$L$2+$M$2+$N$2+$O$2,IFERROR(INDEX(PROFORMA!$A:$K,ROW()-1-$L$2-$M$2-$N$2+1,3),""),"")))))</f>
        <v>0</v>
      </c>
      <c r="D176" s="3">
        <f>IF(ROW()-1&lt;=0,"",IF(ROW()-1&lt;=$L$2,IFERROR(INDEX(MCQ!$A:$K,ROW()-1+1,4),""),IF(ROW()-1&lt;=$L$2+$M$2,IFERROR(INDEX(CLOZE_AB!$A:$K,ROW()-1-$L$2+1,4),""),IF(ROW()-1&lt;=$L$2+$M$2+$N$2,IFERROR(INDEX(CLOZE_LIST!$A:$K,ROW()-1-$L$2-$M$2+1,4),""),IF(ROW()-1&lt;=$L$2+$M$2+$N$2+$O$2,IFERROR(INDEX(PROFORMA!$A:$K,ROW()-1-$L$2-$M$2-$N$2+1,4),""),"")))))</f>
        <v>0</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0</v>
      </c>
      <c r="G176" s="3">
        <f>IF(ROW()-1&lt;=0,"",IF(ROW()-1&lt;=$L$2,IFERROR(INDEX(MCQ!$A:$K,ROW()-1+1,7),""),IF(ROW()-1&lt;=$L$2+$M$2,IFERROR(INDEX(CLOZE_AB!$A:$K,ROW()-1-$L$2+1,7),""),IF(ROW()-1&lt;=$L$2+$M$2+$N$2,IFERROR(INDEX(CLOZE_LIST!$A:$K,ROW()-1-$L$2-$M$2+1,7),""),IF(ROW()-1&lt;=$L$2+$M$2+$N$2+$O$2,IFERROR(INDEX(PROFORMA!$A:$K,ROW()-1-$L$2-$M$2-$N$2+1,7),""),"")))))</f>
        <v>0</v>
      </c>
      <c r="H176" s="3">
        <f>IF(ROW()-1&lt;=0,"",IF(ROW()-1&lt;=$L$2,IFERROR(INDEX(MCQ!$A:$K,ROW()-1+1,8),""),IF(ROW()-1&lt;=$L$2+$M$2,IFERROR(INDEX(CLOZE_AB!$A:$K,ROW()-1-$L$2+1,8),""),IF(ROW()-1&lt;=$L$2+$M$2+$N$2,IFERROR(INDEX(CLOZE_LIST!$A:$K,ROW()-1-$L$2-$M$2+1,8),""),IF(ROW()-1&lt;=$L$2+$M$2+$N$2+$O$2,IFERROR(INDEX(PROFORMA!$A:$K,ROW()-1-$L$2-$M$2-$N$2+1,8),""),"")))))</f>
        <v>0</v>
      </c>
      <c r="I176" s="3">
        <f>IF(ROW()-1&lt;=0,"",IF(ROW()-1&lt;=$L$2,IFERROR(INDEX(MCQ!$A:$K,ROW()-1+1,9),""),IF(ROW()-1&lt;=$L$2+$M$2,IFERROR(INDEX(CLOZE_AB!$A:$K,ROW()-1-$L$2+1,9),""),IF(ROW()-1&lt;=$L$2+$M$2+$N$2,IFERROR(INDEX(CLOZE_LIST!$A:$K,ROW()-1-$L$2-$M$2+1,9),""),IF(ROW()-1&lt;=$L$2+$M$2+$N$2+$O$2,IFERROR(INDEX(PROFORMA!$A:$K,ROW()-1-$L$2-$M$2-$N$2+1,9),""),"")))))</f>
        <v>0</v>
      </c>
      <c r="J176" s="3">
        <f>IF(ROW()-1&lt;=0,"",IF(ROW()-1&lt;=$L$2,IFERROR(INDEX(MCQ!$A:$K,ROW()-1+1,10),""),IF(ROW()-1&lt;=$L$2+$M$2,IFERROR(INDEX(CLOZE_AB!$A:$K,ROW()-1-$L$2+1,10),""),IF(ROW()-1&lt;=$L$2+$M$2+$N$2,IFERROR(INDEX(CLOZE_LIST!$A:$K,ROW()-1-$L$2-$M$2+1,10),""),IF(ROW()-1&lt;=$L$2+$M$2+$N$2+$O$2,IFERROR(INDEX(PROFORMA!$A:$K,ROW()-1-$L$2-$M$2-$N$2+1,10),""),"")))))</f>
        <v>0</v>
      </c>
      <c r="K176" s="3">
        <f>IF(ROW()-1&lt;=0,"",IF(ROW()-1&lt;=$L$2,IFERROR(INDEX(MCQ!$A:$K,ROW()-1+1,11),""),IF(ROW()-1&lt;=$L$2+$M$2,IFERROR(INDEX(CLOZE_AB!$A:$K,ROW()-1-$L$2+1,11),""),IF(ROW()-1&lt;=$L$2+$M$2+$N$2,IFERROR(INDEX(CLOZE_LIST!$A:$K,ROW()-1-$L$2-$M$2+1,11),""),IF(ROW()-1&lt;=$L$2+$M$2+$N$2+$O$2,IFERROR(INDEX(PROFORMA!$A:$K,ROW()-1-$L$2-$M$2-$N$2+1,11),""),"")))))</f>
        <v>0</v>
      </c>
      <c r="L176" s="3">
        <f>COUNTA(MCQ!$A:$A)-1</f>
        <v>143</v>
      </c>
      <c r="M176" s="3">
        <f>COUNTA(CLOZE_AB!$A:$A)-1</f>
        <v>168</v>
      </c>
      <c r="N176" s="3">
        <f>COUNTA(CLOZE_LIST!$A:$A)-1</f>
        <v>199</v>
      </c>
      <c r="O176" s="3">
        <f>COUNTA(PROFORMA!$A:$A)-1</f>
        <v>199</v>
      </c>
    </row>
    <row r="177" spans="1:15" x14ac:dyDescent="0.3">
      <c r="A177" s="3" t="str">
        <f>IF(ROW()-1&lt;=0,"",IF(ROW()-1&lt;=$L$2,IFERROR(INDEX(MCQ!$A:$K,ROW()-1+1,1),""),IF(ROW()-1&lt;=$L$2+$M$2,IFERROR(INDEX(CLOZE_AB!$A:$K,ROW()-1-$L$2+1,1),""),IF(ROW()-1&lt;=$L$2+$M$2+$N$2,IFERROR(INDEX(CLOZE_LIST!$A:$K,ROW()-1-$L$2-$M$2+1,1),""),IF(ROW()-1&lt;=$L$2+$M$2+$N$2+$O$2,IFERROR(INDEX(PROFORMA!$A:$K,ROW()-1-$L$2-$M$2-$N$2+1,1),""),"")))))</f>
        <v/>
      </c>
      <c r="B177" s="3">
        <f>IF(ROW()-1&lt;=0,"",IF(ROW()-1&lt;=$L$2,IFERROR(INDEX(MCQ!$A:$K,ROW()-1+1,2),""),IF(ROW()-1&lt;=$L$2+$M$2,IFERROR(INDEX(CLOZE_AB!$A:$K,ROW()-1-$L$2+1,2),""),IF(ROW()-1&lt;=$L$2+$M$2+$N$2,IFERROR(INDEX(CLOZE_LIST!$A:$K,ROW()-1-$L$2-$M$2+1,2),""),IF(ROW()-1&lt;=$L$2+$M$2+$N$2+$O$2,IFERROR(INDEX(PROFORMA!$A:$K,ROW()-1-$L$2-$M$2-$N$2+1,2),""),"")))))</f>
        <v>0</v>
      </c>
      <c r="C177" s="3">
        <f>IF(ROW()-1&lt;=0,"",IF(ROW()-1&lt;=$L$2,IFERROR(INDEX(MCQ!$A:$K,ROW()-1+1,3),""),IF(ROW()-1&lt;=$L$2+$M$2,IFERROR(INDEX(CLOZE_AB!$A:$K,ROW()-1-$L$2+1,3),""),IF(ROW()-1&lt;=$L$2+$M$2+$N$2,IFERROR(INDEX(CLOZE_LIST!$A:$K,ROW()-1-$L$2-$M$2+1,3),""),IF(ROW()-1&lt;=$L$2+$M$2+$N$2+$O$2,IFERROR(INDEX(PROFORMA!$A:$K,ROW()-1-$L$2-$M$2-$N$2+1,3),""),"")))))</f>
        <v>0</v>
      </c>
      <c r="D177" s="3">
        <f>IF(ROW()-1&lt;=0,"",IF(ROW()-1&lt;=$L$2,IFERROR(INDEX(MCQ!$A:$K,ROW()-1+1,4),""),IF(ROW()-1&lt;=$L$2+$M$2,IFERROR(INDEX(CLOZE_AB!$A:$K,ROW()-1-$L$2+1,4),""),IF(ROW()-1&lt;=$L$2+$M$2+$N$2,IFERROR(INDEX(CLOZE_LIST!$A:$K,ROW()-1-$L$2-$M$2+1,4),""),IF(ROW()-1&lt;=$L$2+$M$2+$N$2+$O$2,IFERROR(INDEX(PROFORMA!$A:$K,ROW()-1-$L$2-$M$2-$N$2+1,4),""),"")))))</f>
        <v>0</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0</v>
      </c>
      <c r="G177" s="3">
        <f>IF(ROW()-1&lt;=0,"",IF(ROW()-1&lt;=$L$2,IFERROR(INDEX(MCQ!$A:$K,ROW()-1+1,7),""),IF(ROW()-1&lt;=$L$2+$M$2,IFERROR(INDEX(CLOZE_AB!$A:$K,ROW()-1-$L$2+1,7),""),IF(ROW()-1&lt;=$L$2+$M$2+$N$2,IFERROR(INDEX(CLOZE_LIST!$A:$K,ROW()-1-$L$2-$M$2+1,7),""),IF(ROW()-1&lt;=$L$2+$M$2+$N$2+$O$2,IFERROR(INDEX(PROFORMA!$A:$K,ROW()-1-$L$2-$M$2-$N$2+1,7),""),"")))))</f>
        <v>0</v>
      </c>
      <c r="H177" s="3">
        <f>IF(ROW()-1&lt;=0,"",IF(ROW()-1&lt;=$L$2,IFERROR(INDEX(MCQ!$A:$K,ROW()-1+1,8),""),IF(ROW()-1&lt;=$L$2+$M$2,IFERROR(INDEX(CLOZE_AB!$A:$K,ROW()-1-$L$2+1,8),""),IF(ROW()-1&lt;=$L$2+$M$2+$N$2,IFERROR(INDEX(CLOZE_LIST!$A:$K,ROW()-1-$L$2-$M$2+1,8),""),IF(ROW()-1&lt;=$L$2+$M$2+$N$2+$O$2,IFERROR(INDEX(PROFORMA!$A:$K,ROW()-1-$L$2-$M$2-$N$2+1,8),""),"")))))</f>
        <v>0</v>
      </c>
      <c r="I177" s="3">
        <f>IF(ROW()-1&lt;=0,"",IF(ROW()-1&lt;=$L$2,IFERROR(INDEX(MCQ!$A:$K,ROW()-1+1,9),""),IF(ROW()-1&lt;=$L$2+$M$2,IFERROR(INDEX(CLOZE_AB!$A:$K,ROW()-1-$L$2+1,9),""),IF(ROW()-1&lt;=$L$2+$M$2+$N$2,IFERROR(INDEX(CLOZE_LIST!$A:$K,ROW()-1-$L$2-$M$2+1,9),""),IF(ROW()-1&lt;=$L$2+$M$2+$N$2+$O$2,IFERROR(INDEX(PROFORMA!$A:$K,ROW()-1-$L$2-$M$2-$N$2+1,9),""),"")))))</f>
        <v>0</v>
      </c>
      <c r="J177" s="3">
        <f>IF(ROW()-1&lt;=0,"",IF(ROW()-1&lt;=$L$2,IFERROR(INDEX(MCQ!$A:$K,ROW()-1+1,10),""),IF(ROW()-1&lt;=$L$2+$M$2,IFERROR(INDEX(CLOZE_AB!$A:$K,ROW()-1-$L$2+1,10),""),IF(ROW()-1&lt;=$L$2+$M$2+$N$2,IFERROR(INDEX(CLOZE_LIST!$A:$K,ROW()-1-$L$2-$M$2+1,10),""),IF(ROW()-1&lt;=$L$2+$M$2+$N$2+$O$2,IFERROR(INDEX(PROFORMA!$A:$K,ROW()-1-$L$2-$M$2-$N$2+1,10),""),"")))))</f>
        <v>0</v>
      </c>
      <c r="K177" s="3">
        <f>IF(ROW()-1&lt;=0,"",IF(ROW()-1&lt;=$L$2,IFERROR(INDEX(MCQ!$A:$K,ROW()-1+1,11),""),IF(ROW()-1&lt;=$L$2+$M$2,IFERROR(INDEX(CLOZE_AB!$A:$K,ROW()-1-$L$2+1,11),""),IF(ROW()-1&lt;=$L$2+$M$2+$N$2,IFERROR(INDEX(CLOZE_LIST!$A:$K,ROW()-1-$L$2-$M$2+1,11),""),IF(ROW()-1&lt;=$L$2+$M$2+$N$2+$O$2,IFERROR(INDEX(PROFORMA!$A:$K,ROW()-1-$L$2-$M$2-$N$2+1,11),""),"")))))</f>
        <v>0</v>
      </c>
      <c r="L177" s="3">
        <f>COUNTA(MCQ!$A:$A)-1</f>
        <v>143</v>
      </c>
      <c r="M177" s="3">
        <f>COUNTA(CLOZE_AB!$A:$A)-1</f>
        <v>168</v>
      </c>
      <c r="N177" s="3">
        <f>COUNTA(CLOZE_LIST!$A:$A)-1</f>
        <v>199</v>
      </c>
      <c r="O177" s="3">
        <f>COUNTA(PROFORMA!$A:$A)-1</f>
        <v>199</v>
      </c>
    </row>
    <row r="178" spans="1:15" x14ac:dyDescent="0.3">
      <c r="A178" s="3" t="str">
        <f>IF(ROW()-1&lt;=0,"",IF(ROW()-1&lt;=$L$2,IFERROR(INDEX(MCQ!$A:$K,ROW()-1+1,1),""),IF(ROW()-1&lt;=$L$2+$M$2,IFERROR(INDEX(CLOZE_AB!$A:$K,ROW()-1-$L$2+1,1),""),IF(ROW()-1&lt;=$L$2+$M$2+$N$2,IFERROR(INDEX(CLOZE_LIST!$A:$K,ROW()-1-$L$2-$M$2+1,1),""),IF(ROW()-1&lt;=$L$2+$M$2+$N$2+$O$2,IFERROR(INDEX(PROFORMA!$A:$K,ROW()-1-$L$2-$M$2-$N$2+1,1),""),"")))))</f>
        <v/>
      </c>
      <c r="B178" s="3">
        <f>IF(ROW()-1&lt;=0,"",IF(ROW()-1&lt;=$L$2,IFERROR(INDEX(MCQ!$A:$K,ROW()-1+1,2),""),IF(ROW()-1&lt;=$L$2+$M$2,IFERROR(INDEX(CLOZE_AB!$A:$K,ROW()-1-$L$2+1,2),""),IF(ROW()-1&lt;=$L$2+$M$2+$N$2,IFERROR(INDEX(CLOZE_LIST!$A:$K,ROW()-1-$L$2-$M$2+1,2),""),IF(ROW()-1&lt;=$L$2+$M$2+$N$2+$O$2,IFERROR(INDEX(PROFORMA!$A:$K,ROW()-1-$L$2-$M$2-$N$2+1,2),""),"")))))</f>
        <v>0</v>
      </c>
      <c r="C178" s="3">
        <f>IF(ROW()-1&lt;=0,"",IF(ROW()-1&lt;=$L$2,IFERROR(INDEX(MCQ!$A:$K,ROW()-1+1,3),""),IF(ROW()-1&lt;=$L$2+$M$2,IFERROR(INDEX(CLOZE_AB!$A:$K,ROW()-1-$L$2+1,3),""),IF(ROW()-1&lt;=$L$2+$M$2+$N$2,IFERROR(INDEX(CLOZE_LIST!$A:$K,ROW()-1-$L$2-$M$2+1,3),""),IF(ROW()-1&lt;=$L$2+$M$2+$N$2+$O$2,IFERROR(INDEX(PROFORMA!$A:$K,ROW()-1-$L$2-$M$2-$N$2+1,3),""),"")))))</f>
        <v>0</v>
      </c>
      <c r="D178" s="3">
        <f>IF(ROW()-1&lt;=0,"",IF(ROW()-1&lt;=$L$2,IFERROR(INDEX(MCQ!$A:$K,ROW()-1+1,4),""),IF(ROW()-1&lt;=$L$2+$M$2,IFERROR(INDEX(CLOZE_AB!$A:$K,ROW()-1-$L$2+1,4),""),IF(ROW()-1&lt;=$L$2+$M$2+$N$2,IFERROR(INDEX(CLOZE_LIST!$A:$K,ROW()-1-$L$2-$M$2+1,4),""),IF(ROW()-1&lt;=$L$2+$M$2+$N$2+$O$2,IFERROR(INDEX(PROFORMA!$A:$K,ROW()-1-$L$2-$M$2-$N$2+1,4),""),"")))))</f>
        <v>0</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0</v>
      </c>
      <c r="G178" s="3">
        <f>IF(ROW()-1&lt;=0,"",IF(ROW()-1&lt;=$L$2,IFERROR(INDEX(MCQ!$A:$K,ROW()-1+1,7),""),IF(ROW()-1&lt;=$L$2+$M$2,IFERROR(INDEX(CLOZE_AB!$A:$K,ROW()-1-$L$2+1,7),""),IF(ROW()-1&lt;=$L$2+$M$2+$N$2,IFERROR(INDEX(CLOZE_LIST!$A:$K,ROW()-1-$L$2-$M$2+1,7),""),IF(ROW()-1&lt;=$L$2+$M$2+$N$2+$O$2,IFERROR(INDEX(PROFORMA!$A:$K,ROW()-1-$L$2-$M$2-$N$2+1,7),""),"")))))</f>
        <v>0</v>
      </c>
      <c r="H178" s="3">
        <f>IF(ROW()-1&lt;=0,"",IF(ROW()-1&lt;=$L$2,IFERROR(INDEX(MCQ!$A:$K,ROW()-1+1,8),""),IF(ROW()-1&lt;=$L$2+$M$2,IFERROR(INDEX(CLOZE_AB!$A:$K,ROW()-1-$L$2+1,8),""),IF(ROW()-1&lt;=$L$2+$M$2+$N$2,IFERROR(INDEX(CLOZE_LIST!$A:$K,ROW()-1-$L$2-$M$2+1,8),""),IF(ROW()-1&lt;=$L$2+$M$2+$N$2+$O$2,IFERROR(INDEX(PROFORMA!$A:$K,ROW()-1-$L$2-$M$2-$N$2+1,8),""),"")))))</f>
        <v>0</v>
      </c>
      <c r="I178" s="3">
        <f>IF(ROW()-1&lt;=0,"",IF(ROW()-1&lt;=$L$2,IFERROR(INDEX(MCQ!$A:$K,ROW()-1+1,9),""),IF(ROW()-1&lt;=$L$2+$M$2,IFERROR(INDEX(CLOZE_AB!$A:$K,ROW()-1-$L$2+1,9),""),IF(ROW()-1&lt;=$L$2+$M$2+$N$2,IFERROR(INDEX(CLOZE_LIST!$A:$K,ROW()-1-$L$2-$M$2+1,9),""),IF(ROW()-1&lt;=$L$2+$M$2+$N$2+$O$2,IFERROR(INDEX(PROFORMA!$A:$K,ROW()-1-$L$2-$M$2-$N$2+1,9),""),"")))))</f>
        <v>0</v>
      </c>
      <c r="J178" s="3">
        <f>IF(ROW()-1&lt;=0,"",IF(ROW()-1&lt;=$L$2,IFERROR(INDEX(MCQ!$A:$K,ROW()-1+1,10),""),IF(ROW()-1&lt;=$L$2+$M$2,IFERROR(INDEX(CLOZE_AB!$A:$K,ROW()-1-$L$2+1,10),""),IF(ROW()-1&lt;=$L$2+$M$2+$N$2,IFERROR(INDEX(CLOZE_LIST!$A:$K,ROW()-1-$L$2-$M$2+1,10),""),IF(ROW()-1&lt;=$L$2+$M$2+$N$2+$O$2,IFERROR(INDEX(PROFORMA!$A:$K,ROW()-1-$L$2-$M$2-$N$2+1,10),""),"")))))</f>
        <v>0</v>
      </c>
      <c r="K178" s="3">
        <f>IF(ROW()-1&lt;=0,"",IF(ROW()-1&lt;=$L$2,IFERROR(INDEX(MCQ!$A:$K,ROW()-1+1,11),""),IF(ROW()-1&lt;=$L$2+$M$2,IFERROR(INDEX(CLOZE_AB!$A:$K,ROW()-1-$L$2+1,11),""),IF(ROW()-1&lt;=$L$2+$M$2+$N$2,IFERROR(INDEX(CLOZE_LIST!$A:$K,ROW()-1-$L$2-$M$2+1,11),""),IF(ROW()-1&lt;=$L$2+$M$2+$N$2+$O$2,IFERROR(INDEX(PROFORMA!$A:$K,ROW()-1-$L$2-$M$2-$N$2+1,11),""),"")))))</f>
        <v>0</v>
      </c>
      <c r="L178" s="3">
        <f>COUNTA(MCQ!$A:$A)-1</f>
        <v>143</v>
      </c>
      <c r="M178" s="3">
        <f>COUNTA(CLOZE_AB!$A:$A)-1</f>
        <v>168</v>
      </c>
      <c r="N178" s="3">
        <f>COUNTA(CLOZE_LIST!$A:$A)-1</f>
        <v>199</v>
      </c>
      <c r="O178" s="3">
        <f>COUNTA(PROFORMA!$A:$A)-1</f>
        <v>199</v>
      </c>
    </row>
    <row r="179" spans="1:15" x14ac:dyDescent="0.3">
      <c r="A179" s="3" t="str">
        <f>IF(ROW()-1&lt;=0,"",IF(ROW()-1&lt;=$L$2,IFERROR(INDEX(MCQ!$A:$K,ROW()-1+1,1),""),IF(ROW()-1&lt;=$L$2+$M$2,IFERROR(INDEX(CLOZE_AB!$A:$K,ROW()-1-$L$2+1,1),""),IF(ROW()-1&lt;=$L$2+$M$2+$N$2,IFERROR(INDEX(CLOZE_LIST!$A:$K,ROW()-1-$L$2-$M$2+1,1),""),IF(ROW()-1&lt;=$L$2+$M$2+$N$2+$O$2,IFERROR(INDEX(PROFORMA!$A:$K,ROW()-1-$L$2-$M$2-$N$2+1,1),""),"")))))</f>
        <v/>
      </c>
      <c r="B179" s="3">
        <f>IF(ROW()-1&lt;=0,"",IF(ROW()-1&lt;=$L$2,IFERROR(INDEX(MCQ!$A:$K,ROW()-1+1,2),""),IF(ROW()-1&lt;=$L$2+$M$2,IFERROR(INDEX(CLOZE_AB!$A:$K,ROW()-1-$L$2+1,2),""),IF(ROW()-1&lt;=$L$2+$M$2+$N$2,IFERROR(INDEX(CLOZE_LIST!$A:$K,ROW()-1-$L$2-$M$2+1,2),""),IF(ROW()-1&lt;=$L$2+$M$2+$N$2+$O$2,IFERROR(INDEX(PROFORMA!$A:$K,ROW()-1-$L$2-$M$2-$N$2+1,2),""),"")))))</f>
        <v>0</v>
      </c>
      <c r="C179" s="3">
        <f>IF(ROW()-1&lt;=0,"",IF(ROW()-1&lt;=$L$2,IFERROR(INDEX(MCQ!$A:$K,ROW()-1+1,3),""),IF(ROW()-1&lt;=$L$2+$M$2,IFERROR(INDEX(CLOZE_AB!$A:$K,ROW()-1-$L$2+1,3),""),IF(ROW()-1&lt;=$L$2+$M$2+$N$2,IFERROR(INDEX(CLOZE_LIST!$A:$K,ROW()-1-$L$2-$M$2+1,3),""),IF(ROW()-1&lt;=$L$2+$M$2+$N$2+$O$2,IFERROR(INDEX(PROFORMA!$A:$K,ROW()-1-$L$2-$M$2-$N$2+1,3),""),"")))))</f>
        <v>0</v>
      </c>
      <c r="D179" s="3">
        <f>IF(ROW()-1&lt;=0,"",IF(ROW()-1&lt;=$L$2,IFERROR(INDEX(MCQ!$A:$K,ROW()-1+1,4),""),IF(ROW()-1&lt;=$L$2+$M$2,IFERROR(INDEX(CLOZE_AB!$A:$K,ROW()-1-$L$2+1,4),""),IF(ROW()-1&lt;=$L$2+$M$2+$N$2,IFERROR(INDEX(CLOZE_LIST!$A:$K,ROW()-1-$L$2-$M$2+1,4),""),IF(ROW()-1&lt;=$L$2+$M$2+$N$2+$O$2,IFERROR(INDEX(PROFORMA!$A:$K,ROW()-1-$L$2-$M$2-$N$2+1,4),""),"")))))</f>
        <v>0</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0</v>
      </c>
      <c r="G179" s="3">
        <f>IF(ROW()-1&lt;=0,"",IF(ROW()-1&lt;=$L$2,IFERROR(INDEX(MCQ!$A:$K,ROW()-1+1,7),""),IF(ROW()-1&lt;=$L$2+$M$2,IFERROR(INDEX(CLOZE_AB!$A:$K,ROW()-1-$L$2+1,7),""),IF(ROW()-1&lt;=$L$2+$M$2+$N$2,IFERROR(INDEX(CLOZE_LIST!$A:$K,ROW()-1-$L$2-$M$2+1,7),""),IF(ROW()-1&lt;=$L$2+$M$2+$N$2+$O$2,IFERROR(INDEX(PROFORMA!$A:$K,ROW()-1-$L$2-$M$2-$N$2+1,7),""),"")))))</f>
        <v>0</v>
      </c>
      <c r="H179" s="3">
        <f>IF(ROW()-1&lt;=0,"",IF(ROW()-1&lt;=$L$2,IFERROR(INDEX(MCQ!$A:$K,ROW()-1+1,8),""),IF(ROW()-1&lt;=$L$2+$M$2,IFERROR(INDEX(CLOZE_AB!$A:$K,ROW()-1-$L$2+1,8),""),IF(ROW()-1&lt;=$L$2+$M$2+$N$2,IFERROR(INDEX(CLOZE_LIST!$A:$K,ROW()-1-$L$2-$M$2+1,8),""),IF(ROW()-1&lt;=$L$2+$M$2+$N$2+$O$2,IFERROR(INDEX(PROFORMA!$A:$K,ROW()-1-$L$2-$M$2-$N$2+1,8),""),"")))))</f>
        <v>0</v>
      </c>
      <c r="I179" s="3">
        <f>IF(ROW()-1&lt;=0,"",IF(ROW()-1&lt;=$L$2,IFERROR(INDEX(MCQ!$A:$K,ROW()-1+1,9),""),IF(ROW()-1&lt;=$L$2+$M$2,IFERROR(INDEX(CLOZE_AB!$A:$K,ROW()-1-$L$2+1,9),""),IF(ROW()-1&lt;=$L$2+$M$2+$N$2,IFERROR(INDEX(CLOZE_LIST!$A:$K,ROW()-1-$L$2-$M$2+1,9),""),IF(ROW()-1&lt;=$L$2+$M$2+$N$2+$O$2,IFERROR(INDEX(PROFORMA!$A:$K,ROW()-1-$L$2-$M$2-$N$2+1,9),""),"")))))</f>
        <v>0</v>
      </c>
      <c r="J179" s="3">
        <f>IF(ROW()-1&lt;=0,"",IF(ROW()-1&lt;=$L$2,IFERROR(INDEX(MCQ!$A:$K,ROW()-1+1,10),""),IF(ROW()-1&lt;=$L$2+$M$2,IFERROR(INDEX(CLOZE_AB!$A:$K,ROW()-1-$L$2+1,10),""),IF(ROW()-1&lt;=$L$2+$M$2+$N$2,IFERROR(INDEX(CLOZE_LIST!$A:$K,ROW()-1-$L$2-$M$2+1,10),""),IF(ROW()-1&lt;=$L$2+$M$2+$N$2+$O$2,IFERROR(INDEX(PROFORMA!$A:$K,ROW()-1-$L$2-$M$2-$N$2+1,10),""),"")))))</f>
        <v>0</v>
      </c>
      <c r="K179" s="3">
        <f>IF(ROW()-1&lt;=0,"",IF(ROW()-1&lt;=$L$2,IFERROR(INDEX(MCQ!$A:$K,ROW()-1+1,11),""),IF(ROW()-1&lt;=$L$2+$M$2,IFERROR(INDEX(CLOZE_AB!$A:$K,ROW()-1-$L$2+1,11),""),IF(ROW()-1&lt;=$L$2+$M$2+$N$2,IFERROR(INDEX(CLOZE_LIST!$A:$K,ROW()-1-$L$2-$M$2+1,11),""),IF(ROW()-1&lt;=$L$2+$M$2+$N$2+$O$2,IFERROR(INDEX(PROFORMA!$A:$K,ROW()-1-$L$2-$M$2-$N$2+1,11),""),"")))))</f>
        <v>0</v>
      </c>
      <c r="L179" s="3">
        <f>COUNTA(MCQ!$A:$A)-1</f>
        <v>143</v>
      </c>
      <c r="M179" s="3">
        <f>COUNTA(CLOZE_AB!$A:$A)-1</f>
        <v>168</v>
      </c>
      <c r="N179" s="3">
        <f>COUNTA(CLOZE_LIST!$A:$A)-1</f>
        <v>199</v>
      </c>
      <c r="O179" s="3">
        <f>COUNTA(PROFORMA!$A:$A)-1</f>
        <v>199</v>
      </c>
    </row>
    <row r="180" spans="1:15" x14ac:dyDescent="0.3">
      <c r="A180" s="3" t="str">
        <f>IF(ROW()-1&lt;=0,"",IF(ROW()-1&lt;=$L$2,IFERROR(INDEX(MCQ!$A:$K,ROW()-1+1,1),""),IF(ROW()-1&lt;=$L$2+$M$2,IFERROR(INDEX(CLOZE_AB!$A:$K,ROW()-1-$L$2+1,1),""),IF(ROW()-1&lt;=$L$2+$M$2+$N$2,IFERROR(INDEX(CLOZE_LIST!$A:$K,ROW()-1-$L$2-$M$2+1,1),""),IF(ROW()-1&lt;=$L$2+$M$2+$N$2+$O$2,IFERROR(INDEX(PROFORMA!$A:$K,ROW()-1-$L$2-$M$2-$N$2+1,1),""),"")))))</f>
        <v/>
      </c>
      <c r="B180" s="3">
        <f>IF(ROW()-1&lt;=0,"",IF(ROW()-1&lt;=$L$2,IFERROR(INDEX(MCQ!$A:$K,ROW()-1+1,2),""),IF(ROW()-1&lt;=$L$2+$M$2,IFERROR(INDEX(CLOZE_AB!$A:$K,ROW()-1-$L$2+1,2),""),IF(ROW()-1&lt;=$L$2+$M$2+$N$2,IFERROR(INDEX(CLOZE_LIST!$A:$K,ROW()-1-$L$2-$M$2+1,2),""),IF(ROW()-1&lt;=$L$2+$M$2+$N$2+$O$2,IFERROR(INDEX(PROFORMA!$A:$K,ROW()-1-$L$2-$M$2-$N$2+1,2),""),"")))))</f>
        <v>0</v>
      </c>
      <c r="C180" s="3">
        <f>IF(ROW()-1&lt;=0,"",IF(ROW()-1&lt;=$L$2,IFERROR(INDEX(MCQ!$A:$K,ROW()-1+1,3),""),IF(ROW()-1&lt;=$L$2+$M$2,IFERROR(INDEX(CLOZE_AB!$A:$K,ROW()-1-$L$2+1,3),""),IF(ROW()-1&lt;=$L$2+$M$2+$N$2,IFERROR(INDEX(CLOZE_LIST!$A:$K,ROW()-1-$L$2-$M$2+1,3),""),IF(ROW()-1&lt;=$L$2+$M$2+$N$2+$O$2,IFERROR(INDEX(PROFORMA!$A:$K,ROW()-1-$L$2-$M$2-$N$2+1,3),""),"")))))</f>
        <v>0</v>
      </c>
      <c r="D180" s="3">
        <f>IF(ROW()-1&lt;=0,"",IF(ROW()-1&lt;=$L$2,IFERROR(INDEX(MCQ!$A:$K,ROW()-1+1,4),""),IF(ROW()-1&lt;=$L$2+$M$2,IFERROR(INDEX(CLOZE_AB!$A:$K,ROW()-1-$L$2+1,4),""),IF(ROW()-1&lt;=$L$2+$M$2+$N$2,IFERROR(INDEX(CLOZE_LIST!$A:$K,ROW()-1-$L$2-$M$2+1,4),""),IF(ROW()-1&lt;=$L$2+$M$2+$N$2+$O$2,IFERROR(INDEX(PROFORMA!$A:$K,ROW()-1-$L$2-$M$2-$N$2+1,4),""),"")))))</f>
        <v>0</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0</v>
      </c>
      <c r="G180" s="3">
        <f>IF(ROW()-1&lt;=0,"",IF(ROW()-1&lt;=$L$2,IFERROR(INDEX(MCQ!$A:$K,ROW()-1+1,7),""),IF(ROW()-1&lt;=$L$2+$M$2,IFERROR(INDEX(CLOZE_AB!$A:$K,ROW()-1-$L$2+1,7),""),IF(ROW()-1&lt;=$L$2+$M$2+$N$2,IFERROR(INDEX(CLOZE_LIST!$A:$K,ROW()-1-$L$2-$M$2+1,7),""),IF(ROW()-1&lt;=$L$2+$M$2+$N$2+$O$2,IFERROR(INDEX(PROFORMA!$A:$K,ROW()-1-$L$2-$M$2-$N$2+1,7),""),"")))))</f>
        <v>0</v>
      </c>
      <c r="H180" s="3">
        <f>IF(ROW()-1&lt;=0,"",IF(ROW()-1&lt;=$L$2,IFERROR(INDEX(MCQ!$A:$K,ROW()-1+1,8),""),IF(ROW()-1&lt;=$L$2+$M$2,IFERROR(INDEX(CLOZE_AB!$A:$K,ROW()-1-$L$2+1,8),""),IF(ROW()-1&lt;=$L$2+$M$2+$N$2,IFERROR(INDEX(CLOZE_LIST!$A:$K,ROW()-1-$L$2-$M$2+1,8),""),IF(ROW()-1&lt;=$L$2+$M$2+$N$2+$O$2,IFERROR(INDEX(PROFORMA!$A:$K,ROW()-1-$L$2-$M$2-$N$2+1,8),""),"")))))</f>
        <v>0</v>
      </c>
      <c r="I180" s="3">
        <f>IF(ROW()-1&lt;=0,"",IF(ROW()-1&lt;=$L$2,IFERROR(INDEX(MCQ!$A:$K,ROW()-1+1,9),""),IF(ROW()-1&lt;=$L$2+$M$2,IFERROR(INDEX(CLOZE_AB!$A:$K,ROW()-1-$L$2+1,9),""),IF(ROW()-1&lt;=$L$2+$M$2+$N$2,IFERROR(INDEX(CLOZE_LIST!$A:$K,ROW()-1-$L$2-$M$2+1,9),""),IF(ROW()-1&lt;=$L$2+$M$2+$N$2+$O$2,IFERROR(INDEX(PROFORMA!$A:$K,ROW()-1-$L$2-$M$2-$N$2+1,9),""),"")))))</f>
        <v>0</v>
      </c>
      <c r="J180" s="3">
        <f>IF(ROW()-1&lt;=0,"",IF(ROW()-1&lt;=$L$2,IFERROR(INDEX(MCQ!$A:$K,ROW()-1+1,10),""),IF(ROW()-1&lt;=$L$2+$M$2,IFERROR(INDEX(CLOZE_AB!$A:$K,ROW()-1-$L$2+1,10),""),IF(ROW()-1&lt;=$L$2+$M$2+$N$2,IFERROR(INDEX(CLOZE_LIST!$A:$K,ROW()-1-$L$2-$M$2+1,10),""),IF(ROW()-1&lt;=$L$2+$M$2+$N$2+$O$2,IFERROR(INDEX(PROFORMA!$A:$K,ROW()-1-$L$2-$M$2-$N$2+1,10),""),"")))))</f>
        <v>0</v>
      </c>
      <c r="K180" s="3">
        <f>IF(ROW()-1&lt;=0,"",IF(ROW()-1&lt;=$L$2,IFERROR(INDEX(MCQ!$A:$K,ROW()-1+1,11),""),IF(ROW()-1&lt;=$L$2+$M$2,IFERROR(INDEX(CLOZE_AB!$A:$K,ROW()-1-$L$2+1,11),""),IF(ROW()-1&lt;=$L$2+$M$2+$N$2,IFERROR(INDEX(CLOZE_LIST!$A:$K,ROW()-1-$L$2-$M$2+1,11),""),IF(ROW()-1&lt;=$L$2+$M$2+$N$2+$O$2,IFERROR(INDEX(PROFORMA!$A:$K,ROW()-1-$L$2-$M$2-$N$2+1,11),""),"")))))</f>
        <v>0</v>
      </c>
      <c r="L180" s="3">
        <f>COUNTA(MCQ!$A:$A)-1</f>
        <v>143</v>
      </c>
      <c r="M180" s="3">
        <f>COUNTA(CLOZE_AB!$A:$A)-1</f>
        <v>168</v>
      </c>
      <c r="N180" s="3">
        <f>COUNTA(CLOZE_LIST!$A:$A)-1</f>
        <v>199</v>
      </c>
      <c r="O180" s="3">
        <f>COUNTA(PROFORMA!$A:$A)-1</f>
        <v>199</v>
      </c>
    </row>
    <row r="181" spans="1:15" x14ac:dyDescent="0.3">
      <c r="A181" s="3" t="str">
        <f>IF(ROW()-1&lt;=0,"",IF(ROW()-1&lt;=$L$2,IFERROR(INDEX(MCQ!$A:$K,ROW()-1+1,1),""),IF(ROW()-1&lt;=$L$2+$M$2,IFERROR(INDEX(CLOZE_AB!$A:$K,ROW()-1-$L$2+1,1),""),IF(ROW()-1&lt;=$L$2+$M$2+$N$2,IFERROR(INDEX(CLOZE_LIST!$A:$K,ROW()-1-$L$2-$M$2+1,1),""),IF(ROW()-1&lt;=$L$2+$M$2+$N$2+$O$2,IFERROR(INDEX(PROFORMA!$A:$K,ROW()-1-$L$2-$M$2-$N$2+1,1),""),"")))))</f>
        <v/>
      </c>
      <c r="B181" s="3">
        <f>IF(ROW()-1&lt;=0,"",IF(ROW()-1&lt;=$L$2,IFERROR(INDEX(MCQ!$A:$K,ROW()-1+1,2),""),IF(ROW()-1&lt;=$L$2+$M$2,IFERROR(INDEX(CLOZE_AB!$A:$K,ROW()-1-$L$2+1,2),""),IF(ROW()-1&lt;=$L$2+$M$2+$N$2,IFERROR(INDEX(CLOZE_LIST!$A:$K,ROW()-1-$L$2-$M$2+1,2),""),IF(ROW()-1&lt;=$L$2+$M$2+$N$2+$O$2,IFERROR(INDEX(PROFORMA!$A:$K,ROW()-1-$L$2-$M$2-$N$2+1,2),""),"")))))</f>
        <v>0</v>
      </c>
      <c r="C181" s="3">
        <f>IF(ROW()-1&lt;=0,"",IF(ROW()-1&lt;=$L$2,IFERROR(INDEX(MCQ!$A:$K,ROW()-1+1,3),""),IF(ROW()-1&lt;=$L$2+$M$2,IFERROR(INDEX(CLOZE_AB!$A:$K,ROW()-1-$L$2+1,3),""),IF(ROW()-1&lt;=$L$2+$M$2+$N$2,IFERROR(INDEX(CLOZE_LIST!$A:$K,ROW()-1-$L$2-$M$2+1,3),""),IF(ROW()-1&lt;=$L$2+$M$2+$N$2+$O$2,IFERROR(INDEX(PROFORMA!$A:$K,ROW()-1-$L$2-$M$2-$N$2+1,3),""),"")))))</f>
        <v>0</v>
      </c>
      <c r="D181" s="3">
        <f>IF(ROW()-1&lt;=0,"",IF(ROW()-1&lt;=$L$2,IFERROR(INDEX(MCQ!$A:$K,ROW()-1+1,4),""),IF(ROW()-1&lt;=$L$2+$M$2,IFERROR(INDEX(CLOZE_AB!$A:$K,ROW()-1-$L$2+1,4),""),IF(ROW()-1&lt;=$L$2+$M$2+$N$2,IFERROR(INDEX(CLOZE_LIST!$A:$K,ROW()-1-$L$2-$M$2+1,4),""),IF(ROW()-1&lt;=$L$2+$M$2+$N$2+$O$2,IFERROR(INDEX(PROFORMA!$A:$K,ROW()-1-$L$2-$M$2-$N$2+1,4),""),"")))))</f>
        <v>0</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0</v>
      </c>
      <c r="G181" s="3">
        <f>IF(ROW()-1&lt;=0,"",IF(ROW()-1&lt;=$L$2,IFERROR(INDEX(MCQ!$A:$K,ROW()-1+1,7),""),IF(ROW()-1&lt;=$L$2+$M$2,IFERROR(INDEX(CLOZE_AB!$A:$K,ROW()-1-$L$2+1,7),""),IF(ROW()-1&lt;=$L$2+$M$2+$N$2,IFERROR(INDEX(CLOZE_LIST!$A:$K,ROW()-1-$L$2-$M$2+1,7),""),IF(ROW()-1&lt;=$L$2+$M$2+$N$2+$O$2,IFERROR(INDEX(PROFORMA!$A:$K,ROW()-1-$L$2-$M$2-$N$2+1,7),""),"")))))</f>
        <v>0</v>
      </c>
      <c r="H181" s="3">
        <f>IF(ROW()-1&lt;=0,"",IF(ROW()-1&lt;=$L$2,IFERROR(INDEX(MCQ!$A:$K,ROW()-1+1,8),""),IF(ROW()-1&lt;=$L$2+$M$2,IFERROR(INDEX(CLOZE_AB!$A:$K,ROW()-1-$L$2+1,8),""),IF(ROW()-1&lt;=$L$2+$M$2+$N$2,IFERROR(INDEX(CLOZE_LIST!$A:$K,ROW()-1-$L$2-$M$2+1,8),""),IF(ROW()-1&lt;=$L$2+$M$2+$N$2+$O$2,IFERROR(INDEX(PROFORMA!$A:$K,ROW()-1-$L$2-$M$2-$N$2+1,8),""),"")))))</f>
        <v>0</v>
      </c>
      <c r="I181" s="3">
        <f>IF(ROW()-1&lt;=0,"",IF(ROW()-1&lt;=$L$2,IFERROR(INDEX(MCQ!$A:$K,ROW()-1+1,9),""),IF(ROW()-1&lt;=$L$2+$M$2,IFERROR(INDEX(CLOZE_AB!$A:$K,ROW()-1-$L$2+1,9),""),IF(ROW()-1&lt;=$L$2+$M$2+$N$2,IFERROR(INDEX(CLOZE_LIST!$A:$K,ROW()-1-$L$2-$M$2+1,9),""),IF(ROW()-1&lt;=$L$2+$M$2+$N$2+$O$2,IFERROR(INDEX(PROFORMA!$A:$K,ROW()-1-$L$2-$M$2-$N$2+1,9),""),"")))))</f>
        <v>0</v>
      </c>
      <c r="J181" s="3">
        <f>IF(ROW()-1&lt;=0,"",IF(ROW()-1&lt;=$L$2,IFERROR(INDEX(MCQ!$A:$K,ROW()-1+1,10),""),IF(ROW()-1&lt;=$L$2+$M$2,IFERROR(INDEX(CLOZE_AB!$A:$K,ROW()-1-$L$2+1,10),""),IF(ROW()-1&lt;=$L$2+$M$2+$N$2,IFERROR(INDEX(CLOZE_LIST!$A:$K,ROW()-1-$L$2-$M$2+1,10),""),IF(ROW()-1&lt;=$L$2+$M$2+$N$2+$O$2,IFERROR(INDEX(PROFORMA!$A:$K,ROW()-1-$L$2-$M$2-$N$2+1,10),""),"")))))</f>
        <v>0</v>
      </c>
      <c r="K181" s="3">
        <f>IF(ROW()-1&lt;=0,"",IF(ROW()-1&lt;=$L$2,IFERROR(INDEX(MCQ!$A:$K,ROW()-1+1,11),""),IF(ROW()-1&lt;=$L$2+$M$2,IFERROR(INDEX(CLOZE_AB!$A:$K,ROW()-1-$L$2+1,11),""),IF(ROW()-1&lt;=$L$2+$M$2+$N$2,IFERROR(INDEX(CLOZE_LIST!$A:$K,ROW()-1-$L$2-$M$2+1,11),""),IF(ROW()-1&lt;=$L$2+$M$2+$N$2+$O$2,IFERROR(INDEX(PROFORMA!$A:$K,ROW()-1-$L$2-$M$2-$N$2+1,11),""),"")))))</f>
        <v>0</v>
      </c>
      <c r="L181" s="3">
        <f>COUNTA(MCQ!$A:$A)-1</f>
        <v>143</v>
      </c>
      <c r="M181" s="3">
        <f>COUNTA(CLOZE_AB!$A:$A)-1</f>
        <v>168</v>
      </c>
      <c r="N181" s="3">
        <f>COUNTA(CLOZE_LIST!$A:$A)-1</f>
        <v>199</v>
      </c>
      <c r="O181" s="3">
        <f>COUNTA(PROFORMA!$A:$A)-1</f>
        <v>199</v>
      </c>
    </row>
    <row r="182" spans="1:15" x14ac:dyDescent="0.3">
      <c r="A182" s="3" t="str">
        <f>IF(ROW()-1&lt;=0,"",IF(ROW()-1&lt;=$L$2,IFERROR(INDEX(MCQ!$A:$K,ROW()-1+1,1),""),IF(ROW()-1&lt;=$L$2+$M$2,IFERROR(INDEX(CLOZE_AB!$A:$K,ROW()-1-$L$2+1,1),""),IF(ROW()-1&lt;=$L$2+$M$2+$N$2,IFERROR(INDEX(CLOZE_LIST!$A:$K,ROW()-1-$L$2-$M$2+1,1),""),IF(ROW()-1&lt;=$L$2+$M$2+$N$2+$O$2,IFERROR(INDEX(PROFORMA!$A:$K,ROW()-1-$L$2-$M$2-$N$2+1,1),""),"")))))</f>
        <v/>
      </c>
      <c r="B182" s="3">
        <f>IF(ROW()-1&lt;=0,"",IF(ROW()-1&lt;=$L$2,IFERROR(INDEX(MCQ!$A:$K,ROW()-1+1,2),""),IF(ROW()-1&lt;=$L$2+$M$2,IFERROR(INDEX(CLOZE_AB!$A:$K,ROW()-1-$L$2+1,2),""),IF(ROW()-1&lt;=$L$2+$M$2+$N$2,IFERROR(INDEX(CLOZE_LIST!$A:$K,ROW()-1-$L$2-$M$2+1,2),""),IF(ROW()-1&lt;=$L$2+$M$2+$N$2+$O$2,IFERROR(INDEX(PROFORMA!$A:$K,ROW()-1-$L$2-$M$2-$N$2+1,2),""),"")))))</f>
        <v>0</v>
      </c>
      <c r="C182" s="3">
        <f>IF(ROW()-1&lt;=0,"",IF(ROW()-1&lt;=$L$2,IFERROR(INDEX(MCQ!$A:$K,ROW()-1+1,3),""),IF(ROW()-1&lt;=$L$2+$M$2,IFERROR(INDEX(CLOZE_AB!$A:$K,ROW()-1-$L$2+1,3),""),IF(ROW()-1&lt;=$L$2+$M$2+$N$2,IFERROR(INDEX(CLOZE_LIST!$A:$K,ROW()-1-$L$2-$M$2+1,3),""),IF(ROW()-1&lt;=$L$2+$M$2+$N$2+$O$2,IFERROR(INDEX(PROFORMA!$A:$K,ROW()-1-$L$2-$M$2-$N$2+1,3),""),"")))))</f>
        <v>0</v>
      </c>
      <c r="D182" s="3">
        <f>IF(ROW()-1&lt;=0,"",IF(ROW()-1&lt;=$L$2,IFERROR(INDEX(MCQ!$A:$K,ROW()-1+1,4),""),IF(ROW()-1&lt;=$L$2+$M$2,IFERROR(INDEX(CLOZE_AB!$A:$K,ROW()-1-$L$2+1,4),""),IF(ROW()-1&lt;=$L$2+$M$2+$N$2,IFERROR(INDEX(CLOZE_LIST!$A:$K,ROW()-1-$L$2-$M$2+1,4),""),IF(ROW()-1&lt;=$L$2+$M$2+$N$2+$O$2,IFERROR(INDEX(PROFORMA!$A:$K,ROW()-1-$L$2-$M$2-$N$2+1,4),""),"")))))</f>
        <v>0</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0</v>
      </c>
      <c r="G182" s="3">
        <f>IF(ROW()-1&lt;=0,"",IF(ROW()-1&lt;=$L$2,IFERROR(INDEX(MCQ!$A:$K,ROW()-1+1,7),""),IF(ROW()-1&lt;=$L$2+$M$2,IFERROR(INDEX(CLOZE_AB!$A:$K,ROW()-1-$L$2+1,7),""),IF(ROW()-1&lt;=$L$2+$M$2+$N$2,IFERROR(INDEX(CLOZE_LIST!$A:$K,ROW()-1-$L$2-$M$2+1,7),""),IF(ROW()-1&lt;=$L$2+$M$2+$N$2+$O$2,IFERROR(INDEX(PROFORMA!$A:$K,ROW()-1-$L$2-$M$2-$N$2+1,7),""),"")))))</f>
        <v>0</v>
      </c>
      <c r="H182" s="3">
        <f>IF(ROW()-1&lt;=0,"",IF(ROW()-1&lt;=$L$2,IFERROR(INDEX(MCQ!$A:$K,ROW()-1+1,8),""),IF(ROW()-1&lt;=$L$2+$M$2,IFERROR(INDEX(CLOZE_AB!$A:$K,ROW()-1-$L$2+1,8),""),IF(ROW()-1&lt;=$L$2+$M$2+$N$2,IFERROR(INDEX(CLOZE_LIST!$A:$K,ROW()-1-$L$2-$M$2+1,8),""),IF(ROW()-1&lt;=$L$2+$M$2+$N$2+$O$2,IFERROR(INDEX(PROFORMA!$A:$K,ROW()-1-$L$2-$M$2-$N$2+1,8),""),"")))))</f>
        <v>0</v>
      </c>
      <c r="I182" s="3">
        <f>IF(ROW()-1&lt;=0,"",IF(ROW()-1&lt;=$L$2,IFERROR(INDEX(MCQ!$A:$K,ROW()-1+1,9),""),IF(ROW()-1&lt;=$L$2+$M$2,IFERROR(INDEX(CLOZE_AB!$A:$K,ROW()-1-$L$2+1,9),""),IF(ROW()-1&lt;=$L$2+$M$2+$N$2,IFERROR(INDEX(CLOZE_LIST!$A:$K,ROW()-1-$L$2-$M$2+1,9),""),IF(ROW()-1&lt;=$L$2+$M$2+$N$2+$O$2,IFERROR(INDEX(PROFORMA!$A:$K,ROW()-1-$L$2-$M$2-$N$2+1,9),""),"")))))</f>
        <v>0</v>
      </c>
      <c r="J182" s="3">
        <f>IF(ROW()-1&lt;=0,"",IF(ROW()-1&lt;=$L$2,IFERROR(INDEX(MCQ!$A:$K,ROW()-1+1,10),""),IF(ROW()-1&lt;=$L$2+$M$2,IFERROR(INDEX(CLOZE_AB!$A:$K,ROW()-1-$L$2+1,10),""),IF(ROW()-1&lt;=$L$2+$M$2+$N$2,IFERROR(INDEX(CLOZE_LIST!$A:$K,ROW()-1-$L$2-$M$2+1,10),""),IF(ROW()-1&lt;=$L$2+$M$2+$N$2+$O$2,IFERROR(INDEX(PROFORMA!$A:$K,ROW()-1-$L$2-$M$2-$N$2+1,10),""),"")))))</f>
        <v>0</v>
      </c>
      <c r="K182" s="3">
        <f>IF(ROW()-1&lt;=0,"",IF(ROW()-1&lt;=$L$2,IFERROR(INDEX(MCQ!$A:$K,ROW()-1+1,11),""),IF(ROW()-1&lt;=$L$2+$M$2,IFERROR(INDEX(CLOZE_AB!$A:$K,ROW()-1-$L$2+1,11),""),IF(ROW()-1&lt;=$L$2+$M$2+$N$2,IFERROR(INDEX(CLOZE_LIST!$A:$K,ROW()-1-$L$2-$M$2+1,11),""),IF(ROW()-1&lt;=$L$2+$M$2+$N$2+$O$2,IFERROR(INDEX(PROFORMA!$A:$K,ROW()-1-$L$2-$M$2-$N$2+1,11),""),"")))))</f>
        <v>0</v>
      </c>
      <c r="L182" s="3">
        <f>COUNTA(MCQ!$A:$A)-1</f>
        <v>143</v>
      </c>
      <c r="M182" s="3">
        <f>COUNTA(CLOZE_AB!$A:$A)-1</f>
        <v>168</v>
      </c>
      <c r="N182" s="3">
        <f>COUNTA(CLOZE_LIST!$A:$A)-1</f>
        <v>199</v>
      </c>
      <c r="O182" s="3">
        <f>COUNTA(PROFORMA!$A:$A)-1</f>
        <v>199</v>
      </c>
    </row>
    <row r="183" spans="1:15" x14ac:dyDescent="0.3">
      <c r="A183" s="3" t="str">
        <f>IF(ROW()-1&lt;=0,"",IF(ROW()-1&lt;=$L$2,IFERROR(INDEX(MCQ!$A:$K,ROW()-1+1,1),""),IF(ROW()-1&lt;=$L$2+$M$2,IFERROR(INDEX(CLOZE_AB!$A:$K,ROW()-1-$L$2+1,1),""),IF(ROW()-1&lt;=$L$2+$M$2+$N$2,IFERROR(INDEX(CLOZE_LIST!$A:$K,ROW()-1-$L$2-$M$2+1,1),""),IF(ROW()-1&lt;=$L$2+$M$2+$N$2+$O$2,IFERROR(INDEX(PROFORMA!$A:$K,ROW()-1-$L$2-$M$2-$N$2+1,1),""),"")))))</f>
        <v/>
      </c>
      <c r="B183" s="3">
        <f>IF(ROW()-1&lt;=0,"",IF(ROW()-1&lt;=$L$2,IFERROR(INDEX(MCQ!$A:$K,ROW()-1+1,2),""),IF(ROW()-1&lt;=$L$2+$M$2,IFERROR(INDEX(CLOZE_AB!$A:$K,ROW()-1-$L$2+1,2),""),IF(ROW()-1&lt;=$L$2+$M$2+$N$2,IFERROR(INDEX(CLOZE_LIST!$A:$K,ROW()-1-$L$2-$M$2+1,2),""),IF(ROW()-1&lt;=$L$2+$M$2+$N$2+$O$2,IFERROR(INDEX(PROFORMA!$A:$K,ROW()-1-$L$2-$M$2-$N$2+1,2),""),"")))))</f>
        <v>0</v>
      </c>
      <c r="C183" s="3">
        <f>IF(ROW()-1&lt;=0,"",IF(ROW()-1&lt;=$L$2,IFERROR(INDEX(MCQ!$A:$K,ROW()-1+1,3),""),IF(ROW()-1&lt;=$L$2+$M$2,IFERROR(INDEX(CLOZE_AB!$A:$K,ROW()-1-$L$2+1,3),""),IF(ROW()-1&lt;=$L$2+$M$2+$N$2,IFERROR(INDEX(CLOZE_LIST!$A:$K,ROW()-1-$L$2-$M$2+1,3),""),IF(ROW()-1&lt;=$L$2+$M$2+$N$2+$O$2,IFERROR(INDEX(PROFORMA!$A:$K,ROW()-1-$L$2-$M$2-$N$2+1,3),""),"")))))</f>
        <v>0</v>
      </c>
      <c r="D183" s="3">
        <f>IF(ROW()-1&lt;=0,"",IF(ROW()-1&lt;=$L$2,IFERROR(INDEX(MCQ!$A:$K,ROW()-1+1,4),""),IF(ROW()-1&lt;=$L$2+$M$2,IFERROR(INDEX(CLOZE_AB!$A:$K,ROW()-1-$L$2+1,4),""),IF(ROW()-1&lt;=$L$2+$M$2+$N$2,IFERROR(INDEX(CLOZE_LIST!$A:$K,ROW()-1-$L$2-$M$2+1,4),""),IF(ROW()-1&lt;=$L$2+$M$2+$N$2+$O$2,IFERROR(INDEX(PROFORMA!$A:$K,ROW()-1-$L$2-$M$2-$N$2+1,4),""),"")))))</f>
        <v>0</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0</v>
      </c>
      <c r="G183" s="3">
        <f>IF(ROW()-1&lt;=0,"",IF(ROW()-1&lt;=$L$2,IFERROR(INDEX(MCQ!$A:$K,ROW()-1+1,7),""),IF(ROW()-1&lt;=$L$2+$M$2,IFERROR(INDEX(CLOZE_AB!$A:$K,ROW()-1-$L$2+1,7),""),IF(ROW()-1&lt;=$L$2+$M$2+$N$2,IFERROR(INDEX(CLOZE_LIST!$A:$K,ROW()-1-$L$2-$M$2+1,7),""),IF(ROW()-1&lt;=$L$2+$M$2+$N$2+$O$2,IFERROR(INDEX(PROFORMA!$A:$K,ROW()-1-$L$2-$M$2-$N$2+1,7),""),"")))))</f>
        <v>0</v>
      </c>
      <c r="H183" s="3">
        <f>IF(ROW()-1&lt;=0,"",IF(ROW()-1&lt;=$L$2,IFERROR(INDEX(MCQ!$A:$K,ROW()-1+1,8),""),IF(ROW()-1&lt;=$L$2+$M$2,IFERROR(INDEX(CLOZE_AB!$A:$K,ROW()-1-$L$2+1,8),""),IF(ROW()-1&lt;=$L$2+$M$2+$N$2,IFERROR(INDEX(CLOZE_LIST!$A:$K,ROW()-1-$L$2-$M$2+1,8),""),IF(ROW()-1&lt;=$L$2+$M$2+$N$2+$O$2,IFERROR(INDEX(PROFORMA!$A:$K,ROW()-1-$L$2-$M$2-$N$2+1,8),""),"")))))</f>
        <v>0</v>
      </c>
      <c r="I183" s="3">
        <f>IF(ROW()-1&lt;=0,"",IF(ROW()-1&lt;=$L$2,IFERROR(INDEX(MCQ!$A:$K,ROW()-1+1,9),""),IF(ROW()-1&lt;=$L$2+$M$2,IFERROR(INDEX(CLOZE_AB!$A:$K,ROW()-1-$L$2+1,9),""),IF(ROW()-1&lt;=$L$2+$M$2+$N$2,IFERROR(INDEX(CLOZE_LIST!$A:$K,ROW()-1-$L$2-$M$2+1,9),""),IF(ROW()-1&lt;=$L$2+$M$2+$N$2+$O$2,IFERROR(INDEX(PROFORMA!$A:$K,ROW()-1-$L$2-$M$2-$N$2+1,9),""),"")))))</f>
        <v>0</v>
      </c>
      <c r="J183" s="3">
        <f>IF(ROW()-1&lt;=0,"",IF(ROW()-1&lt;=$L$2,IFERROR(INDEX(MCQ!$A:$K,ROW()-1+1,10),""),IF(ROW()-1&lt;=$L$2+$M$2,IFERROR(INDEX(CLOZE_AB!$A:$K,ROW()-1-$L$2+1,10),""),IF(ROW()-1&lt;=$L$2+$M$2+$N$2,IFERROR(INDEX(CLOZE_LIST!$A:$K,ROW()-1-$L$2-$M$2+1,10),""),IF(ROW()-1&lt;=$L$2+$M$2+$N$2+$O$2,IFERROR(INDEX(PROFORMA!$A:$K,ROW()-1-$L$2-$M$2-$N$2+1,10),""),"")))))</f>
        <v>0</v>
      </c>
      <c r="K183" s="3">
        <f>IF(ROW()-1&lt;=0,"",IF(ROW()-1&lt;=$L$2,IFERROR(INDEX(MCQ!$A:$K,ROW()-1+1,11),""),IF(ROW()-1&lt;=$L$2+$M$2,IFERROR(INDEX(CLOZE_AB!$A:$K,ROW()-1-$L$2+1,11),""),IF(ROW()-1&lt;=$L$2+$M$2+$N$2,IFERROR(INDEX(CLOZE_LIST!$A:$K,ROW()-1-$L$2-$M$2+1,11),""),IF(ROW()-1&lt;=$L$2+$M$2+$N$2+$O$2,IFERROR(INDEX(PROFORMA!$A:$K,ROW()-1-$L$2-$M$2-$N$2+1,11),""),"")))))</f>
        <v>0</v>
      </c>
      <c r="L183" s="3">
        <f>COUNTA(MCQ!$A:$A)-1</f>
        <v>143</v>
      </c>
      <c r="M183" s="3">
        <f>COUNTA(CLOZE_AB!$A:$A)-1</f>
        <v>168</v>
      </c>
      <c r="N183" s="3">
        <f>COUNTA(CLOZE_LIST!$A:$A)-1</f>
        <v>199</v>
      </c>
      <c r="O183" s="3">
        <f>COUNTA(PROFORMA!$A:$A)-1</f>
        <v>199</v>
      </c>
    </row>
    <row r="184" spans="1:15" x14ac:dyDescent="0.3">
      <c r="A184" s="3" t="str">
        <f>IF(ROW()-1&lt;=0,"",IF(ROW()-1&lt;=$L$2,IFERROR(INDEX(MCQ!$A:$K,ROW()-1+1,1),""),IF(ROW()-1&lt;=$L$2+$M$2,IFERROR(INDEX(CLOZE_AB!$A:$K,ROW()-1-$L$2+1,1),""),IF(ROW()-1&lt;=$L$2+$M$2+$N$2,IFERROR(INDEX(CLOZE_LIST!$A:$K,ROW()-1-$L$2-$M$2+1,1),""),IF(ROW()-1&lt;=$L$2+$M$2+$N$2+$O$2,IFERROR(INDEX(PROFORMA!$A:$K,ROW()-1-$L$2-$M$2-$N$2+1,1),""),"")))))</f>
        <v/>
      </c>
      <c r="B184" s="3">
        <f>IF(ROW()-1&lt;=0,"",IF(ROW()-1&lt;=$L$2,IFERROR(INDEX(MCQ!$A:$K,ROW()-1+1,2),""),IF(ROW()-1&lt;=$L$2+$M$2,IFERROR(INDEX(CLOZE_AB!$A:$K,ROW()-1-$L$2+1,2),""),IF(ROW()-1&lt;=$L$2+$M$2+$N$2,IFERROR(INDEX(CLOZE_LIST!$A:$K,ROW()-1-$L$2-$M$2+1,2),""),IF(ROW()-1&lt;=$L$2+$M$2+$N$2+$O$2,IFERROR(INDEX(PROFORMA!$A:$K,ROW()-1-$L$2-$M$2-$N$2+1,2),""),"")))))</f>
        <v>0</v>
      </c>
      <c r="C184" s="3">
        <f>IF(ROW()-1&lt;=0,"",IF(ROW()-1&lt;=$L$2,IFERROR(INDEX(MCQ!$A:$K,ROW()-1+1,3),""),IF(ROW()-1&lt;=$L$2+$M$2,IFERROR(INDEX(CLOZE_AB!$A:$K,ROW()-1-$L$2+1,3),""),IF(ROW()-1&lt;=$L$2+$M$2+$N$2,IFERROR(INDEX(CLOZE_LIST!$A:$K,ROW()-1-$L$2-$M$2+1,3),""),IF(ROW()-1&lt;=$L$2+$M$2+$N$2+$O$2,IFERROR(INDEX(PROFORMA!$A:$K,ROW()-1-$L$2-$M$2-$N$2+1,3),""),"")))))</f>
        <v>0</v>
      </c>
      <c r="D184" s="3">
        <f>IF(ROW()-1&lt;=0,"",IF(ROW()-1&lt;=$L$2,IFERROR(INDEX(MCQ!$A:$K,ROW()-1+1,4),""),IF(ROW()-1&lt;=$L$2+$M$2,IFERROR(INDEX(CLOZE_AB!$A:$K,ROW()-1-$L$2+1,4),""),IF(ROW()-1&lt;=$L$2+$M$2+$N$2,IFERROR(INDEX(CLOZE_LIST!$A:$K,ROW()-1-$L$2-$M$2+1,4),""),IF(ROW()-1&lt;=$L$2+$M$2+$N$2+$O$2,IFERROR(INDEX(PROFORMA!$A:$K,ROW()-1-$L$2-$M$2-$N$2+1,4),""),"")))))</f>
        <v>0</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0</v>
      </c>
      <c r="G184" s="3">
        <f>IF(ROW()-1&lt;=0,"",IF(ROW()-1&lt;=$L$2,IFERROR(INDEX(MCQ!$A:$K,ROW()-1+1,7),""),IF(ROW()-1&lt;=$L$2+$M$2,IFERROR(INDEX(CLOZE_AB!$A:$K,ROW()-1-$L$2+1,7),""),IF(ROW()-1&lt;=$L$2+$M$2+$N$2,IFERROR(INDEX(CLOZE_LIST!$A:$K,ROW()-1-$L$2-$M$2+1,7),""),IF(ROW()-1&lt;=$L$2+$M$2+$N$2+$O$2,IFERROR(INDEX(PROFORMA!$A:$K,ROW()-1-$L$2-$M$2-$N$2+1,7),""),"")))))</f>
        <v>0</v>
      </c>
      <c r="H184" s="3">
        <f>IF(ROW()-1&lt;=0,"",IF(ROW()-1&lt;=$L$2,IFERROR(INDEX(MCQ!$A:$K,ROW()-1+1,8),""),IF(ROW()-1&lt;=$L$2+$M$2,IFERROR(INDEX(CLOZE_AB!$A:$K,ROW()-1-$L$2+1,8),""),IF(ROW()-1&lt;=$L$2+$M$2+$N$2,IFERROR(INDEX(CLOZE_LIST!$A:$K,ROW()-1-$L$2-$M$2+1,8),""),IF(ROW()-1&lt;=$L$2+$M$2+$N$2+$O$2,IFERROR(INDEX(PROFORMA!$A:$K,ROW()-1-$L$2-$M$2-$N$2+1,8),""),"")))))</f>
        <v>0</v>
      </c>
      <c r="I184" s="3">
        <f>IF(ROW()-1&lt;=0,"",IF(ROW()-1&lt;=$L$2,IFERROR(INDEX(MCQ!$A:$K,ROW()-1+1,9),""),IF(ROW()-1&lt;=$L$2+$M$2,IFERROR(INDEX(CLOZE_AB!$A:$K,ROW()-1-$L$2+1,9),""),IF(ROW()-1&lt;=$L$2+$M$2+$N$2,IFERROR(INDEX(CLOZE_LIST!$A:$K,ROW()-1-$L$2-$M$2+1,9),""),IF(ROW()-1&lt;=$L$2+$M$2+$N$2+$O$2,IFERROR(INDEX(PROFORMA!$A:$K,ROW()-1-$L$2-$M$2-$N$2+1,9),""),"")))))</f>
        <v>0</v>
      </c>
      <c r="J184" s="3">
        <f>IF(ROW()-1&lt;=0,"",IF(ROW()-1&lt;=$L$2,IFERROR(INDEX(MCQ!$A:$K,ROW()-1+1,10),""),IF(ROW()-1&lt;=$L$2+$M$2,IFERROR(INDEX(CLOZE_AB!$A:$K,ROW()-1-$L$2+1,10),""),IF(ROW()-1&lt;=$L$2+$M$2+$N$2,IFERROR(INDEX(CLOZE_LIST!$A:$K,ROW()-1-$L$2-$M$2+1,10),""),IF(ROW()-1&lt;=$L$2+$M$2+$N$2+$O$2,IFERROR(INDEX(PROFORMA!$A:$K,ROW()-1-$L$2-$M$2-$N$2+1,10),""),"")))))</f>
        <v>0</v>
      </c>
      <c r="K184" s="3">
        <f>IF(ROW()-1&lt;=0,"",IF(ROW()-1&lt;=$L$2,IFERROR(INDEX(MCQ!$A:$K,ROW()-1+1,11),""),IF(ROW()-1&lt;=$L$2+$M$2,IFERROR(INDEX(CLOZE_AB!$A:$K,ROW()-1-$L$2+1,11),""),IF(ROW()-1&lt;=$L$2+$M$2+$N$2,IFERROR(INDEX(CLOZE_LIST!$A:$K,ROW()-1-$L$2-$M$2+1,11),""),IF(ROW()-1&lt;=$L$2+$M$2+$N$2+$O$2,IFERROR(INDEX(PROFORMA!$A:$K,ROW()-1-$L$2-$M$2-$N$2+1,11),""),"")))))</f>
        <v>0</v>
      </c>
      <c r="L184" s="3">
        <f>COUNTA(MCQ!$A:$A)-1</f>
        <v>143</v>
      </c>
      <c r="M184" s="3">
        <f>COUNTA(CLOZE_AB!$A:$A)-1</f>
        <v>168</v>
      </c>
      <c r="N184" s="3">
        <f>COUNTA(CLOZE_LIST!$A:$A)-1</f>
        <v>199</v>
      </c>
      <c r="O184" s="3">
        <f>COUNTA(PROFORMA!$A:$A)-1</f>
        <v>199</v>
      </c>
    </row>
    <row r="185" spans="1:15" x14ac:dyDescent="0.3">
      <c r="A185" s="3" t="str">
        <f>IF(ROW()-1&lt;=0,"",IF(ROW()-1&lt;=$L$2,IFERROR(INDEX(MCQ!$A:$K,ROW()-1+1,1),""),IF(ROW()-1&lt;=$L$2+$M$2,IFERROR(INDEX(CLOZE_AB!$A:$K,ROW()-1-$L$2+1,1),""),IF(ROW()-1&lt;=$L$2+$M$2+$N$2,IFERROR(INDEX(CLOZE_LIST!$A:$K,ROW()-1-$L$2-$M$2+1,1),""),IF(ROW()-1&lt;=$L$2+$M$2+$N$2+$O$2,IFERROR(INDEX(PROFORMA!$A:$K,ROW()-1-$L$2-$M$2-$N$2+1,1),""),"")))))</f>
        <v/>
      </c>
      <c r="B185" s="3">
        <f>IF(ROW()-1&lt;=0,"",IF(ROW()-1&lt;=$L$2,IFERROR(INDEX(MCQ!$A:$K,ROW()-1+1,2),""),IF(ROW()-1&lt;=$L$2+$M$2,IFERROR(INDEX(CLOZE_AB!$A:$K,ROW()-1-$L$2+1,2),""),IF(ROW()-1&lt;=$L$2+$M$2+$N$2,IFERROR(INDEX(CLOZE_LIST!$A:$K,ROW()-1-$L$2-$M$2+1,2),""),IF(ROW()-1&lt;=$L$2+$M$2+$N$2+$O$2,IFERROR(INDEX(PROFORMA!$A:$K,ROW()-1-$L$2-$M$2-$N$2+1,2),""),"")))))</f>
        <v>0</v>
      </c>
      <c r="C185" s="3">
        <f>IF(ROW()-1&lt;=0,"",IF(ROW()-1&lt;=$L$2,IFERROR(INDEX(MCQ!$A:$K,ROW()-1+1,3),""),IF(ROW()-1&lt;=$L$2+$M$2,IFERROR(INDEX(CLOZE_AB!$A:$K,ROW()-1-$L$2+1,3),""),IF(ROW()-1&lt;=$L$2+$M$2+$N$2,IFERROR(INDEX(CLOZE_LIST!$A:$K,ROW()-1-$L$2-$M$2+1,3),""),IF(ROW()-1&lt;=$L$2+$M$2+$N$2+$O$2,IFERROR(INDEX(PROFORMA!$A:$K,ROW()-1-$L$2-$M$2-$N$2+1,3),""),"")))))</f>
        <v>0</v>
      </c>
      <c r="D185" s="3">
        <f>IF(ROW()-1&lt;=0,"",IF(ROW()-1&lt;=$L$2,IFERROR(INDEX(MCQ!$A:$K,ROW()-1+1,4),""),IF(ROW()-1&lt;=$L$2+$M$2,IFERROR(INDEX(CLOZE_AB!$A:$K,ROW()-1-$L$2+1,4),""),IF(ROW()-1&lt;=$L$2+$M$2+$N$2,IFERROR(INDEX(CLOZE_LIST!$A:$K,ROW()-1-$L$2-$M$2+1,4),""),IF(ROW()-1&lt;=$L$2+$M$2+$N$2+$O$2,IFERROR(INDEX(PROFORMA!$A:$K,ROW()-1-$L$2-$M$2-$N$2+1,4),""),"")))))</f>
        <v>0</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0</v>
      </c>
      <c r="G185" s="3">
        <f>IF(ROW()-1&lt;=0,"",IF(ROW()-1&lt;=$L$2,IFERROR(INDEX(MCQ!$A:$K,ROW()-1+1,7),""),IF(ROW()-1&lt;=$L$2+$M$2,IFERROR(INDEX(CLOZE_AB!$A:$K,ROW()-1-$L$2+1,7),""),IF(ROW()-1&lt;=$L$2+$M$2+$N$2,IFERROR(INDEX(CLOZE_LIST!$A:$K,ROW()-1-$L$2-$M$2+1,7),""),IF(ROW()-1&lt;=$L$2+$M$2+$N$2+$O$2,IFERROR(INDEX(PROFORMA!$A:$K,ROW()-1-$L$2-$M$2-$N$2+1,7),""),"")))))</f>
        <v>0</v>
      </c>
      <c r="H185" s="3">
        <f>IF(ROW()-1&lt;=0,"",IF(ROW()-1&lt;=$L$2,IFERROR(INDEX(MCQ!$A:$K,ROW()-1+1,8),""),IF(ROW()-1&lt;=$L$2+$M$2,IFERROR(INDEX(CLOZE_AB!$A:$K,ROW()-1-$L$2+1,8),""),IF(ROW()-1&lt;=$L$2+$M$2+$N$2,IFERROR(INDEX(CLOZE_LIST!$A:$K,ROW()-1-$L$2-$M$2+1,8),""),IF(ROW()-1&lt;=$L$2+$M$2+$N$2+$O$2,IFERROR(INDEX(PROFORMA!$A:$K,ROW()-1-$L$2-$M$2-$N$2+1,8),""),"")))))</f>
        <v>0</v>
      </c>
      <c r="I185" s="3">
        <f>IF(ROW()-1&lt;=0,"",IF(ROW()-1&lt;=$L$2,IFERROR(INDEX(MCQ!$A:$K,ROW()-1+1,9),""),IF(ROW()-1&lt;=$L$2+$M$2,IFERROR(INDEX(CLOZE_AB!$A:$K,ROW()-1-$L$2+1,9),""),IF(ROW()-1&lt;=$L$2+$M$2+$N$2,IFERROR(INDEX(CLOZE_LIST!$A:$K,ROW()-1-$L$2-$M$2+1,9),""),IF(ROW()-1&lt;=$L$2+$M$2+$N$2+$O$2,IFERROR(INDEX(PROFORMA!$A:$K,ROW()-1-$L$2-$M$2-$N$2+1,9),""),"")))))</f>
        <v>0</v>
      </c>
      <c r="J185" s="3">
        <f>IF(ROW()-1&lt;=0,"",IF(ROW()-1&lt;=$L$2,IFERROR(INDEX(MCQ!$A:$K,ROW()-1+1,10),""),IF(ROW()-1&lt;=$L$2+$M$2,IFERROR(INDEX(CLOZE_AB!$A:$K,ROW()-1-$L$2+1,10),""),IF(ROW()-1&lt;=$L$2+$M$2+$N$2,IFERROR(INDEX(CLOZE_LIST!$A:$K,ROW()-1-$L$2-$M$2+1,10),""),IF(ROW()-1&lt;=$L$2+$M$2+$N$2+$O$2,IFERROR(INDEX(PROFORMA!$A:$K,ROW()-1-$L$2-$M$2-$N$2+1,10),""),"")))))</f>
        <v>0</v>
      </c>
      <c r="K185" s="3">
        <f>IF(ROW()-1&lt;=0,"",IF(ROW()-1&lt;=$L$2,IFERROR(INDEX(MCQ!$A:$K,ROW()-1+1,11),""),IF(ROW()-1&lt;=$L$2+$M$2,IFERROR(INDEX(CLOZE_AB!$A:$K,ROW()-1-$L$2+1,11),""),IF(ROW()-1&lt;=$L$2+$M$2+$N$2,IFERROR(INDEX(CLOZE_LIST!$A:$K,ROW()-1-$L$2-$M$2+1,11),""),IF(ROW()-1&lt;=$L$2+$M$2+$N$2+$O$2,IFERROR(INDEX(PROFORMA!$A:$K,ROW()-1-$L$2-$M$2-$N$2+1,11),""),"")))))</f>
        <v>0</v>
      </c>
      <c r="L185" s="3">
        <f>COUNTA(MCQ!$A:$A)-1</f>
        <v>143</v>
      </c>
      <c r="M185" s="3">
        <f>COUNTA(CLOZE_AB!$A:$A)-1</f>
        <v>168</v>
      </c>
      <c r="N185" s="3">
        <f>COUNTA(CLOZE_LIST!$A:$A)-1</f>
        <v>199</v>
      </c>
      <c r="O185" s="3">
        <f>COUNTA(PROFORMA!$A:$A)-1</f>
        <v>199</v>
      </c>
    </row>
    <row r="186" spans="1:15" x14ac:dyDescent="0.3">
      <c r="A186" s="3" t="str">
        <f>IF(ROW()-1&lt;=0,"",IF(ROW()-1&lt;=$L$2,IFERROR(INDEX(MCQ!$A:$K,ROW()-1+1,1),""),IF(ROW()-1&lt;=$L$2+$M$2,IFERROR(INDEX(CLOZE_AB!$A:$K,ROW()-1-$L$2+1,1),""),IF(ROW()-1&lt;=$L$2+$M$2+$N$2,IFERROR(INDEX(CLOZE_LIST!$A:$K,ROW()-1-$L$2-$M$2+1,1),""),IF(ROW()-1&lt;=$L$2+$M$2+$N$2+$O$2,IFERROR(INDEX(PROFORMA!$A:$K,ROW()-1-$L$2-$M$2-$N$2+1,1),""),"")))))</f>
        <v/>
      </c>
      <c r="B186" s="3">
        <f>IF(ROW()-1&lt;=0,"",IF(ROW()-1&lt;=$L$2,IFERROR(INDEX(MCQ!$A:$K,ROW()-1+1,2),""),IF(ROW()-1&lt;=$L$2+$M$2,IFERROR(INDEX(CLOZE_AB!$A:$K,ROW()-1-$L$2+1,2),""),IF(ROW()-1&lt;=$L$2+$M$2+$N$2,IFERROR(INDEX(CLOZE_LIST!$A:$K,ROW()-1-$L$2-$M$2+1,2),""),IF(ROW()-1&lt;=$L$2+$M$2+$N$2+$O$2,IFERROR(INDEX(PROFORMA!$A:$K,ROW()-1-$L$2-$M$2-$N$2+1,2),""),"")))))</f>
        <v>0</v>
      </c>
      <c r="C186" s="3">
        <f>IF(ROW()-1&lt;=0,"",IF(ROW()-1&lt;=$L$2,IFERROR(INDEX(MCQ!$A:$K,ROW()-1+1,3),""),IF(ROW()-1&lt;=$L$2+$M$2,IFERROR(INDEX(CLOZE_AB!$A:$K,ROW()-1-$L$2+1,3),""),IF(ROW()-1&lt;=$L$2+$M$2+$N$2,IFERROR(INDEX(CLOZE_LIST!$A:$K,ROW()-1-$L$2-$M$2+1,3),""),IF(ROW()-1&lt;=$L$2+$M$2+$N$2+$O$2,IFERROR(INDEX(PROFORMA!$A:$K,ROW()-1-$L$2-$M$2-$N$2+1,3),""),"")))))</f>
        <v>0</v>
      </c>
      <c r="D186" s="3">
        <f>IF(ROW()-1&lt;=0,"",IF(ROW()-1&lt;=$L$2,IFERROR(INDEX(MCQ!$A:$K,ROW()-1+1,4),""),IF(ROW()-1&lt;=$L$2+$M$2,IFERROR(INDEX(CLOZE_AB!$A:$K,ROW()-1-$L$2+1,4),""),IF(ROW()-1&lt;=$L$2+$M$2+$N$2,IFERROR(INDEX(CLOZE_LIST!$A:$K,ROW()-1-$L$2-$M$2+1,4),""),IF(ROW()-1&lt;=$L$2+$M$2+$N$2+$O$2,IFERROR(INDEX(PROFORMA!$A:$K,ROW()-1-$L$2-$M$2-$N$2+1,4),""),"")))))</f>
        <v>0</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0</v>
      </c>
      <c r="G186" s="3">
        <f>IF(ROW()-1&lt;=0,"",IF(ROW()-1&lt;=$L$2,IFERROR(INDEX(MCQ!$A:$K,ROW()-1+1,7),""),IF(ROW()-1&lt;=$L$2+$M$2,IFERROR(INDEX(CLOZE_AB!$A:$K,ROW()-1-$L$2+1,7),""),IF(ROW()-1&lt;=$L$2+$M$2+$N$2,IFERROR(INDEX(CLOZE_LIST!$A:$K,ROW()-1-$L$2-$M$2+1,7),""),IF(ROW()-1&lt;=$L$2+$M$2+$N$2+$O$2,IFERROR(INDEX(PROFORMA!$A:$K,ROW()-1-$L$2-$M$2-$N$2+1,7),""),"")))))</f>
        <v>0</v>
      </c>
      <c r="H186" s="3">
        <f>IF(ROW()-1&lt;=0,"",IF(ROW()-1&lt;=$L$2,IFERROR(INDEX(MCQ!$A:$K,ROW()-1+1,8),""),IF(ROW()-1&lt;=$L$2+$M$2,IFERROR(INDEX(CLOZE_AB!$A:$K,ROW()-1-$L$2+1,8),""),IF(ROW()-1&lt;=$L$2+$M$2+$N$2,IFERROR(INDEX(CLOZE_LIST!$A:$K,ROW()-1-$L$2-$M$2+1,8),""),IF(ROW()-1&lt;=$L$2+$M$2+$N$2+$O$2,IFERROR(INDEX(PROFORMA!$A:$K,ROW()-1-$L$2-$M$2-$N$2+1,8),""),"")))))</f>
        <v>0</v>
      </c>
      <c r="I186" s="3">
        <f>IF(ROW()-1&lt;=0,"",IF(ROW()-1&lt;=$L$2,IFERROR(INDEX(MCQ!$A:$K,ROW()-1+1,9),""),IF(ROW()-1&lt;=$L$2+$M$2,IFERROR(INDEX(CLOZE_AB!$A:$K,ROW()-1-$L$2+1,9),""),IF(ROW()-1&lt;=$L$2+$M$2+$N$2,IFERROR(INDEX(CLOZE_LIST!$A:$K,ROW()-1-$L$2-$M$2+1,9),""),IF(ROW()-1&lt;=$L$2+$M$2+$N$2+$O$2,IFERROR(INDEX(PROFORMA!$A:$K,ROW()-1-$L$2-$M$2-$N$2+1,9),""),"")))))</f>
        <v>0</v>
      </c>
      <c r="J186" s="3">
        <f>IF(ROW()-1&lt;=0,"",IF(ROW()-1&lt;=$L$2,IFERROR(INDEX(MCQ!$A:$K,ROW()-1+1,10),""),IF(ROW()-1&lt;=$L$2+$M$2,IFERROR(INDEX(CLOZE_AB!$A:$K,ROW()-1-$L$2+1,10),""),IF(ROW()-1&lt;=$L$2+$M$2+$N$2,IFERROR(INDEX(CLOZE_LIST!$A:$K,ROW()-1-$L$2-$M$2+1,10),""),IF(ROW()-1&lt;=$L$2+$M$2+$N$2+$O$2,IFERROR(INDEX(PROFORMA!$A:$K,ROW()-1-$L$2-$M$2-$N$2+1,10),""),"")))))</f>
        <v>0</v>
      </c>
      <c r="K186" s="3">
        <f>IF(ROW()-1&lt;=0,"",IF(ROW()-1&lt;=$L$2,IFERROR(INDEX(MCQ!$A:$K,ROW()-1+1,11),""),IF(ROW()-1&lt;=$L$2+$M$2,IFERROR(INDEX(CLOZE_AB!$A:$K,ROW()-1-$L$2+1,11),""),IF(ROW()-1&lt;=$L$2+$M$2+$N$2,IFERROR(INDEX(CLOZE_LIST!$A:$K,ROW()-1-$L$2-$M$2+1,11),""),IF(ROW()-1&lt;=$L$2+$M$2+$N$2+$O$2,IFERROR(INDEX(PROFORMA!$A:$K,ROW()-1-$L$2-$M$2-$N$2+1,11),""),"")))))</f>
        <v>0</v>
      </c>
      <c r="L186" s="3">
        <f>COUNTA(MCQ!$A:$A)-1</f>
        <v>143</v>
      </c>
      <c r="M186" s="3">
        <f>COUNTA(CLOZE_AB!$A:$A)-1</f>
        <v>168</v>
      </c>
      <c r="N186" s="3">
        <f>COUNTA(CLOZE_LIST!$A:$A)-1</f>
        <v>199</v>
      </c>
      <c r="O186" s="3">
        <f>COUNTA(PROFORMA!$A:$A)-1</f>
        <v>199</v>
      </c>
    </row>
    <row r="187" spans="1:15" x14ac:dyDescent="0.3">
      <c r="A187" s="3" t="str">
        <f>IF(ROW()-1&lt;=0,"",IF(ROW()-1&lt;=$L$2,IFERROR(INDEX(MCQ!$A:$K,ROW()-1+1,1),""),IF(ROW()-1&lt;=$L$2+$M$2,IFERROR(INDEX(CLOZE_AB!$A:$K,ROW()-1-$L$2+1,1),""),IF(ROW()-1&lt;=$L$2+$M$2+$N$2,IFERROR(INDEX(CLOZE_LIST!$A:$K,ROW()-1-$L$2-$M$2+1,1),""),IF(ROW()-1&lt;=$L$2+$M$2+$N$2+$O$2,IFERROR(INDEX(PROFORMA!$A:$K,ROW()-1-$L$2-$M$2-$N$2+1,1),""),"")))))</f>
        <v/>
      </c>
      <c r="B187" s="3">
        <f>IF(ROW()-1&lt;=0,"",IF(ROW()-1&lt;=$L$2,IFERROR(INDEX(MCQ!$A:$K,ROW()-1+1,2),""),IF(ROW()-1&lt;=$L$2+$M$2,IFERROR(INDEX(CLOZE_AB!$A:$K,ROW()-1-$L$2+1,2),""),IF(ROW()-1&lt;=$L$2+$M$2+$N$2,IFERROR(INDEX(CLOZE_LIST!$A:$K,ROW()-1-$L$2-$M$2+1,2),""),IF(ROW()-1&lt;=$L$2+$M$2+$N$2+$O$2,IFERROR(INDEX(PROFORMA!$A:$K,ROW()-1-$L$2-$M$2-$N$2+1,2),""),"")))))</f>
        <v>0</v>
      </c>
      <c r="C187" s="3">
        <f>IF(ROW()-1&lt;=0,"",IF(ROW()-1&lt;=$L$2,IFERROR(INDEX(MCQ!$A:$K,ROW()-1+1,3),""),IF(ROW()-1&lt;=$L$2+$M$2,IFERROR(INDEX(CLOZE_AB!$A:$K,ROW()-1-$L$2+1,3),""),IF(ROW()-1&lt;=$L$2+$M$2+$N$2,IFERROR(INDEX(CLOZE_LIST!$A:$K,ROW()-1-$L$2-$M$2+1,3),""),IF(ROW()-1&lt;=$L$2+$M$2+$N$2+$O$2,IFERROR(INDEX(PROFORMA!$A:$K,ROW()-1-$L$2-$M$2-$N$2+1,3),""),"")))))</f>
        <v>0</v>
      </c>
      <c r="D187" s="3">
        <f>IF(ROW()-1&lt;=0,"",IF(ROW()-1&lt;=$L$2,IFERROR(INDEX(MCQ!$A:$K,ROW()-1+1,4),""),IF(ROW()-1&lt;=$L$2+$M$2,IFERROR(INDEX(CLOZE_AB!$A:$K,ROW()-1-$L$2+1,4),""),IF(ROW()-1&lt;=$L$2+$M$2+$N$2,IFERROR(INDEX(CLOZE_LIST!$A:$K,ROW()-1-$L$2-$M$2+1,4),""),IF(ROW()-1&lt;=$L$2+$M$2+$N$2+$O$2,IFERROR(INDEX(PROFORMA!$A:$K,ROW()-1-$L$2-$M$2-$N$2+1,4),""),"")))))</f>
        <v>0</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0</v>
      </c>
      <c r="G187" s="3">
        <f>IF(ROW()-1&lt;=0,"",IF(ROW()-1&lt;=$L$2,IFERROR(INDEX(MCQ!$A:$K,ROW()-1+1,7),""),IF(ROW()-1&lt;=$L$2+$M$2,IFERROR(INDEX(CLOZE_AB!$A:$K,ROW()-1-$L$2+1,7),""),IF(ROW()-1&lt;=$L$2+$M$2+$N$2,IFERROR(INDEX(CLOZE_LIST!$A:$K,ROW()-1-$L$2-$M$2+1,7),""),IF(ROW()-1&lt;=$L$2+$M$2+$N$2+$O$2,IFERROR(INDEX(PROFORMA!$A:$K,ROW()-1-$L$2-$M$2-$N$2+1,7),""),"")))))</f>
        <v>0</v>
      </c>
      <c r="H187" s="3">
        <f>IF(ROW()-1&lt;=0,"",IF(ROW()-1&lt;=$L$2,IFERROR(INDEX(MCQ!$A:$K,ROW()-1+1,8),""),IF(ROW()-1&lt;=$L$2+$M$2,IFERROR(INDEX(CLOZE_AB!$A:$K,ROW()-1-$L$2+1,8),""),IF(ROW()-1&lt;=$L$2+$M$2+$N$2,IFERROR(INDEX(CLOZE_LIST!$A:$K,ROW()-1-$L$2-$M$2+1,8),""),IF(ROW()-1&lt;=$L$2+$M$2+$N$2+$O$2,IFERROR(INDEX(PROFORMA!$A:$K,ROW()-1-$L$2-$M$2-$N$2+1,8),""),"")))))</f>
        <v>0</v>
      </c>
      <c r="I187" s="3">
        <f>IF(ROW()-1&lt;=0,"",IF(ROW()-1&lt;=$L$2,IFERROR(INDEX(MCQ!$A:$K,ROW()-1+1,9),""),IF(ROW()-1&lt;=$L$2+$M$2,IFERROR(INDEX(CLOZE_AB!$A:$K,ROW()-1-$L$2+1,9),""),IF(ROW()-1&lt;=$L$2+$M$2+$N$2,IFERROR(INDEX(CLOZE_LIST!$A:$K,ROW()-1-$L$2-$M$2+1,9),""),IF(ROW()-1&lt;=$L$2+$M$2+$N$2+$O$2,IFERROR(INDEX(PROFORMA!$A:$K,ROW()-1-$L$2-$M$2-$N$2+1,9),""),"")))))</f>
        <v>0</v>
      </c>
      <c r="J187" s="3">
        <f>IF(ROW()-1&lt;=0,"",IF(ROW()-1&lt;=$L$2,IFERROR(INDEX(MCQ!$A:$K,ROW()-1+1,10),""),IF(ROW()-1&lt;=$L$2+$M$2,IFERROR(INDEX(CLOZE_AB!$A:$K,ROW()-1-$L$2+1,10),""),IF(ROW()-1&lt;=$L$2+$M$2+$N$2,IFERROR(INDEX(CLOZE_LIST!$A:$K,ROW()-1-$L$2-$M$2+1,10),""),IF(ROW()-1&lt;=$L$2+$M$2+$N$2+$O$2,IFERROR(INDEX(PROFORMA!$A:$K,ROW()-1-$L$2-$M$2-$N$2+1,10),""),"")))))</f>
        <v>0</v>
      </c>
      <c r="K187" s="3">
        <f>IF(ROW()-1&lt;=0,"",IF(ROW()-1&lt;=$L$2,IFERROR(INDEX(MCQ!$A:$K,ROW()-1+1,11),""),IF(ROW()-1&lt;=$L$2+$M$2,IFERROR(INDEX(CLOZE_AB!$A:$K,ROW()-1-$L$2+1,11),""),IF(ROW()-1&lt;=$L$2+$M$2+$N$2,IFERROR(INDEX(CLOZE_LIST!$A:$K,ROW()-1-$L$2-$M$2+1,11),""),IF(ROW()-1&lt;=$L$2+$M$2+$N$2+$O$2,IFERROR(INDEX(PROFORMA!$A:$K,ROW()-1-$L$2-$M$2-$N$2+1,11),""),"")))))</f>
        <v>0</v>
      </c>
      <c r="L187" s="3">
        <f>COUNTA(MCQ!$A:$A)-1</f>
        <v>143</v>
      </c>
      <c r="M187" s="3">
        <f>COUNTA(CLOZE_AB!$A:$A)-1</f>
        <v>168</v>
      </c>
      <c r="N187" s="3">
        <f>COUNTA(CLOZE_LIST!$A:$A)-1</f>
        <v>199</v>
      </c>
      <c r="O187" s="3">
        <f>COUNTA(PROFORMA!$A:$A)-1</f>
        <v>199</v>
      </c>
    </row>
    <row r="188" spans="1:15" x14ac:dyDescent="0.3">
      <c r="A188" s="3" t="str">
        <f>IF(ROW()-1&lt;=0,"",IF(ROW()-1&lt;=$L$2,IFERROR(INDEX(MCQ!$A:$K,ROW()-1+1,1),""),IF(ROW()-1&lt;=$L$2+$M$2,IFERROR(INDEX(CLOZE_AB!$A:$K,ROW()-1-$L$2+1,1),""),IF(ROW()-1&lt;=$L$2+$M$2+$N$2,IFERROR(INDEX(CLOZE_LIST!$A:$K,ROW()-1-$L$2-$M$2+1,1),""),IF(ROW()-1&lt;=$L$2+$M$2+$N$2+$O$2,IFERROR(INDEX(PROFORMA!$A:$K,ROW()-1-$L$2-$M$2-$N$2+1,1),""),"")))))</f>
        <v/>
      </c>
      <c r="B188" s="3">
        <f>IF(ROW()-1&lt;=0,"",IF(ROW()-1&lt;=$L$2,IFERROR(INDEX(MCQ!$A:$K,ROW()-1+1,2),""),IF(ROW()-1&lt;=$L$2+$M$2,IFERROR(INDEX(CLOZE_AB!$A:$K,ROW()-1-$L$2+1,2),""),IF(ROW()-1&lt;=$L$2+$M$2+$N$2,IFERROR(INDEX(CLOZE_LIST!$A:$K,ROW()-1-$L$2-$M$2+1,2),""),IF(ROW()-1&lt;=$L$2+$M$2+$N$2+$O$2,IFERROR(INDEX(PROFORMA!$A:$K,ROW()-1-$L$2-$M$2-$N$2+1,2),""),"")))))</f>
        <v>0</v>
      </c>
      <c r="C188" s="3">
        <f>IF(ROW()-1&lt;=0,"",IF(ROW()-1&lt;=$L$2,IFERROR(INDEX(MCQ!$A:$K,ROW()-1+1,3),""),IF(ROW()-1&lt;=$L$2+$M$2,IFERROR(INDEX(CLOZE_AB!$A:$K,ROW()-1-$L$2+1,3),""),IF(ROW()-1&lt;=$L$2+$M$2+$N$2,IFERROR(INDEX(CLOZE_LIST!$A:$K,ROW()-1-$L$2-$M$2+1,3),""),IF(ROW()-1&lt;=$L$2+$M$2+$N$2+$O$2,IFERROR(INDEX(PROFORMA!$A:$K,ROW()-1-$L$2-$M$2-$N$2+1,3),""),"")))))</f>
        <v>0</v>
      </c>
      <c r="D188" s="3">
        <f>IF(ROW()-1&lt;=0,"",IF(ROW()-1&lt;=$L$2,IFERROR(INDEX(MCQ!$A:$K,ROW()-1+1,4),""),IF(ROW()-1&lt;=$L$2+$M$2,IFERROR(INDEX(CLOZE_AB!$A:$K,ROW()-1-$L$2+1,4),""),IF(ROW()-1&lt;=$L$2+$M$2+$N$2,IFERROR(INDEX(CLOZE_LIST!$A:$K,ROW()-1-$L$2-$M$2+1,4),""),IF(ROW()-1&lt;=$L$2+$M$2+$N$2+$O$2,IFERROR(INDEX(PROFORMA!$A:$K,ROW()-1-$L$2-$M$2-$N$2+1,4),""),"")))))</f>
        <v>0</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0</v>
      </c>
      <c r="G188" s="3">
        <f>IF(ROW()-1&lt;=0,"",IF(ROW()-1&lt;=$L$2,IFERROR(INDEX(MCQ!$A:$K,ROW()-1+1,7),""),IF(ROW()-1&lt;=$L$2+$M$2,IFERROR(INDEX(CLOZE_AB!$A:$K,ROW()-1-$L$2+1,7),""),IF(ROW()-1&lt;=$L$2+$M$2+$N$2,IFERROR(INDEX(CLOZE_LIST!$A:$K,ROW()-1-$L$2-$M$2+1,7),""),IF(ROW()-1&lt;=$L$2+$M$2+$N$2+$O$2,IFERROR(INDEX(PROFORMA!$A:$K,ROW()-1-$L$2-$M$2-$N$2+1,7),""),"")))))</f>
        <v>0</v>
      </c>
      <c r="H188" s="3">
        <f>IF(ROW()-1&lt;=0,"",IF(ROW()-1&lt;=$L$2,IFERROR(INDEX(MCQ!$A:$K,ROW()-1+1,8),""),IF(ROW()-1&lt;=$L$2+$M$2,IFERROR(INDEX(CLOZE_AB!$A:$K,ROW()-1-$L$2+1,8),""),IF(ROW()-1&lt;=$L$2+$M$2+$N$2,IFERROR(INDEX(CLOZE_LIST!$A:$K,ROW()-1-$L$2-$M$2+1,8),""),IF(ROW()-1&lt;=$L$2+$M$2+$N$2+$O$2,IFERROR(INDEX(PROFORMA!$A:$K,ROW()-1-$L$2-$M$2-$N$2+1,8),""),"")))))</f>
        <v>0</v>
      </c>
      <c r="I188" s="3">
        <f>IF(ROW()-1&lt;=0,"",IF(ROW()-1&lt;=$L$2,IFERROR(INDEX(MCQ!$A:$K,ROW()-1+1,9),""),IF(ROW()-1&lt;=$L$2+$M$2,IFERROR(INDEX(CLOZE_AB!$A:$K,ROW()-1-$L$2+1,9),""),IF(ROW()-1&lt;=$L$2+$M$2+$N$2,IFERROR(INDEX(CLOZE_LIST!$A:$K,ROW()-1-$L$2-$M$2+1,9),""),IF(ROW()-1&lt;=$L$2+$M$2+$N$2+$O$2,IFERROR(INDEX(PROFORMA!$A:$K,ROW()-1-$L$2-$M$2-$N$2+1,9),""),"")))))</f>
        <v>0</v>
      </c>
      <c r="J188" s="3">
        <f>IF(ROW()-1&lt;=0,"",IF(ROW()-1&lt;=$L$2,IFERROR(INDEX(MCQ!$A:$K,ROW()-1+1,10),""),IF(ROW()-1&lt;=$L$2+$M$2,IFERROR(INDEX(CLOZE_AB!$A:$K,ROW()-1-$L$2+1,10),""),IF(ROW()-1&lt;=$L$2+$M$2+$N$2,IFERROR(INDEX(CLOZE_LIST!$A:$K,ROW()-1-$L$2-$M$2+1,10),""),IF(ROW()-1&lt;=$L$2+$M$2+$N$2+$O$2,IFERROR(INDEX(PROFORMA!$A:$K,ROW()-1-$L$2-$M$2-$N$2+1,10),""),"")))))</f>
        <v>0</v>
      </c>
      <c r="K188" s="3">
        <f>IF(ROW()-1&lt;=0,"",IF(ROW()-1&lt;=$L$2,IFERROR(INDEX(MCQ!$A:$K,ROW()-1+1,11),""),IF(ROW()-1&lt;=$L$2+$M$2,IFERROR(INDEX(CLOZE_AB!$A:$K,ROW()-1-$L$2+1,11),""),IF(ROW()-1&lt;=$L$2+$M$2+$N$2,IFERROR(INDEX(CLOZE_LIST!$A:$K,ROW()-1-$L$2-$M$2+1,11),""),IF(ROW()-1&lt;=$L$2+$M$2+$N$2+$O$2,IFERROR(INDEX(PROFORMA!$A:$K,ROW()-1-$L$2-$M$2-$N$2+1,11),""),"")))))</f>
        <v>0</v>
      </c>
      <c r="L188" s="3">
        <f>COUNTA(MCQ!$A:$A)-1</f>
        <v>143</v>
      </c>
      <c r="M188" s="3">
        <f>COUNTA(CLOZE_AB!$A:$A)-1</f>
        <v>168</v>
      </c>
      <c r="N188" s="3">
        <f>COUNTA(CLOZE_LIST!$A:$A)-1</f>
        <v>199</v>
      </c>
      <c r="O188" s="3">
        <f>COUNTA(PROFORMA!$A:$A)-1</f>
        <v>199</v>
      </c>
    </row>
    <row r="189" spans="1:15" x14ac:dyDescent="0.3">
      <c r="A189" s="3" t="str">
        <f>IF(ROW()-1&lt;=0,"",IF(ROW()-1&lt;=$L$2,IFERROR(INDEX(MCQ!$A:$K,ROW()-1+1,1),""),IF(ROW()-1&lt;=$L$2+$M$2,IFERROR(INDEX(CLOZE_AB!$A:$K,ROW()-1-$L$2+1,1),""),IF(ROW()-1&lt;=$L$2+$M$2+$N$2,IFERROR(INDEX(CLOZE_LIST!$A:$K,ROW()-1-$L$2-$M$2+1,1),""),IF(ROW()-1&lt;=$L$2+$M$2+$N$2+$O$2,IFERROR(INDEX(PROFORMA!$A:$K,ROW()-1-$L$2-$M$2-$N$2+1,1),""),"")))))</f>
        <v/>
      </c>
      <c r="B189" s="3">
        <f>IF(ROW()-1&lt;=0,"",IF(ROW()-1&lt;=$L$2,IFERROR(INDEX(MCQ!$A:$K,ROW()-1+1,2),""),IF(ROW()-1&lt;=$L$2+$M$2,IFERROR(INDEX(CLOZE_AB!$A:$K,ROW()-1-$L$2+1,2),""),IF(ROW()-1&lt;=$L$2+$M$2+$N$2,IFERROR(INDEX(CLOZE_LIST!$A:$K,ROW()-1-$L$2-$M$2+1,2),""),IF(ROW()-1&lt;=$L$2+$M$2+$N$2+$O$2,IFERROR(INDEX(PROFORMA!$A:$K,ROW()-1-$L$2-$M$2-$N$2+1,2),""),"")))))</f>
        <v>0</v>
      </c>
      <c r="C189" s="3">
        <f>IF(ROW()-1&lt;=0,"",IF(ROW()-1&lt;=$L$2,IFERROR(INDEX(MCQ!$A:$K,ROW()-1+1,3),""),IF(ROW()-1&lt;=$L$2+$M$2,IFERROR(INDEX(CLOZE_AB!$A:$K,ROW()-1-$L$2+1,3),""),IF(ROW()-1&lt;=$L$2+$M$2+$N$2,IFERROR(INDEX(CLOZE_LIST!$A:$K,ROW()-1-$L$2-$M$2+1,3),""),IF(ROW()-1&lt;=$L$2+$M$2+$N$2+$O$2,IFERROR(INDEX(PROFORMA!$A:$K,ROW()-1-$L$2-$M$2-$N$2+1,3),""),"")))))</f>
        <v>0</v>
      </c>
      <c r="D189" s="3">
        <f>IF(ROW()-1&lt;=0,"",IF(ROW()-1&lt;=$L$2,IFERROR(INDEX(MCQ!$A:$K,ROW()-1+1,4),""),IF(ROW()-1&lt;=$L$2+$M$2,IFERROR(INDEX(CLOZE_AB!$A:$K,ROW()-1-$L$2+1,4),""),IF(ROW()-1&lt;=$L$2+$M$2+$N$2,IFERROR(INDEX(CLOZE_LIST!$A:$K,ROW()-1-$L$2-$M$2+1,4),""),IF(ROW()-1&lt;=$L$2+$M$2+$N$2+$O$2,IFERROR(INDEX(PROFORMA!$A:$K,ROW()-1-$L$2-$M$2-$N$2+1,4),""),"")))))</f>
        <v>0</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0</v>
      </c>
      <c r="G189" s="3">
        <f>IF(ROW()-1&lt;=0,"",IF(ROW()-1&lt;=$L$2,IFERROR(INDEX(MCQ!$A:$K,ROW()-1+1,7),""),IF(ROW()-1&lt;=$L$2+$M$2,IFERROR(INDEX(CLOZE_AB!$A:$K,ROW()-1-$L$2+1,7),""),IF(ROW()-1&lt;=$L$2+$M$2+$N$2,IFERROR(INDEX(CLOZE_LIST!$A:$K,ROW()-1-$L$2-$M$2+1,7),""),IF(ROW()-1&lt;=$L$2+$M$2+$N$2+$O$2,IFERROR(INDEX(PROFORMA!$A:$K,ROW()-1-$L$2-$M$2-$N$2+1,7),""),"")))))</f>
        <v>0</v>
      </c>
      <c r="H189" s="3">
        <f>IF(ROW()-1&lt;=0,"",IF(ROW()-1&lt;=$L$2,IFERROR(INDEX(MCQ!$A:$K,ROW()-1+1,8),""),IF(ROW()-1&lt;=$L$2+$M$2,IFERROR(INDEX(CLOZE_AB!$A:$K,ROW()-1-$L$2+1,8),""),IF(ROW()-1&lt;=$L$2+$M$2+$N$2,IFERROR(INDEX(CLOZE_LIST!$A:$K,ROW()-1-$L$2-$M$2+1,8),""),IF(ROW()-1&lt;=$L$2+$M$2+$N$2+$O$2,IFERROR(INDEX(PROFORMA!$A:$K,ROW()-1-$L$2-$M$2-$N$2+1,8),""),"")))))</f>
        <v>0</v>
      </c>
      <c r="I189" s="3">
        <f>IF(ROW()-1&lt;=0,"",IF(ROW()-1&lt;=$L$2,IFERROR(INDEX(MCQ!$A:$K,ROW()-1+1,9),""),IF(ROW()-1&lt;=$L$2+$M$2,IFERROR(INDEX(CLOZE_AB!$A:$K,ROW()-1-$L$2+1,9),""),IF(ROW()-1&lt;=$L$2+$M$2+$N$2,IFERROR(INDEX(CLOZE_LIST!$A:$K,ROW()-1-$L$2-$M$2+1,9),""),IF(ROW()-1&lt;=$L$2+$M$2+$N$2+$O$2,IFERROR(INDEX(PROFORMA!$A:$K,ROW()-1-$L$2-$M$2-$N$2+1,9),""),"")))))</f>
        <v>0</v>
      </c>
      <c r="J189" s="3">
        <f>IF(ROW()-1&lt;=0,"",IF(ROW()-1&lt;=$L$2,IFERROR(INDEX(MCQ!$A:$K,ROW()-1+1,10),""),IF(ROW()-1&lt;=$L$2+$M$2,IFERROR(INDEX(CLOZE_AB!$A:$K,ROW()-1-$L$2+1,10),""),IF(ROW()-1&lt;=$L$2+$M$2+$N$2,IFERROR(INDEX(CLOZE_LIST!$A:$K,ROW()-1-$L$2-$M$2+1,10),""),IF(ROW()-1&lt;=$L$2+$M$2+$N$2+$O$2,IFERROR(INDEX(PROFORMA!$A:$K,ROW()-1-$L$2-$M$2-$N$2+1,10),""),"")))))</f>
        <v>0</v>
      </c>
      <c r="K189" s="3">
        <f>IF(ROW()-1&lt;=0,"",IF(ROW()-1&lt;=$L$2,IFERROR(INDEX(MCQ!$A:$K,ROW()-1+1,11),""),IF(ROW()-1&lt;=$L$2+$M$2,IFERROR(INDEX(CLOZE_AB!$A:$K,ROW()-1-$L$2+1,11),""),IF(ROW()-1&lt;=$L$2+$M$2+$N$2,IFERROR(INDEX(CLOZE_LIST!$A:$K,ROW()-1-$L$2-$M$2+1,11),""),IF(ROW()-1&lt;=$L$2+$M$2+$N$2+$O$2,IFERROR(INDEX(PROFORMA!$A:$K,ROW()-1-$L$2-$M$2-$N$2+1,11),""),"")))))</f>
        <v>0</v>
      </c>
      <c r="L189" s="3">
        <f>COUNTA(MCQ!$A:$A)-1</f>
        <v>143</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t="str">
        <f>IF(ROW()-1&lt;=0,"",IF(ROW()-1&lt;=$L$2,IFERROR(INDEX(MCQ!$A:$K,ROW()-1+1,5),""),IF(ROW()-1&lt;=$L$2+$M$2,IFERROR(INDEX(CLOZE_AB!$A:$K,ROW()-1-$L$2+1,5),""),IF(ROW()-1&lt;=$L$2+$M$2+$N$2,IFERROR(INDEX(CLOZE_LIST!$A:$K,ROW()-1-$L$2-$M$2+1,5),""),IF(ROW()-1&lt;=$L$2+$M$2+$N$2+$O$2,IFERROR(INDEX(PROFORMA!$A:$K,ROW()-1-$L$2-$M$2-$N$2+1,5),""),"")))))</f>
        <v>cloze_ab</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t="str">
        <f>IF(ROW()-1&lt;=0,"",IF(ROW()-1&lt;=$L$2,IFERROR(INDEX(MCQ!$A:$K,ROW()-1+1,5),""),IF(ROW()-1&lt;=$L$2+$M$2,IFERROR(INDEX(CLOZE_AB!$A:$K,ROW()-1-$L$2+1,5),""),IF(ROW()-1&lt;=$L$2+$M$2+$N$2,IFERROR(INDEX(CLOZE_LIST!$A:$K,ROW()-1-$L$2-$M$2+1,5),""),IF(ROW()-1&lt;=$L$2+$M$2+$N$2+$O$2,IFERROR(INDEX(PROFORMA!$A:$K,ROW()-1-$L$2-$M$2-$N$2+1,5),""),"")))))</f>
        <v>cloze_ab</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t="str">
        <f>IF(ROW()-1&lt;=0,"",IF(ROW()-1&lt;=$L$2,IFERROR(INDEX(MCQ!$A:$K,ROW()-1+1,5),""),IF(ROW()-1&lt;=$L$2+$M$2,IFERROR(INDEX(CLOZE_AB!$A:$K,ROW()-1-$L$2+1,5),""),IF(ROW()-1&lt;=$L$2+$M$2+$N$2,IFERROR(INDEX(CLOZE_LIST!$A:$K,ROW()-1-$L$2-$M$2+1,5),""),IF(ROW()-1&lt;=$L$2+$M$2+$N$2+$O$2,IFERROR(INDEX(PROFORMA!$A:$K,ROW()-1-$L$2-$M$2-$N$2+1,5),""),"")))))</f>
        <v>cloze_ab</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t="str">
        <f>IF(ROW()-1&lt;=0,"",IF(ROW()-1&lt;=$L$2,IFERROR(INDEX(MCQ!$A:$K,ROW()-1+1,5),""),IF(ROW()-1&lt;=$L$2+$M$2,IFERROR(INDEX(CLOZE_AB!$A:$K,ROW()-1-$L$2+1,5),""),IF(ROW()-1&lt;=$L$2+$M$2+$N$2,IFERROR(INDEX(CLOZE_LIST!$A:$K,ROW()-1-$L$2-$M$2+1,5),""),IF(ROW()-1&lt;=$L$2+$M$2+$N$2+$O$2,IFERROR(INDEX(PROFORMA!$A:$K,ROW()-1-$L$2-$M$2-$N$2+1,5),""),"")))))</f>
        <v>cloze_ab</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t="str">
        <f>IF(ROW()-1&lt;=0,"",IF(ROW()-1&lt;=$L$2,IFERROR(INDEX(MCQ!$A:$K,ROW()-1+1,5),""),IF(ROW()-1&lt;=$L$2+$M$2,IFERROR(INDEX(CLOZE_AB!$A:$K,ROW()-1-$L$2+1,5),""),IF(ROW()-1&lt;=$L$2+$M$2+$N$2,IFERROR(INDEX(CLOZE_LIST!$A:$K,ROW()-1-$L$2-$M$2+1,5),""),IF(ROW()-1&lt;=$L$2+$M$2+$N$2+$O$2,IFERROR(INDEX(PROFORMA!$A:$K,ROW()-1-$L$2-$M$2-$N$2+1,5),""),"")))))</f>
        <v>cloze_ab</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t="str">
        <f>IF(ROW()-1&lt;=0,"",IF(ROW()-1&lt;=$L$2,IFERROR(INDEX(MCQ!$A:$K,ROW()-1+1,5),""),IF(ROW()-1&lt;=$L$2+$M$2,IFERROR(INDEX(CLOZE_AB!$A:$K,ROW()-1-$L$2+1,5),""),IF(ROW()-1&lt;=$L$2+$M$2+$N$2,IFERROR(INDEX(CLOZE_LIST!$A:$K,ROW()-1-$L$2-$M$2+1,5),""),IF(ROW()-1&lt;=$L$2+$M$2+$N$2+$O$2,IFERROR(INDEX(PROFORMA!$A:$K,ROW()-1-$L$2-$M$2-$N$2+1,5),""),"")))))</f>
        <v>cloze_ab</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t="str">
        <f>IF(ROW()-1&lt;=0,"",IF(ROW()-1&lt;=$L$2,IFERROR(INDEX(MCQ!$A:$K,ROW()-1+1,5),""),IF(ROW()-1&lt;=$L$2+$M$2,IFERROR(INDEX(CLOZE_AB!$A:$K,ROW()-1-$L$2+1,5),""),IF(ROW()-1&lt;=$L$2+$M$2+$N$2,IFERROR(INDEX(CLOZE_LIST!$A:$K,ROW()-1-$L$2-$M$2+1,5),""),IF(ROW()-1&lt;=$L$2+$M$2+$N$2+$O$2,IFERROR(INDEX(PROFORMA!$A:$K,ROW()-1-$L$2-$M$2-$N$2+1,5),""),"")))))</f>
        <v>cloze_ab</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t="str">
        <f>IF(ROW()-1&lt;=0,"",IF(ROW()-1&lt;=$L$2,IFERROR(INDEX(MCQ!$A:$K,ROW()-1+1,5),""),IF(ROW()-1&lt;=$L$2+$M$2,IFERROR(INDEX(CLOZE_AB!$A:$K,ROW()-1-$L$2+1,5),""),IF(ROW()-1&lt;=$L$2+$M$2+$N$2,IFERROR(INDEX(CLOZE_LIST!$A:$K,ROW()-1-$L$2-$M$2+1,5),""),IF(ROW()-1&lt;=$L$2+$M$2+$N$2+$O$2,IFERROR(INDEX(PROFORMA!$A:$K,ROW()-1-$L$2-$M$2-$N$2+1,5),""),"")))))</f>
        <v>cloze_ab</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t="str">
        <f>IF(ROW()-1&lt;=0,"",IF(ROW()-1&lt;=$L$2,IFERROR(INDEX(MCQ!$A:$K,ROW()-1+1,5),""),IF(ROW()-1&lt;=$L$2+$M$2,IFERROR(INDEX(CLOZE_AB!$A:$K,ROW()-1-$L$2+1,5),""),IF(ROW()-1&lt;=$L$2+$M$2+$N$2,IFERROR(INDEX(CLOZE_LIST!$A:$K,ROW()-1-$L$2-$M$2+1,5),""),IF(ROW()-1&lt;=$L$2+$M$2+$N$2+$O$2,IFERROR(INDEX(PROFORMA!$A:$K,ROW()-1-$L$2-$M$2-$N$2+1,5),""),"")))))</f>
        <v>cloze_ab</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t="str">
        <f>IF(ROW()-1&lt;=0,"",IF(ROW()-1&lt;=$L$2,IFERROR(INDEX(MCQ!$A:$K,ROW()-1+1,5),""),IF(ROW()-1&lt;=$L$2+$M$2,IFERROR(INDEX(CLOZE_AB!$A:$K,ROW()-1-$L$2+1,5),""),IF(ROW()-1&lt;=$L$2+$M$2+$N$2,IFERROR(INDEX(CLOZE_LIST!$A:$K,ROW()-1-$L$2-$M$2+1,5),""),IF(ROW()-1&lt;=$L$2+$M$2+$N$2+$O$2,IFERROR(INDEX(PROFORMA!$A:$K,ROW()-1-$L$2-$M$2-$N$2+1,5),""),"")))))</f>
        <v>cloze_ab</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t="str">
        <f>IF(ROW()-1&lt;=0,"",IF(ROW()-1&lt;=$L$2,IFERROR(INDEX(MCQ!$A:$K,ROW()-1+1,5),""),IF(ROW()-1&lt;=$L$2+$M$2,IFERROR(INDEX(CLOZE_AB!$A:$K,ROW()-1-$L$2+1,5),""),IF(ROW()-1&lt;=$L$2+$M$2+$N$2,IFERROR(INDEX(CLOZE_LIST!$A:$K,ROW()-1-$L$2-$M$2+1,5),""),IF(ROW()-1&lt;=$L$2+$M$2+$N$2+$O$2,IFERROR(INDEX(PROFORMA!$A:$K,ROW()-1-$L$2-$M$2-$N$2+1,5),""),"")))))</f>
        <v>cloze_ab</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t="str">
        <f>IF(ROW()-1&lt;=0,"",IF(ROW()-1&lt;=$L$2,IFERROR(INDEX(MCQ!$A:$K,ROW()-1+1,5),""),IF(ROW()-1&lt;=$L$2+$M$2,IFERROR(INDEX(CLOZE_AB!$A:$K,ROW()-1-$L$2+1,5),""),IF(ROW()-1&lt;=$L$2+$M$2+$N$2,IFERROR(INDEX(CLOZE_LIST!$A:$K,ROW()-1-$L$2-$M$2+1,5),""),IF(ROW()-1&lt;=$L$2+$M$2+$N$2+$O$2,IFERROR(INDEX(PROFORMA!$A:$K,ROW()-1-$L$2-$M$2-$N$2+1,5),""),"")))))</f>
        <v>cloze_ab</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t="str">
        <f>IF(ROW()-1&lt;=0,"",IF(ROW()-1&lt;=$L$2,IFERROR(INDEX(MCQ!$A:$K,ROW()-1+1,5),""),IF(ROW()-1&lt;=$L$2+$M$2,IFERROR(INDEX(CLOZE_AB!$A:$K,ROW()-1-$L$2+1,5),""),IF(ROW()-1&lt;=$L$2+$M$2+$N$2,IFERROR(INDEX(CLOZE_LIST!$A:$K,ROW()-1-$L$2-$M$2+1,5),""),IF(ROW()-1&lt;=$L$2+$M$2+$N$2+$O$2,IFERROR(INDEX(PROFORMA!$A:$K,ROW()-1-$L$2-$M$2-$N$2+1,5),""),"")))))</f>
        <v>cloze_ab</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t="str">
        <f>IF(ROW()-1&lt;=0,"",IF(ROW()-1&lt;=$L$2,IFERROR(INDEX(MCQ!$A:$K,ROW()-1+1,5),""),IF(ROW()-1&lt;=$L$2+$M$2,IFERROR(INDEX(CLOZE_AB!$A:$K,ROW()-1-$L$2+1,5),""),IF(ROW()-1&lt;=$L$2+$M$2+$N$2,IFERROR(INDEX(CLOZE_LIST!$A:$K,ROW()-1-$L$2-$M$2+1,5),""),IF(ROW()-1&lt;=$L$2+$M$2+$N$2+$O$2,IFERROR(INDEX(PROFORMA!$A:$K,ROW()-1-$L$2-$M$2-$N$2+1,5),""),"")))))</f>
        <v>cloze_ab</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t="str">
        <f>IF(ROW()-1&lt;=0,"",IF(ROW()-1&lt;=$L$2,IFERROR(INDEX(MCQ!$A:$K,ROW()-1+1,5),""),IF(ROW()-1&lt;=$L$2+$M$2,IFERROR(INDEX(CLOZE_AB!$A:$K,ROW()-1-$L$2+1,5),""),IF(ROW()-1&lt;=$L$2+$M$2+$N$2,IFERROR(INDEX(CLOZE_LIST!$A:$K,ROW()-1-$L$2-$M$2+1,5),""),IF(ROW()-1&lt;=$L$2+$M$2+$N$2+$O$2,IFERROR(INDEX(PROFORMA!$A:$K,ROW()-1-$L$2-$M$2-$N$2+1,5),""),"")))))</f>
        <v>cloze_ab</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t="str">
        <f>IF(ROW()-1&lt;=0,"",IF(ROW()-1&lt;=$L$2,IFERROR(INDEX(MCQ!$A:$K,ROW()-1+1,5),""),IF(ROW()-1&lt;=$L$2+$M$2,IFERROR(INDEX(CLOZE_AB!$A:$K,ROW()-1-$L$2+1,5),""),IF(ROW()-1&lt;=$L$2+$M$2+$N$2,IFERROR(INDEX(CLOZE_LIST!$A:$K,ROW()-1-$L$2-$M$2+1,5),""),IF(ROW()-1&lt;=$L$2+$M$2+$N$2+$O$2,IFERROR(INDEX(PROFORMA!$A:$K,ROW()-1-$L$2-$M$2-$N$2+1,5),""),"")))))</f>
        <v>cloze_ab</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t="str">
        <f>IF(ROW()-1&lt;=0,"",IF(ROW()-1&lt;=$L$2,IFERROR(INDEX(MCQ!$A:$K,ROW()-1+1,5),""),IF(ROW()-1&lt;=$L$2+$M$2,IFERROR(INDEX(CLOZE_AB!$A:$K,ROW()-1-$L$2+1,5),""),IF(ROW()-1&lt;=$L$2+$M$2+$N$2,IFERROR(INDEX(CLOZE_LIST!$A:$K,ROW()-1-$L$2-$M$2+1,5),""),IF(ROW()-1&lt;=$L$2+$M$2+$N$2+$O$2,IFERROR(INDEX(PROFORMA!$A:$K,ROW()-1-$L$2-$M$2-$N$2+1,5),""),"")))))</f>
        <v>cloze_ab</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t="str">
        <f>IF(ROW()-1&lt;=0,"",IF(ROW()-1&lt;=$L$2,IFERROR(INDEX(MCQ!$A:$K,ROW()-1+1,5),""),IF(ROW()-1&lt;=$L$2+$M$2,IFERROR(INDEX(CLOZE_AB!$A:$K,ROW()-1-$L$2+1,5),""),IF(ROW()-1&lt;=$L$2+$M$2+$N$2,IFERROR(INDEX(CLOZE_LIST!$A:$K,ROW()-1-$L$2-$M$2+1,5),""),IF(ROW()-1&lt;=$L$2+$M$2+$N$2+$O$2,IFERROR(INDEX(PROFORMA!$A:$K,ROW()-1-$L$2-$M$2-$N$2+1,5),""),"")))))</f>
        <v>cloze_ab</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t="str">
        <f>IF(ROW()-1&lt;=0,"",IF(ROW()-1&lt;=$L$2,IFERROR(INDEX(MCQ!$A:$K,ROW()-1+1,5),""),IF(ROW()-1&lt;=$L$2+$M$2,IFERROR(INDEX(CLOZE_AB!$A:$K,ROW()-1-$L$2+1,5),""),IF(ROW()-1&lt;=$L$2+$M$2+$N$2,IFERROR(INDEX(CLOZE_LIST!$A:$K,ROW()-1-$L$2-$M$2+1,5),""),IF(ROW()-1&lt;=$L$2+$M$2+$N$2+$O$2,IFERROR(INDEX(PROFORMA!$A:$K,ROW()-1-$L$2-$M$2-$N$2+1,5),""),"")))))</f>
        <v>cloze_ab</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t="str">
        <f>IF(ROW()-1&lt;=0,"",IF(ROW()-1&lt;=$L$2,IFERROR(INDEX(MCQ!$A:$K,ROW()-1+1,5),""),IF(ROW()-1&lt;=$L$2+$M$2,IFERROR(INDEX(CLOZE_AB!$A:$K,ROW()-1-$L$2+1,5),""),IF(ROW()-1&lt;=$L$2+$M$2+$N$2,IFERROR(INDEX(CLOZE_LIST!$A:$K,ROW()-1-$L$2-$M$2+1,5),""),IF(ROW()-1&lt;=$L$2+$M$2+$N$2+$O$2,IFERROR(INDEX(PROFORMA!$A:$K,ROW()-1-$L$2-$M$2-$N$2+1,5),""),"")))))</f>
        <v>cloze_ab</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t="str">
        <f>IF(ROW()-1&lt;=0,"",IF(ROW()-1&lt;=$L$2,IFERROR(INDEX(MCQ!$A:$K,ROW()-1+1,5),""),IF(ROW()-1&lt;=$L$2+$M$2,IFERROR(INDEX(CLOZE_AB!$A:$K,ROW()-1-$L$2+1,5),""),IF(ROW()-1&lt;=$L$2+$M$2+$N$2,IFERROR(INDEX(CLOZE_LIST!$A:$K,ROW()-1-$L$2-$M$2+1,5),""),IF(ROW()-1&lt;=$L$2+$M$2+$N$2+$O$2,IFERROR(INDEX(PROFORMA!$A:$K,ROW()-1-$L$2-$M$2-$N$2+1,5),""),"")))))</f>
        <v>cloze_ab</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t="str">
        <f>IF(ROW()-1&lt;=0,"",IF(ROW()-1&lt;=$L$2,IFERROR(INDEX(MCQ!$A:$K,ROW()-1+1,5),""),IF(ROW()-1&lt;=$L$2+$M$2,IFERROR(INDEX(CLOZE_AB!$A:$K,ROW()-1-$L$2+1,5),""),IF(ROW()-1&lt;=$L$2+$M$2+$N$2,IFERROR(INDEX(CLOZE_LIST!$A:$K,ROW()-1-$L$2-$M$2+1,5),""),IF(ROW()-1&lt;=$L$2+$M$2+$N$2+$O$2,IFERROR(INDEX(PROFORMA!$A:$K,ROW()-1-$L$2-$M$2-$N$2+1,5),""),"")))))</f>
        <v>cloze_ab</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t="str">
        <f>IF(ROW()-1&lt;=0,"",IF(ROW()-1&lt;=$L$2,IFERROR(INDEX(MCQ!$A:$K,ROW()-1+1,5),""),IF(ROW()-1&lt;=$L$2+$M$2,IFERROR(INDEX(CLOZE_AB!$A:$K,ROW()-1-$L$2+1,5),""),IF(ROW()-1&lt;=$L$2+$M$2+$N$2,IFERROR(INDEX(CLOZE_LIST!$A:$K,ROW()-1-$L$2-$M$2+1,5),""),IF(ROW()-1&lt;=$L$2+$M$2+$N$2+$O$2,IFERROR(INDEX(PROFORMA!$A:$K,ROW()-1-$L$2-$M$2-$N$2+1,5),""),"")))))</f>
        <v>cloze_ab</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t="str">
        <f>IF(ROW()-1&lt;=0,"",IF(ROW()-1&lt;=$L$2,IFERROR(INDEX(MCQ!$A:$K,ROW()-1+1,5),""),IF(ROW()-1&lt;=$L$2+$M$2,IFERROR(INDEX(CLOZE_AB!$A:$K,ROW()-1-$L$2+1,5),""),IF(ROW()-1&lt;=$L$2+$M$2+$N$2,IFERROR(INDEX(CLOZE_LIST!$A:$K,ROW()-1-$L$2-$M$2+1,5),""),IF(ROW()-1&lt;=$L$2+$M$2+$N$2+$O$2,IFERROR(INDEX(PROFORMA!$A:$K,ROW()-1-$L$2-$M$2-$N$2+1,5),""),"")))))</f>
        <v>cloze_ab</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t="str">
        <f>IF(ROW()-1&lt;=0,"",IF(ROW()-1&lt;=$L$2,IFERROR(INDEX(MCQ!$A:$K,ROW()-1+1,5),""),IF(ROW()-1&lt;=$L$2+$M$2,IFERROR(INDEX(CLOZE_AB!$A:$K,ROW()-1-$L$2+1,5),""),IF(ROW()-1&lt;=$L$2+$M$2+$N$2,IFERROR(INDEX(CLOZE_LIST!$A:$K,ROW()-1-$L$2-$M$2+1,5),""),IF(ROW()-1&lt;=$L$2+$M$2+$N$2+$O$2,IFERROR(INDEX(PROFORMA!$A:$K,ROW()-1-$L$2-$M$2-$N$2+1,5),""),"")))))</f>
        <v>cloze_ab</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t="str">
        <f>IF(ROW()-1&lt;=0,"",IF(ROW()-1&lt;=$L$2,IFERROR(INDEX(MCQ!$A:$K,ROW()-1+1,5),""),IF(ROW()-1&lt;=$L$2+$M$2,IFERROR(INDEX(CLOZE_AB!$A:$K,ROW()-1-$L$2+1,5),""),IF(ROW()-1&lt;=$L$2+$M$2+$N$2,IFERROR(INDEX(CLOZE_LIST!$A:$K,ROW()-1-$L$2-$M$2+1,5),""),IF(ROW()-1&lt;=$L$2+$M$2+$N$2+$O$2,IFERROR(INDEX(PROFORMA!$A:$K,ROW()-1-$L$2-$M$2-$N$2+1,5),""),"")))))</f>
        <v>cloze_ab</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t="str">
        <f>IF(ROW()-1&lt;=0,"",IF(ROW()-1&lt;=$L$2,IFERROR(INDEX(MCQ!$A:$K,ROW()-1+1,5),""),IF(ROW()-1&lt;=$L$2+$M$2,IFERROR(INDEX(CLOZE_AB!$A:$K,ROW()-1-$L$2+1,5),""),IF(ROW()-1&lt;=$L$2+$M$2+$N$2,IFERROR(INDEX(CLOZE_LIST!$A:$K,ROW()-1-$L$2-$M$2+1,5),""),IF(ROW()-1&lt;=$L$2+$M$2+$N$2+$O$2,IFERROR(INDEX(PROFORMA!$A:$K,ROW()-1-$L$2-$M$2-$N$2+1,5),""),"")))))</f>
        <v>cloze_ab</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t="str">
        <f>IF(ROW()-1&lt;=0,"",IF(ROW()-1&lt;=$L$2,IFERROR(INDEX(MCQ!$A:$K,ROW()-1+1,5),""),IF(ROW()-1&lt;=$L$2+$M$2,IFERROR(INDEX(CLOZE_AB!$A:$K,ROW()-1-$L$2+1,5),""),IF(ROW()-1&lt;=$L$2+$M$2+$N$2,IFERROR(INDEX(CLOZE_LIST!$A:$K,ROW()-1-$L$2-$M$2+1,5),""),IF(ROW()-1&lt;=$L$2+$M$2+$N$2+$O$2,IFERROR(INDEX(PROFORMA!$A:$K,ROW()-1-$L$2-$M$2-$N$2+1,5),""),"")))))</f>
        <v>cloze_ab</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t="str">
        <f>IF(ROW()-1&lt;=0,"",IF(ROW()-1&lt;=$L$2,IFERROR(INDEX(MCQ!$A:$K,ROW()-1+1,5),""),IF(ROW()-1&lt;=$L$2+$M$2,IFERROR(INDEX(CLOZE_AB!$A:$K,ROW()-1-$L$2+1,5),""),IF(ROW()-1&lt;=$L$2+$M$2+$N$2,IFERROR(INDEX(CLOZE_LIST!$A:$K,ROW()-1-$L$2-$M$2+1,5),""),IF(ROW()-1&lt;=$L$2+$M$2+$N$2+$O$2,IFERROR(INDEX(PROFORMA!$A:$K,ROW()-1-$L$2-$M$2-$N$2+1,5),""),"")))))</f>
        <v>cloze_ab</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t="str">
        <f>IF(ROW()-1&lt;=0,"",IF(ROW()-1&lt;=$L$2,IFERROR(INDEX(MCQ!$A:$K,ROW()-1+1,5),""),IF(ROW()-1&lt;=$L$2+$M$2,IFERROR(INDEX(CLOZE_AB!$A:$K,ROW()-1-$L$2+1,5),""),IF(ROW()-1&lt;=$L$2+$M$2+$N$2,IFERROR(INDEX(CLOZE_LIST!$A:$K,ROW()-1-$L$2-$M$2+1,5),""),IF(ROW()-1&lt;=$L$2+$M$2+$N$2+$O$2,IFERROR(INDEX(PROFORMA!$A:$K,ROW()-1-$L$2-$M$2-$N$2+1,5),""),"")))))</f>
        <v>cloze_ab</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t="str">
        <f>IF(ROW()-1&lt;=0,"",IF(ROW()-1&lt;=$L$2,IFERROR(INDEX(MCQ!$A:$K,ROW()-1+1,5),""),IF(ROW()-1&lt;=$L$2+$M$2,IFERROR(INDEX(CLOZE_AB!$A:$K,ROW()-1-$L$2+1,5),""),IF(ROW()-1&lt;=$L$2+$M$2+$N$2,IFERROR(INDEX(CLOZE_LIST!$A:$K,ROW()-1-$L$2-$M$2+1,5),""),IF(ROW()-1&lt;=$L$2+$M$2+$N$2+$O$2,IFERROR(INDEX(PROFORMA!$A:$K,ROW()-1-$L$2-$M$2-$N$2+1,5),""),"")))))</f>
        <v>cloze_ab</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t="str">
        <f>IF(ROW()-1&lt;=0,"",IF(ROW()-1&lt;=$L$2,IFERROR(INDEX(MCQ!$A:$K,ROW()-1+1,5),""),IF(ROW()-1&lt;=$L$2+$M$2,IFERROR(INDEX(CLOZE_AB!$A:$K,ROW()-1-$L$2+1,5),""),IF(ROW()-1&lt;=$L$2+$M$2+$N$2,IFERROR(INDEX(CLOZE_LIST!$A:$K,ROW()-1-$L$2-$M$2+1,5),""),IF(ROW()-1&lt;=$L$2+$M$2+$N$2+$O$2,IFERROR(INDEX(PROFORMA!$A:$K,ROW()-1-$L$2-$M$2-$N$2+1,5),""),"")))))</f>
        <v>cloze_ab</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t="str">
        <f>IF(ROW()-1&lt;=0,"",IF(ROW()-1&lt;=$L$2,IFERROR(INDEX(MCQ!$A:$K,ROW()-1+1,5),""),IF(ROW()-1&lt;=$L$2+$M$2,IFERROR(INDEX(CLOZE_AB!$A:$K,ROW()-1-$L$2+1,5),""),IF(ROW()-1&lt;=$L$2+$M$2+$N$2,IFERROR(INDEX(CLOZE_LIST!$A:$K,ROW()-1-$L$2-$M$2+1,5),""),IF(ROW()-1&lt;=$L$2+$M$2+$N$2+$O$2,IFERROR(INDEX(PROFORMA!$A:$K,ROW()-1-$L$2-$M$2-$N$2+1,5),""),"")))))</f>
        <v>cloze_ab</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t="str">
        <f>IF(ROW()-1&lt;=0,"",IF(ROW()-1&lt;=$L$2,IFERROR(INDEX(MCQ!$A:$K,ROW()-1+1,5),""),IF(ROW()-1&lt;=$L$2+$M$2,IFERROR(INDEX(CLOZE_AB!$A:$K,ROW()-1-$L$2+1,5),""),IF(ROW()-1&lt;=$L$2+$M$2+$N$2,IFERROR(INDEX(CLOZE_LIST!$A:$K,ROW()-1-$L$2-$M$2+1,5),""),IF(ROW()-1&lt;=$L$2+$M$2+$N$2+$O$2,IFERROR(INDEX(PROFORMA!$A:$K,ROW()-1-$L$2-$M$2-$N$2+1,5),""),"")))))</f>
        <v>cloze_ab</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t="str">
        <f>IF(ROW()-1&lt;=0,"",IF(ROW()-1&lt;=$L$2,IFERROR(INDEX(MCQ!$A:$K,ROW()-1+1,5),""),IF(ROW()-1&lt;=$L$2+$M$2,IFERROR(INDEX(CLOZE_AB!$A:$K,ROW()-1-$L$2+1,5),""),IF(ROW()-1&lt;=$L$2+$M$2+$N$2,IFERROR(INDEX(CLOZE_LIST!$A:$K,ROW()-1-$L$2-$M$2+1,5),""),IF(ROW()-1&lt;=$L$2+$M$2+$N$2+$O$2,IFERROR(INDEX(PROFORMA!$A:$K,ROW()-1-$L$2-$M$2-$N$2+1,5),""),"")))))</f>
        <v>cloze_ab</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t="str">
        <f>IF(ROW()-1&lt;=0,"",IF(ROW()-1&lt;=$L$2,IFERROR(INDEX(MCQ!$A:$K,ROW()-1+1,5),""),IF(ROW()-1&lt;=$L$2+$M$2,IFERROR(INDEX(CLOZE_AB!$A:$K,ROW()-1-$L$2+1,5),""),IF(ROW()-1&lt;=$L$2+$M$2+$N$2,IFERROR(INDEX(CLOZE_LIST!$A:$K,ROW()-1-$L$2-$M$2+1,5),""),IF(ROW()-1&lt;=$L$2+$M$2+$N$2+$O$2,IFERROR(INDEX(PROFORMA!$A:$K,ROW()-1-$L$2-$M$2-$N$2+1,5),""),"")))))</f>
        <v>cloze_ab</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t="str">
        <f>IF(ROW()-1&lt;=0,"",IF(ROW()-1&lt;=$L$2,IFERROR(INDEX(MCQ!$A:$K,ROW()-1+1,5),""),IF(ROW()-1&lt;=$L$2+$M$2,IFERROR(INDEX(CLOZE_AB!$A:$K,ROW()-1-$L$2+1,5),""),IF(ROW()-1&lt;=$L$2+$M$2+$N$2,IFERROR(INDEX(CLOZE_LIST!$A:$K,ROW()-1-$L$2-$M$2+1,5),""),IF(ROW()-1&lt;=$L$2+$M$2+$N$2+$O$2,IFERROR(INDEX(PROFORMA!$A:$K,ROW()-1-$L$2-$M$2-$N$2+1,5),""),"")))))</f>
        <v>cloze_ab</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t="str">
        <f>IF(ROW()-1&lt;=0,"",IF(ROW()-1&lt;=$L$2,IFERROR(INDEX(MCQ!$A:$K,ROW()-1+1,5),""),IF(ROW()-1&lt;=$L$2+$M$2,IFERROR(INDEX(CLOZE_AB!$A:$K,ROW()-1-$L$2+1,5),""),IF(ROW()-1&lt;=$L$2+$M$2+$N$2,IFERROR(INDEX(CLOZE_LIST!$A:$K,ROW()-1-$L$2-$M$2+1,5),""),IF(ROW()-1&lt;=$L$2+$M$2+$N$2+$O$2,IFERROR(INDEX(PROFORMA!$A:$K,ROW()-1-$L$2-$M$2-$N$2+1,5),""),"")))))</f>
        <v>cloze_ab</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t="str">
        <f>IF(ROW()-1&lt;=0,"",IF(ROW()-1&lt;=$L$2,IFERROR(INDEX(MCQ!$A:$K,ROW()-1+1,5),""),IF(ROW()-1&lt;=$L$2+$M$2,IFERROR(INDEX(CLOZE_AB!$A:$K,ROW()-1-$L$2+1,5),""),IF(ROW()-1&lt;=$L$2+$M$2+$N$2,IFERROR(INDEX(CLOZE_LIST!$A:$K,ROW()-1-$L$2-$M$2+1,5),""),IF(ROW()-1&lt;=$L$2+$M$2+$N$2+$O$2,IFERROR(INDEX(PROFORMA!$A:$K,ROW()-1-$L$2-$M$2-$N$2+1,5),""),"")))))</f>
        <v>cloze_ab</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t="str">
        <f>IF(ROW()-1&lt;=0,"",IF(ROW()-1&lt;=$L$2,IFERROR(INDEX(MCQ!$A:$K,ROW()-1+1,5),""),IF(ROW()-1&lt;=$L$2+$M$2,IFERROR(INDEX(CLOZE_AB!$A:$K,ROW()-1-$L$2+1,5),""),IF(ROW()-1&lt;=$L$2+$M$2+$N$2,IFERROR(INDEX(CLOZE_LIST!$A:$K,ROW()-1-$L$2-$M$2+1,5),""),IF(ROW()-1&lt;=$L$2+$M$2+$N$2+$O$2,IFERROR(INDEX(PROFORMA!$A:$K,ROW()-1-$L$2-$M$2-$N$2+1,5),""),"")))))</f>
        <v>cloze_ab</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t="str">
        <f>IF(ROW()-1&lt;=0,"",IF(ROW()-1&lt;=$L$2,IFERROR(INDEX(MCQ!$A:$K,ROW()-1+1,5),""),IF(ROW()-1&lt;=$L$2+$M$2,IFERROR(INDEX(CLOZE_AB!$A:$K,ROW()-1-$L$2+1,5),""),IF(ROW()-1&lt;=$L$2+$M$2+$N$2,IFERROR(INDEX(CLOZE_LIST!$A:$K,ROW()-1-$L$2-$M$2+1,5),""),IF(ROW()-1&lt;=$L$2+$M$2+$N$2+$O$2,IFERROR(INDEX(PROFORMA!$A:$K,ROW()-1-$L$2-$M$2-$N$2+1,5),""),"")))))</f>
        <v>cloze_ab</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t="str">
        <f>IF(ROW()-1&lt;=0,"",IF(ROW()-1&lt;=$L$2,IFERROR(INDEX(MCQ!$A:$K,ROW()-1+1,5),""),IF(ROW()-1&lt;=$L$2+$M$2,IFERROR(INDEX(CLOZE_AB!$A:$K,ROW()-1-$L$2+1,5),""),IF(ROW()-1&lt;=$L$2+$M$2+$N$2,IFERROR(INDEX(CLOZE_LIST!$A:$K,ROW()-1-$L$2-$M$2+1,5),""),IF(ROW()-1&lt;=$L$2+$M$2+$N$2+$O$2,IFERROR(INDEX(PROFORMA!$A:$K,ROW()-1-$L$2-$M$2-$N$2+1,5),""),"")))))</f>
        <v>cloze_ab</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t="str">
        <f>IF(ROW()-1&lt;=0,"",IF(ROW()-1&lt;=$L$2,IFERROR(INDEX(MCQ!$A:$K,ROW()-1+1,5),""),IF(ROW()-1&lt;=$L$2+$M$2,IFERROR(INDEX(CLOZE_AB!$A:$K,ROW()-1-$L$2+1,5),""),IF(ROW()-1&lt;=$L$2+$M$2+$N$2,IFERROR(INDEX(CLOZE_LIST!$A:$K,ROW()-1-$L$2-$M$2+1,5),""),IF(ROW()-1&lt;=$L$2+$M$2+$N$2+$O$2,IFERROR(INDEX(PROFORMA!$A:$K,ROW()-1-$L$2-$M$2-$N$2+1,5),""),"")))))</f>
        <v>cloze_ab</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t="str">
        <f>IF(ROW()-1&lt;=0,"",IF(ROW()-1&lt;=$L$2,IFERROR(INDEX(MCQ!$A:$K,ROW()-1+1,5),""),IF(ROW()-1&lt;=$L$2+$M$2,IFERROR(INDEX(CLOZE_AB!$A:$K,ROW()-1-$L$2+1,5),""),IF(ROW()-1&lt;=$L$2+$M$2+$N$2,IFERROR(INDEX(CLOZE_LIST!$A:$K,ROW()-1-$L$2-$M$2+1,5),""),IF(ROW()-1&lt;=$L$2+$M$2+$N$2+$O$2,IFERROR(INDEX(PROFORMA!$A:$K,ROW()-1-$L$2-$M$2-$N$2+1,5),""),"")))))</f>
        <v>cloze_ab</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t="str">
        <f>IF(ROW()-1&lt;=0,"",IF(ROW()-1&lt;=$L$2,IFERROR(INDEX(MCQ!$A:$K,ROW()-1+1,5),""),IF(ROW()-1&lt;=$L$2+$M$2,IFERROR(INDEX(CLOZE_AB!$A:$K,ROW()-1-$L$2+1,5),""),IF(ROW()-1&lt;=$L$2+$M$2+$N$2,IFERROR(INDEX(CLOZE_LIST!$A:$K,ROW()-1-$L$2-$M$2+1,5),""),IF(ROW()-1&lt;=$L$2+$M$2+$N$2+$O$2,IFERROR(INDEX(PROFORMA!$A:$K,ROW()-1-$L$2-$M$2-$N$2+1,5),""),"")))))</f>
        <v>cloze_ab</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t="str">
        <f>IF(ROW()-1&lt;=0,"",IF(ROW()-1&lt;=$L$2,IFERROR(INDEX(MCQ!$A:$K,ROW()-1+1,5),""),IF(ROW()-1&lt;=$L$2+$M$2,IFERROR(INDEX(CLOZE_AB!$A:$K,ROW()-1-$L$2+1,5),""),IF(ROW()-1&lt;=$L$2+$M$2+$N$2,IFERROR(INDEX(CLOZE_LIST!$A:$K,ROW()-1-$L$2-$M$2+1,5),""),IF(ROW()-1&lt;=$L$2+$M$2+$N$2+$O$2,IFERROR(INDEX(PROFORMA!$A:$K,ROW()-1-$L$2-$M$2-$N$2+1,5),""),"")))))</f>
        <v>cloze_ab</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t="str">
        <f>IF(ROW()-1&lt;=0,"",IF(ROW()-1&lt;=$L$2,IFERROR(INDEX(MCQ!$A:$K,ROW()-1+1,5),""),IF(ROW()-1&lt;=$L$2+$M$2,IFERROR(INDEX(CLOZE_AB!$A:$K,ROW()-1-$L$2+1,5),""),IF(ROW()-1&lt;=$L$2+$M$2+$N$2,IFERROR(INDEX(CLOZE_LIST!$A:$K,ROW()-1-$L$2-$M$2+1,5),""),IF(ROW()-1&lt;=$L$2+$M$2+$N$2+$O$2,IFERROR(INDEX(PROFORMA!$A:$K,ROW()-1-$L$2-$M$2-$N$2+1,5),""),"")))))</f>
        <v>cloze_ab</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t="str">
        <f>IF(ROW()-1&lt;=0,"",IF(ROW()-1&lt;=$L$2,IFERROR(INDEX(MCQ!$A:$K,ROW()-1+1,5),""),IF(ROW()-1&lt;=$L$2+$M$2,IFERROR(INDEX(CLOZE_AB!$A:$K,ROW()-1-$L$2+1,5),""),IF(ROW()-1&lt;=$L$2+$M$2+$N$2,IFERROR(INDEX(CLOZE_LIST!$A:$K,ROW()-1-$L$2-$M$2+1,5),""),IF(ROW()-1&lt;=$L$2+$M$2+$N$2+$O$2,IFERROR(INDEX(PROFORMA!$A:$K,ROW()-1-$L$2-$M$2-$N$2+1,5),""),"")))))</f>
        <v>cloze_ab</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t="str">
        <f>IF(ROW()-1&lt;=0,"",IF(ROW()-1&lt;=$L$2,IFERROR(INDEX(MCQ!$A:$K,ROW()-1+1,5),""),IF(ROW()-1&lt;=$L$2+$M$2,IFERROR(INDEX(CLOZE_AB!$A:$K,ROW()-1-$L$2+1,5),""),IF(ROW()-1&lt;=$L$2+$M$2+$N$2,IFERROR(INDEX(CLOZE_LIST!$A:$K,ROW()-1-$L$2-$M$2+1,5),""),IF(ROW()-1&lt;=$L$2+$M$2+$N$2+$O$2,IFERROR(INDEX(PROFORMA!$A:$K,ROW()-1-$L$2-$M$2-$N$2+1,5),""),"")))))</f>
        <v>cloze_ab</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t="str">
        <f>IF(ROW()-1&lt;=0,"",IF(ROW()-1&lt;=$L$2,IFERROR(INDEX(MCQ!$A:$K,ROW()-1+1,5),""),IF(ROW()-1&lt;=$L$2+$M$2,IFERROR(INDEX(CLOZE_AB!$A:$K,ROW()-1-$L$2+1,5),""),IF(ROW()-1&lt;=$L$2+$M$2+$N$2,IFERROR(INDEX(CLOZE_LIST!$A:$K,ROW()-1-$L$2-$M$2+1,5),""),IF(ROW()-1&lt;=$L$2+$M$2+$N$2+$O$2,IFERROR(INDEX(PROFORMA!$A:$K,ROW()-1-$L$2-$M$2-$N$2+1,5),""),"")))))</f>
        <v>cloze_ab</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t="str">
        <f>IF(ROW()-1&lt;=0,"",IF(ROW()-1&lt;=$L$2,IFERROR(INDEX(MCQ!$A:$K,ROW()-1+1,5),""),IF(ROW()-1&lt;=$L$2+$M$2,IFERROR(INDEX(CLOZE_AB!$A:$K,ROW()-1-$L$2+1,5),""),IF(ROW()-1&lt;=$L$2+$M$2+$N$2,IFERROR(INDEX(CLOZE_LIST!$A:$K,ROW()-1-$L$2-$M$2+1,5),""),IF(ROW()-1&lt;=$L$2+$M$2+$N$2+$O$2,IFERROR(INDEX(PROFORMA!$A:$K,ROW()-1-$L$2-$M$2-$N$2+1,5),""),"")))))</f>
        <v>cloze_ab</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t="str">
        <f>IF(ROW()-1&lt;=0,"",IF(ROW()-1&lt;=$L$2,IFERROR(INDEX(MCQ!$A:$K,ROW()-1+1,5),""),IF(ROW()-1&lt;=$L$2+$M$2,IFERROR(INDEX(CLOZE_AB!$A:$K,ROW()-1-$L$2+1,5),""),IF(ROW()-1&lt;=$L$2+$M$2+$N$2,IFERROR(INDEX(CLOZE_LIST!$A:$K,ROW()-1-$L$2-$M$2+1,5),""),IF(ROW()-1&lt;=$L$2+$M$2+$N$2+$O$2,IFERROR(INDEX(PROFORMA!$A:$K,ROW()-1-$L$2-$M$2-$N$2+1,5),""),"")))))</f>
        <v>cloze_ab</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t="str">
        <f>IF(ROW()-1&lt;=0,"",IF(ROW()-1&lt;=$L$2,IFERROR(INDEX(MCQ!$A:$K,ROW()-1+1,5),""),IF(ROW()-1&lt;=$L$2+$M$2,IFERROR(INDEX(CLOZE_AB!$A:$K,ROW()-1-$L$2+1,5),""),IF(ROW()-1&lt;=$L$2+$M$2+$N$2,IFERROR(INDEX(CLOZE_LIST!$A:$K,ROW()-1-$L$2-$M$2+1,5),""),IF(ROW()-1&lt;=$L$2+$M$2+$N$2+$O$2,IFERROR(INDEX(PROFORMA!$A:$K,ROW()-1-$L$2-$M$2-$N$2+1,5),""),"")))))</f>
        <v>cloze_ab</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t="str">
        <f>IF(ROW()-1&lt;=0,"",IF(ROW()-1&lt;=$L$2,IFERROR(INDEX(MCQ!$A:$K,ROW()-1+1,5),""),IF(ROW()-1&lt;=$L$2+$M$2,IFERROR(INDEX(CLOZE_AB!$A:$K,ROW()-1-$L$2+1,5),""),IF(ROW()-1&lt;=$L$2+$M$2+$N$2,IFERROR(INDEX(CLOZE_LIST!$A:$K,ROW()-1-$L$2-$M$2+1,5),""),IF(ROW()-1&lt;=$L$2+$M$2+$N$2+$O$2,IFERROR(INDEX(PROFORMA!$A:$K,ROW()-1-$L$2-$M$2-$N$2+1,5),""),"")))))</f>
        <v>cloze_ab</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t="str">
        <f>IF(ROW()-1&lt;=0,"",IF(ROW()-1&lt;=$L$2,IFERROR(INDEX(MCQ!$A:$K,ROW()-1+1,5),""),IF(ROW()-1&lt;=$L$2+$M$2,IFERROR(INDEX(CLOZE_AB!$A:$K,ROW()-1-$L$2+1,5),""),IF(ROW()-1&lt;=$L$2+$M$2+$N$2,IFERROR(INDEX(CLOZE_LIST!$A:$K,ROW()-1-$L$2-$M$2+1,5),""),IF(ROW()-1&lt;=$L$2+$M$2+$N$2+$O$2,IFERROR(INDEX(PROFORMA!$A:$K,ROW()-1-$L$2-$M$2-$N$2+1,5),""),"")))))</f>
        <v>cloze_ab</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t="str">
        <f>IF(ROW()-1&lt;=0,"",IF(ROW()-1&lt;=$L$2,IFERROR(INDEX(MCQ!$A:$K,ROW()-1+1,5),""),IF(ROW()-1&lt;=$L$2+$M$2,IFERROR(INDEX(CLOZE_AB!$A:$K,ROW()-1-$L$2+1,5),""),IF(ROW()-1&lt;=$L$2+$M$2+$N$2,IFERROR(INDEX(CLOZE_LIST!$A:$K,ROW()-1-$L$2-$M$2+1,5),""),IF(ROW()-1&lt;=$L$2+$M$2+$N$2+$O$2,IFERROR(INDEX(PROFORMA!$A:$K,ROW()-1-$L$2-$M$2-$N$2+1,5),""),"")))))</f>
        <v>cloze_ab</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t="str">
        <f>IF(ROW()-1&lt;=0,"",IF(ROW()-1&lt;=$L$2,IFERROR(INDEX(MCQ!$A:$K,ROW()-1+1,5),""),IF(ROW()-1&lt;=$L$2+$M$2,IFERROR(INDEX(CLOZE_AB!$A:$K,ROW()-1-$L$2+1,5),""),IF(ROW()-1&lt;=$L$2+$M$2+$N$2,IFERROR(INDEX(CLOZE_LIST!$A:$K,ROW()-1-$L$2-$M$2+1,5),""),IF(ROW()-1&lt;=$L$2+$M$2+$N$2+$O$2,IFERROR(INDEX(PROFORMA!$A:$K,ROW()-1-$L$2-$M$2-$N$2+1,5),""),"")))))</f>
        <v>cloze_ab</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t="str">
        <f>IF(ROW()-1&lt;=0,"",IF(ROW()-1&lt;=$L$2,IFERROR(INDEX(MCQ!$A:$K,ROW()-1+1,5),""),IF(ROW()-1&lt;=$L$2+$M$2,IFERROR(INDEX(CLOZE_AB!$A:$K,ROW()-1-$L$2+1,5),""),IF(ROW()-1&lt;=$L$2+$M$2+$N$2,IFERROR(INDEX(CLOZE_LIST!$A:$K,ROW()-1-$L$2-$M$2+1,5),""),IF(ROW()-1&lt;=$L$2+$M$2+$N$2+$O$2,IFERROR(INDEX(PROFORMA!$A:$K,ROW()-1-$L$2-$M$2-$N$2+1,5),""),"")))))</f>
        <v>cloze_ab</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t="str">
        <f>IF(ROW()-1&lt;=0,"",IF(ROW()-1&lt;=$L$2,IFERROR(INDEX(MCQ!$A:$K,ROW()-1+1,5),""),IF(ROW()-1&lt;=$L$2+$M$2,IFERROR(INDEX(CLOZE_AB!$A:$K,ROW()-1-$L$2+1,5),""),IF(ROW()-1&lt;=$L$2+$M$2+$N$2,IFERROR(INDEX(CLOZE_LIST!$A:$K,ROW()-1-$L$2-$M$2+1,5),""),IF(ROW()-1&lt;=$L$2+$M$2+$N$2+$O$2,IFERROR(INDEX(PROFORMA!$A:$K,ROW()-1-$L$2-$M$2-$N$2+1,5),""),"")))))</f>
        <v>cloze_ab</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t="str">
        <f>IF(ROW()-1&lt;=0,"",IF(ROW()-1&lt;=$L$2,IFERROR(INDEX(MCQ!$A:$K,ROW()-1+1,5),""),IF(ROW()-1&lt;=$L$2+$M$2,IFERROR(INDEX(CLOZE_AB!$A:$K,ROW()-1-$L$2+1,5),""),IF(ROW()-1&lt;=$L$2+$M$2+$N$2,IFERROR(INDEX(CLOZE_LIST!$A:$K,ROW()-1-$L$2-$M$2+1,5),""),IF(ROW()-1&lt;=$L$2+$M$2+$N$2+$O$2,IFERROR(INDEX(PROFORMA!$A:$K,ROW()-1-$L$2-$M$2-$N$2+1,5),""),"")))))</f>
        <v>cloze_ab</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t="str">
        <f>IF(ROW()-1&lt;=0,"",IF(ROW()-1&lt;=$L$2,IFERROR(INDEX(MCQ!$A:$K,ROW()-1+1,5),""),IF(ROW()-1&lt;=$L$2+$M$2,IFERROR(INDEX(CLOZE_AB!$A:$K,ROW()-1-$L$2+1,5),""),IF(ROW()-1&lt;=$L$2+$M$2+$N$2,IFERROR(INDEX(CLOZE_LIST!$A:$K,ROW()-1-$L$2-$M$2+1,5),""),IF(ROW()-1&lt;=$L$2+$M$2+$N$2+$O$2,IFERROR(INDEX(PROFORMA!$A:$K,ROW()-1-$L$2-$M$2-$N$2+1,5),""),"")))))</f>
        <v>cloze_ab</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t="str">
        <f>IF(ROW()-1&lt;=0,"",IF(ROW()-1&lt;=$L$2,IFERROR(INDEX(MCQ!$A:$K,ROW()-1+1,5),""),IF(ROW()-1&lt;=$L$2+$M$2,IFERROR(INDEX(CLOZE_AB!$A:$K,ROW()-1-$L$2+1,5),""),IF(ROW()-1&lt;=$L$2+$M$2+$N$2,IFERROR(INDEX(CLOZE_LIST!$A:$K,ROW()-1-$L$2-$M$2+1,5),""),IF(ROW()-1&lt;=$L$2+$M$2+$N$2+$O$2,IFERROR(INDEX(PROFORMA!$A:$K,ROW()-1-$L$2-$M$2-$N$2+1,5),""),"")))))</f>
        <v>cloze_ab</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t="str">
        <f>IF(ROW()-1&lt;=0,"",IF(ROW()-1&lt;=$L$2,IFERROR(INDEX(MCQ!$A:$K,ROW()-1+1,5),""),IF(ROW()-1&lt;=$L$2+$M$2,IFERROR(INDEX(CLOZE_AB!$A:$K,ROW()-1-$L$2+1,5),""),IF(ROW()-1&lt;=$L$2+$M$2+$N$2,IFERROR(INDEX(CLOZE_LIST!$A:$K,ROW()-1-$L$2-$M$2+1,5),""),IF(ROW()-1&lt;=$L$2+$M$2+$N$2+$O$2,IFERROR(INDEX(PROFORMA!$A:$K,ROW()-1-$L$2-$M$2-$N$2+1,5),""),"")))))</f>
        <v>cloze_ab</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t="str">
        <f>IF(ROW()-1&lt;=0,"",IF(ROW()-1&lt;=$L$2,IFERROR(INDEX(MCQ!$A:$K,ROW()-1+1,5),""),IF(ROW()-1&lt;=$L$2+$M$2,IFERROR(INDEX(CLOZE_AB!$A:$K,ROW()-1-$L$2+1,5),""),IF(ROW()-1&lt;=$L$2+$M$2+$N$2,IFERROR(INDEX(CLOZE_LIST!$A:$K,ROW()-1-$L$2-$M$2+1,5),""),IF(ROW()-1&lt;=$L$2+$M$2+$N$2+$O$2,IFERROR(INDEX(PROFORMA!$A:$K,ROW()-1-$L$2-$M$2-$N$2+1,5),""),"")))))</f>
        <v>cloze_ab</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t="str">
        <f>IF(ROW()-1&lt;=0,"",IF(ROW()-1&lt;=$L$2,IFERROR(INDEX(MCQ!$A:$K,ROW()-1+1,5),""),IF(ROW()-1&lt;=$L$2+$M$2,IFERROR(INDEX(CLOZE_AB!$A:$K,ROW()-1-$L$2+1,5),""),IF(ROW()-1&lt;=$L$2+$M$2+$N$2,IFERROR(INDEX(CLOZE_LIST!$A:$K,ROW()-1-$L$2-$M$2+1,5),""),IF(ROW()-1&lt;=$L$2+$M$2+$N$2+$O$2,IFERROR(INDEX(PROFORMA!$A:$K,ROW()-1-$L$2-$M$2-$N$2+1,5),""),"")))))</f>
        <v>cloze_ab</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t="str">
        <f>IF(ROW()-1&lt;=0,"",IF(ROW()-1&lt;=$L$2,IFERROR(INDEX(MCQ!$A:$K,ROW()-1+1,5),""),IF(ROW()-1&lt;=$L$2+$M$2,IFERROR(INDEX(CLOZE_AB!$A:$K,ROW()-1-$L$2+1,5),""),IF(ROW()-1&lt;=$L$2+$M$2+$N$2,IFERROR(INDEX(CLOZE_LIST!$A:$K,ROW()-1-$L$2-$M$2+1,5),""),IF(ROW()-1&lt;=$L$2+$M$2+$N$2+$O$2,IFERROR(INDEX(PROFORMA!$A:$K,ROW()-1-$L$2-$M$2-$N$2+1,5),""),"")))))</f>
        <v>cloze_ab</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t="str">
        <f>IF(ROW()-1&lt;=0,"",IF(ROW()-1&lt;=$L$2,IFERROR(INDEX(MCQ!$A:$K,ROW()-1+1,5),""),IF(ROW()-1&lt;=$L$2+$M$2,IFERROR(INDEX(CLOZE_AB!$A:$K,ROW()-1-$L$2+1,5),""),IF(ROW()-1&lt;=$L$2+$M$2+$N$2,IFERROR(INDEX(CLOZE_LIST!$A:$K,ROW()-1-$L$2-$M$2+1,5),""),IF(ROW()-1&lt;=$L$2+$M$2+$N$2+$O$2,IFERROR(INDEX(PROFORMA!$A:$K,ROW()-1-$L$2-$M$2-$N$2+1,5),""),"")))))</f>
        <v>cloze_ab</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t="str">
        <f>IF(ROW()-1&lt;=0,"",IF(ROW()-1&lt;=$L$2,IFERROR(INDEX(MCQ!$A:$K,ROW()-1+1,5),""),IF(ROW()-1&lt;=$L$2+$M$2,IFERROR(INDEX(CLOZE_AB!$A:$K,ROW()-1-$L$2+1,5),""),IF(ROW()-1&lt;=$L$2+$M$2+$N$2,IFERROR(INDEX(CLOZE_LIST!$A:$K,ROW()-1-$L$2-$M$2+1,5),""),IF(ROW()-1&lt;=$L$2+$M$2+$N$2+$O$2,IFERROR(INDEX(PROFORMA!$A:$K,ROW()-1-$L$2-$M$2-$N$2+1,5),""),"")))))</f>
        <v>cloze_ab</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t="str">
        <f>IF(ROW()-1&lt;=0,"",IF(ROW()-1&lt;=$L$2,IFERROR(INDEX(MCQ!$A:$K,ROW()-1+1,5),""),IF(ROW()-1&lt;=$L$2+$M$2,IFERROR(INDEX(CLOZE_AB!$A:$K,ROW()-1-$L$2+1,5),""),IF(ROW()-1&lt;=$L$2+$M$2+$N$2,IFERROR(INDEX(CLOZE_LIST!$A:$K,ROW()-1-$L$2-$M$2+1,5),""),IF(ROW()-1&lt;=$L$2+$M$2+$N$2+$O$2,IFERROR(INDEX(PROFORMA!$A:$K,ROW()-1-$L$2-$M$2-$N$2+1,5),""),"")))))</f>
        <v>cloze_ab</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t="str">
        <f>IF(ROW()-1&lt;=0,"",IF(ROW()-1&lt;=$L$2,IFERROR(INDEX(MCQ!$A:$K,ROW()-1+1,5),""),IF(ROW()-1&lt;=$L$2+$M$2,IFERROR(INDEX(CLOZE_AB!$A:$K,ROW()-1-$L$2+1,5),""),IF(ROW()-1&lt;=$L$2+$M$2+$N$2,IFERROR(INDEX(CLOZE_LIST!$A:$K,ROW()-1-$L$2-$M$2+1,5),""),IF(ROW()-1&lt;=$L$2+$M$2+$N$2+$O$2,IFERROR(INDEX(PROFORMA!$A:$K,ROW()-1-$L$2-$M$2-$N$2+1,5),""),"")))))</f>
        <v>cloze_ab</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t="str">
        <f>IF(ROW()-1&lt;=0,"",IF(ROW()-1&lt;=$L$2,IFERROR(INDEX(MCQ!$A:$K,ROW()-1+1,5),""),IF(ROW()-1&lt;=$L$2+$M$2,IFERROR(INDEX(CLOZE_AB!$A:$K,ROW()-1-$L$2+1,5),""),IF(ROW()-1&lt;=$L$2+$M$2+$N$2,IFERROR(INDEX(CLOZE_LIST!$A:$K,ROW()-1-$L$2-$M$2+1,5),""),IF(ROW()-1&lt;=$L$2+$M$2+$N$2+$O$2,IFERROR(INDEX(PROFORMA!$A:$K,ROW()-1-$L$2-$M$2-$N$2+1,5),""),"")))))</f>
        <v>cloze_ab</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t="str">
        <f>IF(ROW()-1&lt;=0,"",IF(ROW()-1&lt;=$L$2,IFERROR(INDEX(MCQ!$A:$K,ROW()-1+1,5),""),IF(ROW()-1&lt;=$L$2+$M$2,IFERROR(INDEX(CLOZE_AB!$A:$K,ROW()-1-$L$2+1,5),""),IF(ROW()-1&lt;=$L$2+$M$2+$N$2,IFERROR(INDEX(CLOZE_LIST!$A:$K,ROW()-1-$L$2-$M$2+1,5),""),IF(ROW()-1&lt;=$L$2+$M$2+$N$2+$O$2,IFERROR(INDEX(PROFORMA!$A:$K,ROW()-1-$L$2-$M$2-$N$2+1,5),""),"")))))</f>
        <v>cloze_ab</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t="str">
        <f>IF(ROW()-1&lt;=0,"",IF(ROW()-1&lt;=$L$2,IFERROR(INDEX(MCQ!$A:$K,ROW()-1+1,5),""),IF(ROW()-1&lt;=$L$2+$M$2,IFERROR(INDEX(CLOZE_AB!$A:$K,ROW()-1-$L$2+1,5),""),IF(ROW()-1&lt;=$L$2+$M$2+$N$2,IFERROR(INDEX(CLOZE_LIST!$A:$K,ROW()-1-$L$2-$M$2+1,5),""),IF(ROW()-1&lt;=$L$2+$M$2+$N$2+$O$2,IFERROR(INDEX(PROFORMA!$A:$K,ROW()-1-$L$2-$M$2-$N$2+1,5),""),"")))))</f>
        <v>cloze_ab</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t="str">
        <f>IF(ROW()-1&lt;=0,"",IF(ROW()-1&lt;=$L$2,IFERROR(INDEX(MCQ!$A:$K,ROW()-1+1,5),""),IF(ROW()-1&lt;=$L$2+$M$2,IFERROR(INDEX(CLOZE_AB!$A:$K,ROW()-1-$L$2+1,5),""),IF(ROW()-1&lt;=$L$2+$M$2+$N$2,IFERROR(INDEX(CLOZE_LIST!$A:$K,ROW()-1-$L$2-$M$2+1,5),""),IF(ROW()-1&lt;=$L$2+$M$2+$N$2+$O$2,IFERROR(INDEX(PROFORMA!$A:$K,ROW()-1-$L$2-$M$2-$N$2+1,5),""),"")))))</f>
        <v>cloze_ab</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t="str">
        <f>IF(ROW()-1&lt;=0,"",IF(ROW()-1&lt;=$L$2,IFERROR(INDEX(MCQ!$A:$K,ROW()-1+1,5),""),IF(ROW()-1&lt;=$L$2+$M$2,IFERROR(INDEX(CLOZE_AB!$A:$K,ROW()-1-$L$2+1,5),""),IF(ROW()-1&lt;=$L$2+$M$2+$N$2,IFERROR(INDEX(CLOZE_LIST!$A:$K,ROW()-1-$L$2-$M$2+1,5),""),IF(ROW()-1&lt;=$L$2+$M$2+$N$2+$O$2,IFERROR(INDEX(PROFORMA!$A:$K,ROW()-1-$L$2-$M$2-$N$2+1,5),""),"")))))</f>
        <v>cloze_ab</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t="str">
        <f>IF(ROW()-1&lt;=0,"",IF(ROW()-1&lt;=$L$2,IFERROR(INDEX(MCQ!$A:$K,ROW()-1+1,5),""),IF(ROW()-1&lt;=$L$2+$M$2,IFERROR(INDEX(CLOZE_AB!$A:$K,ROW()-1-$L$2+1,5),""),IF(ROW()-1&lt;=$L$2+$M$2+$N$2,IFERROR(INDEX(CLOZE_LIST!$A:$K,ROW()-1-$L$2-$M$2+1,5),""),IF(ROW()-1&lt;=$L$2+$M$2+$N$2+$O$2,IFERROR(INDEX(PROFORMA!$A:$K,ROW()-1-$L$2-$M$2-$N$2+1,5),""),"")))))</f>
        <v>cloze_ab</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t="str">
        <f>IF(ROW()-1&lt;=0,"",IF(ROW()-1&lt;=$L$2,IFERROR(INDEX(MCQ!$A:$K,ROW()-1+1,5),""),IF(ROW()-1&lt;=$L$2+$M$2,IFERROR(INDEX(CLOZE_AB!$A:$K,ROW()-1-$L$2+1,5),""),IF(ROW()-1&lt;=$L$2+$M$2+$N$2,IFERROR(INDEX(CLOZE_LIST!$A:$K,ROW()-1-$L$2-$M$2+1,5),""),IF(ROW()-1&lt;=$L$2+$M$2+$N$2+$O$2,IFERROR(INDEX(PROFORMA!$A:$K,ROW()-1-$L$2-$M$2-$N$2+1,5),""),"")))))</f>
        <v>cloze_ab</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t="str">
        <f>IF(ROW()-1&lt;=0,"",IF(ROW()-1&lt;=$L$2,IFERROR(INDEX(MCQ!$A:$K,ROW()-1+1,5),""),IF(ROW()-1&lt;=$L$2+$M$2,IFERROR(INDEX(CLOZE_AB!$A:$K,ROW()-1-$L$2+1,5),""),IF(ROW()-1&lt;=$L$2+$M$2+$N$2,IFERROR(INDEX(CLOZE_LIST!$A:$K,ROW()-1-$L$2-$M$2+1,5),""),IF(ROW()-1&lt;=$L$2+$M$2+$N$2+$O$2,IFERROR(INDEX(PROFORMA!$A:$K,ROW()-1-$L$2-$M$2-$N$2+1,5),""),"")))))</f>
        <v>cloze_ab</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t="str">
        <f>IF(ROW()-1&lt;=0,"",IF(ROW()-1&lt;=$L$2,IFERROR(INDEX(MCQ!$A:$K,ROW()-1+1,5),""),IF(ROW()-1&lt;=$L$2+$M$2,IFERROR(INDEX(CLOZE_AB!$A:$K,ROW()-1-$L$2+1,5),""),IF(ROW()-1&lt;=$L$2+$M$2+$N$2,IFERROR(INDEX(CLOZE_LIST!$A:$K,ROW()-1-$L$2-$M$2+1,5),""),IF(ROW()-1&lt;=$L$2+$M$2+$N$2+$O$2,IFERROR(INDEX(PROFORMA!$A:$K,ROW()-1-$L$2-$M$2-$N$2+1,5),""),"")))))</f>
        <v>cloze_ab</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t="str">
        <f>IF(ROW()-1&lt;=0,"",IF(ROW()-1&lt;=$L$2,IFERROR(INDEX(MCQ!$A:$K,ROW()-1+1,5),""),IF(ROW()-1&lt;=$L$2+$M$2,IFERROR(INDEX(CLOZE_AB!$A:$K,ROW()-1-$L$2+1,5),""),IF(ROW()-1&lt;=$L$2+$M$2+$N$2,IFERROR(INDEX(CLOZE_LIST!$A:$K,ROW()-1-$L$2-$M$2+1,5),""),IF(ROW()-1&lt;=$L$2+$M$2+$N$2+$O$2,IFERROR(INDEX(PROFORMA!$A:$K,ROW()-1-$L$2-$M$2-$N$2+1,5),""),"")))))</f>
        <v>cloze_ab</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t="str">
        <f>IF(ROW()-1&lt;=0,"",IF(ROW()-1&lt;=$L$2,IFERROR(INDEX(MCQ!$A:$K,ROW()-1+1,5),""),IF(ROW()-1&lt;=$L$2+$M$2,IFERROR(INDEX(CLOZE_AB!$A:$K,ROW()-1-$L$2+1,5),""),IF(ROW()-1&lt;=$L$2+$M$2+$N$2,IFERROR(INDEX(CLOZE_LIST!$A:$K,ROW()-1-$L$2-$M$2+1,5),""),IF(ROW()-1&lt;=$L$2+$M$2+$N$2+$O$2,IFERROR(INDEX(PROFORMA!$A:$K,ROW()-1-$L$2-$M$2-$N$2+1,5),""),"")))))</f>
        <v>cloze_ab</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t="str">
        <f>IF(ROW()-1&lt;=0,"",IF(ROW()-1&lt;=$L$2,IFERROR(INDEX(MCQ!$A:$K,ROW()-1+1,5),""),IF(ROW()-1&lt;=$L$2+$M$2,IFERROR(INDEX(CLOZE_AB!$A:$K,ROW()-1-$L$2+1,5),""),IF(ROW()-1&lt;=$L$2+$M$2+$N$2,IFERROR(INDEX(CLOZE_LIST!$A:$K,ROW()-1-$L$2-$M$2+1,5),""),IF(ROW()-1&lt;=$L$2+$M$2+$N$2+$O$2,IFERROR(INDEX(PROFORMA!$A:$K,ROW()-1-$L$2-$M$2-$N$2+1,5),""),"")))))</f>
        <v>cloze_ab</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t="str">
        <f>IF(ROW()-1&lt;=0,"",IF(ROW()-1&lt;=$L$2,IFERROR(INDEX(MCQ!$A:$K,ROW()-1+1,5),""),IF(ROW()-1&lt;=$L$2+$M$2,IFERROR(INDEX(CLOZE_AB!$A:$K,ROW()-1-$L$2+1,5),""),IF(ROW()-1&lt;=$L$2+$M$2+$N$2,IFERROR(INDEX(CLOZE_LIST!$A:$K,ROW()-1-$L$2-$M$2+1,5),""),IF(ROW()-1&lt;=$L$2+$M$2+$N$2+$O$2,IFERROR(INDEX(PROFORMA!$A:$K,ROW()-1-$L$2-$M$2-$N$2+1,5),""),"")))))</f>
        <v>cloze_ab</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t="str">
        <f>IF(ROW()-1&lt;=0,"",IF(ROW()-1&lt;=$L$2,IFERROR(INDEX(MCQ!$A:$K,ROW()-1+1,5),""),IF(ROW()-1&lt;=$L$2+$M$2,IFERROR(INDEX(CLOZE_AB!$A:$K,ROW()-1-$L$2+1,5),""),IF(ROW()-1&lt;=$L$2+$M$2+$N$2,IFERROR(INDEX(CLOZE_LIST!$A:$K,ROW()-1-$L$2-$M$2+1,5),""),IF(ROW()-1&lt;=$L$2+$M$2+$N$2+$O$2,IFERROR(INDEX(PROFORMA!$A:$K,ROW()-1-$L$2-$M$2-$N$2+1,5),""),"")))))</f>
        <v>cloze_ab</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t="str">
        <f>IF(ROW()-1&lt;=0,"",IF(ROW()-1&lt;=$L$2,IFERROR(INDEX(MCQ!$A:$K,ROW()-1+1,5),""),IF(ROW()-1&lt;=$L$2+$M$2,IFERROR(INDEX(CLOZE_AB!$A:$K,ROW()-1-$L$2+1,5),""),IF(ROW()-1&lt;=$L$2+$M$2+$N$2,IFERROR(INDEX(CLOZE_LIST!$A:$K,ROW()-1-$L$2-$M$2+1,5),""),IF(ROW()-1&lt;=$L$2+$M$2+$N$2+$O$2,IFERROR(INDEX(PROFORMA!$A:$K,ROW()-1-$L$2-$M$2-$N$2+1,5),""),"")))))</f>
        <v>cloze_ab</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t="str">
        <f>IF(ROW()-1&lt;=0,"",IF(ROW()-1&lt;=$L$2,IFERROR(INDEX(MCQ!$A:$K,ROW()-1+1,5),""),IF(ROW()-1&lt;=$L$2+$M$2,IFERROR(INDEX(CLOZE_AB!$A:$K,ROW()-1-$L$2+1,5),""),IF(ROW()-1&lt;=$L$2+$M$2+$N$2,IFERROR(INDEX(CLOZE_LIST!$A:$K,ROW()-1-$L$2-$M$2+1,5),""),IF(ROW()-1&lt;=$L$2+$M$2+$N$2+$O$2,IFERROR(INDEX(PROFORMA!$A:$K,ROW()-1-$L$2-$M$2-$N$2+1,5),""),"")))))</f>
        <v>cloze_ab</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t="str">
        <f>IF(ROW()-1&lt;=0,"",IF(ROW()-1&lt;=$L$2,IFERROR(INDEX(MCQ!$A:$K,ROW()-1+1,5),""),IF(ROW()-1&lt;=$L$2+$M$2,IFERROR(INDEX(CLOZE_AB!$A:$K,ROW()-1-$L$2+1,5),""),IF(ROW()-1&lt;=$L$2+$M$2+$N$2,IFERROR(INDEX(CLOZE_LIST!$A:$K,ROW()-1-$L$2-$M$2+1,5),""),IF(ROW()-1&lt;=$L$2+$M$2+$N$2+$O$2,IFERROR(INDEX(PROFORMA!$A:$K,ROW()-1-$L$2-$M$2-$N$2+1,5),""),"")))))</f>
        <v>cloze_ab</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t="str">
        <f>IF(ROW()-1&lt;=0,"",IF(ROW()-1&lt;=$L$2,IFERROR(INDEX(MCQ!$A:$K,ROW()-1+1,5),""),IF(ROW()-1&lt;=$L$2+$M$2,IFERROR(INDEX(CLOZE_AB!$A:$K,ROW()-1-$L$2+1,5),""),IF(ROW()-1&lt;=$L$2+$M$2+$N$2,IFERROR(INDEX(CLOZE_LIST!$A:$K,ROW()-1-$L$2-$M$2+1,5),""),IF(ROW()-1&lt;=$L$2+$M$2+$N$2+$O$2,IFERROR(INDEX(PROFORMA!$A:$K,ROW()-1-$L$2-$M$2-$N$2+1,5),""),"")))))</f>
        <v>cloze_ab</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t="str">
        <f>IF(ROW()-1&lt;=0,"",IF(ROW()-1&lt;=$L$2,IFERROR(INDEX(MCQ!$A:$K,ROW()-1+1,5),""),IF(ROW()-1&lt;=$L$2+$M$2,IFERROR(INDEX(CLOZE_AB!$A:$K,ROW()-1-$L$2+1,5),""),IF(ROW()-1&lt;=$L$2+$M$2+$N$2,IFERROR(INDEX(CLOZE_LIST!$A:$K,ROW()-1-$L$2-$M$2+1,5),""),IF(ROW()-1&lt;=$L$2+$M$2+$N$2+$O$2,IFERROR(INDEX(PROFORMA!$A:$K,ROW()-1-$L$2-$M$2-$N$2+1,5),""),"")))))</f>
        <v>cloze_ab</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t="str">
        <f>IF(ROW()-1&lt;=0,"",IF(ROW()-1&lt;=$L$2,IFERROR(INDEX(MCQ!$A:$K,ROW()-1+1,5),""),IF(ROW()-1&lt;=$L$2+$M$2,IFERROR(INDEX(CLOZE_AB!$A:$K,ROW()-1-$L$2+1,5),""),IF(ROW()-1&lt;=$L$2+$M$2+$N$2,IFERROR(INDEX(CLOZE_LIST!$A:$K,ROW()-1-$L$2-$M$2+1,5),""),IF(ROW()-1&lt;=$L$2+$M$2+$N$2+$O$2,IFERROR(INDEX(PROFORMA!$A:$K,ROW()-1-$L$2-$M$2-$N$2+1,5),""),"")))))</f>
        <v>cloze_ab</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t="str">
        <f>IF(ROW()-1&lt;=0,"",IF(ROW()-1&lt;=$L$2,IFERROR(INDEX(MCQ!$A:$K,ROW()-1+1,5),""),IF(ROW()-1&lt;=$L$2+$M$2,IFERROR(INDEX(CLOZE_AB!$A:$K,ROW()-1-$L$2+1,5),""),IF(ROW()-1&lt;=$L$2+$M$2+$N$2,IFERROR(INDEX(CLOZE_LIST!$A:$K,ROW()-1-$L$2-$M$2+1,5),""),IF(ROW()-1&lt;=$L$2+$M$2+$N$2+$O$2,IFERROR(INDEX(PROFORMA!$A:$K,ROW()-1-$L$2-$M$2-$N$2+1,5),""),"")))))</f>
        <v>cloze_ab</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t="str">
        <f>IF(ROW()-1&lt;=0,"",IF(ROW()-1&lt;=$L$2,IFERROR(INDEX(MCQ!$A:$K,ROW()-1+1,5),""),IF(ROW()-1&lt;=$L$2+$M$2,IFERROR(INDEX(CLOZE_AB!$A:$K,ROW()-1-$L$2+1,5),""),IF(ROW()-1&lt;=$L$2+$M$2+$N$2,IFERROR(INDEX(CLOZE_LIST!$A:$K,ROW()-1-$L$2-$M$2+1,5),""),IF(ROW()-1&lt;=$L$2+$M$2+$N$2+$O$2,IFERROR(INDEX(PROFORMA!$A:$K,ROW()-1-$L$2-$M$2-$N$2+1,5),""),"")))))</f>
        <v>cloze_ab</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t="str">
        <f>IF(ROW()-1&lt;=0,"",IF(ROW()-1&lt;=$L$2,IFERROR(INDEX(MCQ!$A:$K,ROW()-1+1,5),""),IF(ROW()-1&lt;=$L$2+$M$2,IFERROR(INDEX(CLOZE_AB!$A:$K,ROW()-1-$L$2+1,5),""),IF(ROW()-1&lt;=$L$2+$M$2+$N$2,IFERROR(INDEX(CLOZE_LIST!$A:$K,ROW()-1-$L$2-$M$2+1,5),""),IF(ROW()-1&lt;=$L$2+$M$2+$N$2+$O$2,IFERROR(INDEX(PROFORMA!$A:$K,ROW()-1-$L$2-$M$2-$N$2+1,5),""),"")))))</f>
        <v>cloze_ab</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t="str">
        <f>IF(ROW()-1&lt;=0,"",IF(ROW()-1&lt;=$L$2,IFERROR(INDEX(MCQ!$A:$K,ROW()-1+1,5),""),IF(ROW()-1&lt;=$L$2+$M$2,IFERROR(INDEX(CLOZE_AB!$A:$K,ROW()-1-$L$2+1,5),""),IF(ROW()-1&lt;=$L$2+$M$2+$N$2,IFERROR(INDEX(CLOZE_LIST!$A:$K,ROW()-1-$L$2-$M$2+1,5),""),IF(ROW()-1&lt;=$L$2+$M$2+$N$2+$O$2,IFERROR(INDEX(PROFORMA!$A:$K,ROW()-1-$L$2-$M$2-$N$2+1,5),""),"")))))</f>
        <v>cloze_ab</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t="str">
        <f>IF(ROW()-1&lt;=0,"",IF(ROW()-1&lt;=$L$2,IFERROR(INDEX(MCQ!$A:$K,ROW()-1+1,5),""),IF(ROW()-1&lt;=$L$2+$M$2,IFERROR(INDEX(CLOZE_AB!$A:$K,ROW()-1-$L$2+1,5),""),IF(ROW()-1&lt;=$L$2+$M$2+$N$2,IFERROR(INDEX(CLOZE_LIST!$A:$K,ROW()-1-$L$2-$M$2+1,5),""),IF(ROW()-1&lt;=$L$2+$M$2+$N$2+$O$2,IFERROR(INDEX(PROFORMA!$A:$K,ROW()-1-$L$2-$M$2-$N$2+1,5),""),"")))))</f>
        <v>cloze_ab</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t="str">
        <f>IF(ROW()-1&lt;=0,"",IF(ROW()-1&lt;=$L$2,IFERROR(INDEX(MCQ!$A:$K,ROW()-1+1,5),""),IF(ROW()-1&lt;=$L$2+$M$2,IFERROR(INDEX(CLOZE_AB!$A:$K,ROW()-1-$L$2+1,5),""),IF(ROW()-1&lt;=$L$2+$M$2+$N$2,IFERROR(INDEX(CLOZE_LIST!$A:$K,ROW()-1-$L$2-$M$2+1,5),""),IF(ROW()-1&lt;=$L$2+$M$2+$N$2+$O$2,IFERROR(INDEX(PROFORMA!$A:$K,ROW()-1-$L$2-$M$2-$N$2+1,5),""),"")))))</f>
        <v>cloze_ab</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t="str">
        <f>IF(ROW()-1&lt;=0,"",IF(ROW()-1&lt;=$L$2,IFERROR(INDEX(MCQ!$A:$K,ROW()-1+1,5),""),IF(ROW()-1&lt;=$L$2+$M$2,IFERROR(INDEX(CLOZE_AB!$A:$K,ROW()-1-$L$2+1,5),""),IF(ROW()-1&lt;=$L$2+$M$2+$N$2,IFERROR(INDEX(CLOZE_LIST!$A:$K,ROW()-1-$L$2-$M$2+1,5),""),IF(ROW()-1&lt;=$L$2+$M$2+$N$2+$O$2,IFERROR(INDEX(PROFORMA!$A:$K,ROW()-1-$L$2-$M$2-$N$2+1,5),""),"")))))</f>
        <v>cloze_ab</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t="str">
        <f>IF(ROW()-1&lt;=0,"",IF(ROW()-1&lt;=$L$2,IFERROR(INDEX(MCQ!$A:$K,ROW()-1+1,5),""),IF(ROW()-1&lt;=$L$2+$M$2,IFERROR(INDEX(CLOZE_AB!$A:$K,ROW()-1-$L$2+1,5),""),IF(ROW()-1&lt;=$L$2+$M$2+$N$2,IFERROR(INDEX(CLOZE_LIST!$A:$K,ROW()-1-$L$2-$M$2+1,5),""),IF(ROW()-1&lt;=$L$2+$M$2+$N$2+$O$2,IFERROR(INDEX(PROFORMA!$A:$K,ROW()-1-$L$2-$M$2-$N$2+1,5),""),"")))))</f>
        <v>cloze_ab</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t="str">
        <f>IF(ROW()-1&lt;=0,"",IF(ROW()-1&lt;=$L$2,IFERROR(INDEX(MCQ!$A:$K,ROW()-1+1,5),""),IF(ROW()-1&lt;=$L$2+$M$2,IFERROR(INDEX(CLOZE_AB!$A:$K,ROW()-1-$L$2+1,5),""),IF(ROW()-1&lt;=$L$2+$M$2+$N$2,IFERROR(INDEX(CLOZE_LIST!$A:$K,ROW()-1-$L$2-$M$2+1,5),""),IF(ROW()-1&lt;=$L$2+$M$2+$N$2+$O$2,IFERROR(INDEX(PROFORMA!$A:$K,ROW()-1-$L$2-$M$2-$N$2+1,5),""),"")))))</f>
        <v>cloze_ab</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t="str">
        <f>IF(ROW()-1&lt;=0,"",IF(ROW()-1&lt;=$L$2,IFERROR(INDEX(MCQ!$A:$K,ROW()-1+1,5),""),IF(ROW()-1&lt;=$L$2+$M$2,IFERROR(INDEX(CLOZE_AB!$A:$K,ROW()-1-$L$2+1,5),""),IF(ROW()-1&lt;=$L$2+$M$2+$N$2,IFERROR(INDEX(CLOZE_LIST!$A:$K,ROW()-1-$L$2-$M$2+1,5),""),IF(ROW()-1&lt;=$L$2+$M$2+$N$2+$O$2,IFERROR(INDEX(PROFORMA!$A:$K,ROW()-1-$L$2-$M$2-$N$2+1,5),""),"")))))</f>
        <v>cloze_ab</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t="str">
        <f>IF(ROW()-1&lt;=0,"",IF(ROW()-1&lt;=$L$2,IFERROR(INDEX(MCQ!$A:$K,ROW()-1+1,5),""),IF(ROW()-1&lt;=$L$2+$M$2,IFERROR(INDEX(CLOZE_AB!$A:$K,ROW()-1-$L$2+1,5),""),IF(ROW()-1&lt;=$L$2+$M$2+$N$2,IFERROR(INDEX(CLOZE_LIST!$A:$K,ROW()-1-$L$2-$M$2+1,5),""),IF(ROW()-1&lt;=$L$2+$M$2+$N$2+$O$2,IFERROR(INDEX(PROFORMA!$A:$K,ROW()-1-$L$2-$M$2-$N$2+1,5),""),"")))))</f>
        <v>cloze_ab</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t="str">
        <f>IF(ROW()-1&lt;=0,"",IF(ROW()-1&lt;=$L$2,IFERROR(INDEX(MCQ!$A:$K,ROW()-1+1,5),""),IF(ROW()-1&lt;=$L$2+$M$2,IFERROR(INDEX(CLOZE_AB!$A:$K,ROW()-1-$L$2+1,5),""),IF(ROW()-1&lt;=$L$2+$M$2+$N$2,IFERROR(INDEX(CLOZE_LIST!$A:$K,ROW()-1-$L$2-$M$2+1,5),""),IF(ROW()-1&lt;=$L$2+$M$2+$N$2+$O$2,IFERROR(INDEX(PROFORMA!$A:$K,ROW()-1-$L$2-$M$2-$N$2+1,5),""),"")))))</f>
        <v>cloze_ab</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t="str">
        <f>IF(ROW()-1&lt;=0,"",IF(ROW()-1&lt;=$L$2,IFERROR(INDEX(MCQ!$A:$K,ROW()-1+1,5),""),IF(ROW()-1&lt;=$L$2+$M$2,IFERROR(INDEX(CLOZE_AB!$A:$K,ROW()-1-$L$2+1,5),""),IF(ROW()-1&lt;=$L$2+$M$2+$N$2,IFERROR(INDEX(CLOZE_LIST!$A:$K,ROW()-1-$L$2-$M$2+1,5),""),IF(ROW()-1&lt;=$L$2+$M$2+$N$2+$O$2,IFERROR(INDEX(PROFORMA!$A:$K,ROW()-1-$L$2-$M$2-$N$2+1,5),""),"")))))</f>
        <v>cloze_ab</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t="str">
        <f>IF(ROW()-1&lt;=0,"",IF(ROW()-1&lt;=$L$2,IFERROR(INDEX(MCQ!$A:$K,ROW()-1+1,5),""),IF(ROW()-1&lt;=$L$2+$M$2,IFERROR(INDEX(CLOZE_AB!$A:$K,ROW()-1-$L$2+1,5),""),IF(ROW()-1&lt;=$L$2+$M$2+$N$2,IFERROR(INDEX(CLOZE_LIST!$A:$K,ROW()-1-$L$2-$M$2+1,5),""),IF(ROW()-1&lt;=$L$2+$M$2+$N$2+$O$2,IFERROR(INDEX(PROFORMA!$A:$K,ROW()-1-$L$2-$M$2-$N$2+1,5),""),"")))))</f>
        <v>cloze_ab</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t="str">
        <f>IF(ROW()-1&lt;=0,"",IF(ROW()-1&lt;=$L$2,IFERROR(INDEX(MCQ!$A:$K,ROW()-1+1,5),""),IF(ROW()-1&lt;=$L$2+$M$2,IFERROR(INDEX(CLOZE_AB!$A:$K,ROW()-1-$L$2+1,5),""),IF(ROW()-1&lt;=$L$2+$M$2+$N$2,IFERROR(INDEX(CLOZE_LIST!$A:$K,ROW()-1-$L$2-$M$2+1,5),""),IF(ROW()-1&lt;=$L$2+$M$2+$N$2+$O$2,IFERROR(INDEX(PROFORMA!$A:$K,ROW()-1-$L$2-$M$2-$N$2+1,5),""),"")))))</f>
        <v>cloze_ab</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t="str">
        <f>IF(ROW()-1&lt;=0,"",IF(ROW()-1&lt;=$L$2,IFERROR(INDEX(MCQ!$A:$K,ROW()-1+1,5),""),IF(ROW()-1&lt;=$L$2+$M$2,IFERROR(INDEX(CLOZE_AB!$A:$K,ROW()-1-$L$2+1,5),""),IF(ROW()-1&lt;=$L$2+$M$2+$N$2,IFERROR(INDEX(CLOZE_LIST!$A:$K,ROW()-1-$L$2-$M$2+1,5),""),IF(ROW()-1&lt;=$L$2+$M$2+$N$2+$O$2,IFERROR(INDEX(PROFORMA!$A:$K,ROW()-1-$L$2-$M$2-$N$2+1,5),""),"")))))</f>
        <v>cloze_ab</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t="str">
        <f>IF(ROW()-1&lt;=0,"",IF(ROW()-1&lt;=$L$2,IFERROR(INDEX(MCQ!$A:$K,ROW()-1+1,5),""),IF(ROW()-1&lt;=$L$2+$M$2,IFERROR(INDEX(CLOZE_AB!$A:$K,ROW()-1-$L$2+1,5),""),IF(ROW()-1&lt;=$L$2+$M$2+$N$2,IFERROR(INDEX(CLOZE_LIST!$A:$K,ROW()-1-$L$2-$M$2+1,5),""),IF(ROW()-1&lt;=$L$2+$M$2+$N$2+$O$2,IFERROR(INDEX(PROFORMA!$A:$K,ROW()-1-$L$2-$M$2-$N$2+1,5),""),"")))))</f>
        <v>cloze_ab</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t="str">
        <f>IF(ROW()-1&lt;=0,"",IF(ROW()-1&lt;=$L$2,IFERROR(INDEX(MCQ!$A:$K,ROW()-1+1,5),""),IF(ROW()-1&lt;=$L$2+$M$2,IFERROR(INDEX(CLOZE_AB!$A:$K,ROW()-1-$L$2+1,5),""),IF(ROW()-1&lt;=$L$2+$M$2+$N$2,IFERROR(INDEX(CLOZE_LIST!$A:$K,ROW()-1-$L$2-$M$2+1,5),""),IF(ROW()-1&lt;=$L$2+$M$2+$N$2+$O$2,IFERROR(INDEX(PROFORMA!$A:$K,ROW()-1-$L$2-$M$2-$N$2+1,5),""),"")))))</f>
        <v>cloze_ab</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t="str">
        <f>IF(ROW()-1&lt;=0,"",IF(ROW()-1&lt;=$L$2,IFERROR(INDEX(MCQ!$A:$K,ROW()-1+1,5),""),IF(ROW()-1&lt;=$L$2+$M$2,IFERROR(INDEX(CLOZE_AB!$A:$K,ROW()-1-$L$2+1,5),""),IF(ROW()-1&lt;=$L$2+$M$2+$N$2,IFERROR(INDEX(CLOZE_LIST!$A:$K,ROW()-1-$L$2-$M$2+1,5),""),IF(ROW()-1&lt;=$L$2+$M$2+$N$2+$O$2,IFERROR(INDEX(PROFORMA!$A:$K,ROW()-1-$L$2-$M$2-$N$2+1,5),""),"")))))</f>
        <v>cloze_ab</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t="str">
        <f>IF(ROW()-1&lt;=0,"",IF(ROW()-1&lt;=$L$2,IFERROR(INDEX(MCQ!$A:$K,ROW()-1+1,5),""),IF(ROW()-1&lt;=$L$2+$M$2,IFERROR(INDEX(CLOZE_AB!$A:$K,ROW()-1-$L$2+1,5),""),IF(ROW()-1&lt;=$L$2+$M$2+$N$2,IFERROR(INDEX(CLOZE_LIST!$A:$K,ROW()-1-$L$2-$M$2+1,5),""),IF(ROW()-1&lt;=$L$2+$M$2+$N$2+$O$2,IFERROR(INDEX(PROFORMA!$A:$K,ROW()-1-$L$2-$M$2-$N$2+1,5),""),"")))))</f>
        <v>cloze_ab</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t="str">
        <f>IF(ROW()-1&lt;=0,"",IF(ROW()-1&lt;=$L$2,IFERROR(INDEX(MCQ!$A:$K,ROW()-1+1,5),""),IF(ROW()-1&lt;=$L$2+$M$2,IFERROR(INDEX(CLOZE_AB!$A:$K,ROW()-1-$L$2+1,5),""),IF(ROW()-1&lt;=$L$2+$M$2+$N$2,IFERROR(INDEX(CLOZE_LIST!$A:$K,ROW()-1-$L$2-$M$2+1,5),""),IF(ROW()-1&lt;=$L$2+$M$2+$N$2+$O$2,IFERROR(INDEX(PROFORMA!$A:$K,ROW()-1-$L$2-$M$2-$N$2+1,5),""),"")))))</f>
        <v>cloze_ab</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t="str">
        <f>IF(ROW()-1&lt;=0,"",IF(ROW()-1&lt;=$L$2,IFERROR(INDEX(MCQ!$A:$K,ROW()-1+1,5),""),IF(ROW()-1&lt;=$L$2+$M$2,IFERROR(INDEX(CLOZE_AB!$A:$K,ROW()-1-$L$2+1,5),""),IF(ROW()-1&lt;=$L$2+$M$2+$N$2,IFERROR(INDEX(CLOZE_LIST!$A:$K,ROW()-1-$L$2-$M$2+1,5),""),IF(ROW()-1&lt;=$L$2+$M$2+$N$2+$O$2,IFERROR(INDEX(PROFORMA!$A:$K,ROW()-1-$L$2-$M$2-$N$2+1,5),""),"")))))</f>
        <v>cloze_ab</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t="str">
        <f>IF(ROW()-1&lt;=0,"",IF(ROW()-1&lt;=$L$2,IFERROR(INDEX(MCQ!$A:$K,ROW()-1+1,5),""),IF(ROW()-1&lt;=$L$2+$M$2,IFERROR(INDEX(CLOZE_AB!$A:$K,ROW()-1-$L$2+1,5),""),IF(ROW()-1&lt;=$L$2+$M$2+$N$2,IFERROR(INDEX(CLOZE_LIST!$A:$K,ROW()-1-$L$2-$M$2+1,5),""),IF(ROW()-1&lt;=$L$2+$M$2+$N$2+$O$2,IFERROR(INDEX(PROFORMA!$A:$K,ROW()-1-$L$2-$M$2-$N$2+1,5),""),"")))))</f>
        <v>cloze_ab</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t="str">
        <f>IF(ROW()-1&lt;=0,"",IF(ROW()-1&lt;=$L$2,IFERROR(INDEX(MCQ!$A:$K,ROW()-1+1,5),""),IF(ROW()-1&lt;=$L$2+$M$2,IFERROR(INDEX(CLOZE_AB!$A:$K,ROW()-1-$L$2+1,5),""),IF(ROW()-1&lt;=$L$2+$M$2+$N$2,IFERROR(INDEX(CLOZE_LIST!$A:$K,ROW()-1-$L$2-$M$2+1,5),""),IF(ROW()-1&lt;=$L$2+$M$2+$N$2+$O$2,IFERROR(INDEX(PROFORMA!$A:$K,ROW()-1-$L$2-$M$2-$N$2+1,5),""),"")))))</f>
        <v>cloze_ab</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t="str">
        <f>IF(ROW()-1&lt;=0,"",IF(ROW()-1&lt;=$L$2,IFERROR(INDEX(MCQ!$A:$K,ROW()-1+1,5),""),IF(ROW()-1&lt;=$L$2+$M$2,IFERROR(INDEX(CLOZE_AB!$A:$K,ROW()-1-$L$2+1,5),""),IF(ROW()-1&lt;=$L$2+$M$2+$N$2,IFERROR(INDEX(CLOZE_LIST!$A:$K,ROW()-1-$L$2-$M$2+1,5),""),IF(ROW()-1&lt;=$L$2+$M$2+$N$2+$O$2,IFERROR(INDEX(PROFORMA!$A:$K,ROW()-1-$L$2-$M$2-$N$2+1,5),""),"")))))</f>
        <v>cloze_ab</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t="str">
        <f>IF(ROW()-1&lt;=0,"",IF(ROW()-1&lt;=$L$2,IFERROR(INDEX(MCQ!$A:$K,ROW()-1+1,5),""),IF(ROW()-1&lt;=$L$2+$M$2,IFERROR(INDEX(CLOZE_AB!$A:$K,ROW()-1-$L$2+1,5),""),IF(ROW()-1&lt;=$L$2+$M$2+$N$2,IFERROR(INDEX(CLOZE_LIST!$A:$K,ROW()-1-$L$2-$M$2+1,5),""),IF(ROW()-1&lt;=$L$2+$M$2+$N$2+$O$2,IFERROR(INDEX(PROFORMA!$A:$K,ROW()-1-$L$2-$M$2-$N$2+1,5),""),"")))))</f>
        <v>cloze_ab</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t="str">
        <f>IF(ROW()-1&lt;=0,"",IF(ROW()-1&lt;=$L$2,IFERROR(INDEX(MCQ!$A:$K,ROW()-1+1,5),""),IF(ROW()-1&lt;=$L$2+$M$2,IFERROR(INDEX(CLOZE_AB!$A:$K,ROW()-1-$L$2+1,5),""),IF(ROW()-1&lt;=$L$2+$M$2+$N$2,IFERROR(INDEX(CLOZE_LIST!$A:$K,ROW()-1-$L$2-$M$2+1,5),""),IF(ROW()-1&lt;=$L$2+$M$2+$N$2+$O$2,IFERROR(INDEX(PROFORMA!$A:$K,ROW()-1-$L$2-$M$2-$N$2+1,5),""),"")))))</f>
        <v>cloze_ab</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t="str">
        <f>IF(ROW()-1&lt;=0,"",IF(ROW()-1&lt;=$L$2,IFERROR(INDEX(MCQ!$A:$K,ROW()-1+1,5),""),IF(ROW()-1&lt;=$L$2+$M$2,IFERROR(INDEX(CLOZE_AB!$A:$K,ROW()-1-$L$2+1,5),""),IF(ROW()-1&lt;=$L$2+$M$2+$N$2,IFERROR(INDEX(CLOZE_LIST!$A:$K,ROW()-1-$L$2-$M$2+1,5),""),IF(ROW()-1&lt;=$L$2+$M$2+$N$2+$O$2,IFERROR(INDEX(PROFORMA!$A:$K,ROW()-1-$L$2-$M$2-$N$2+1,5),""),"")))))</f>
        <v>cloze_ab</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t="str">
        <f>IF(ROW()-1&lt;=0,"",IF(ROW()-1&lt;=$L$2,IFERROR(INDEX(MCQ!$A:$K,ROW()-1+1,5),""),IF(ROW()-1&lt;=$L$2+$M$2,IFERROR(INDEX(CLOZE_AB!$A:$K,ROW()-1-$L$2+1,5),""),IF(ROW()-1&lt;=$L$2+$M$2+$N$2,IFERROR(INDEX(CLOZE_LIST!$A:$K,ROW()-1-$L$2-$M$2+1,5),""),IF(ROW()-1&lt;=$L$2+$M$2+$N$2+$O$2,IFERROR(INDEX(PROFORMA!$A:$K,ROW()-1-$L$2-$M$2-$N$2+1,5),""),"")))))</f>
        <v>cloze_ab</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t="str">
        <f>IF(ROW()-1&lt;=0,"",IF(ROW()-1&lt;=$L$2,IFERROR(INDEX(MCQ!$A:$K,ROW()-1+1,5),""),IF(ROW()-1&lt;=$L$2+$M$2,IFERROR(INDEX(CLOZE_AB!$A:$K,ROW()-1-$L$2+1,5),""),IF(ROW()-1&lt;=$L$2+$M$2+$N$2,IFERROR(INDEX(CLOZE_LIST!$A:$K,ROW()-1-$L$2-$M$2+1,5),""),IF(ROW()-1&lt;=$L$2+$M$2+$N$2+$O$2,IFERROR(INDEX(PROFORMA!$A:$K,ROW()-1-$L$2-$M$2-$N$2+1,5),""),"")))))</f>
        <v>cloze_ab</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t="str">
        <f>IF(ROW()-1&lt;=0,"",IF(ROW()-1&lt;=$L$2,IFERROR(INDEX(MCQ!$A:$K,ROW()-1+1,5),""),IF(ROW()-1&lt;=$L$2+$M$2,IFERROR(INDEX(CLOZE_AB!$A:$K,ROW()-1-$L$2+1,5),""),IF(ROW()-1&lt;=$L$2+$M$2+$N$2,IFERROR(INDEX(CLOZE_LIST!$A:$K,ROW()-1-$L$2-$M$2+1,5),""),IF(ROW()-1&lt;=$L$2+$M$2+$N$2+$O$2,IFERROR(INDEX(PROFORMA!$A:$K,ROW()-1-$L$2-$M$2-$N$2+1,5),""),"")))))</f>
        <v>cloze_ab</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t="str">
        <f>IF(ROW()-1&lt;=0,"",IF(ROW()-1&lt;=$L$2,IFERROR(INDEX(MCQ!$A:$K,ROW()-1+1,5),""),IF(ROW()-1&lt;=$L$2+$M$2,IFERROR(INDEX(CLOZE_AB!$A:$K,ROW()-1-$L$2+1,5),""),IF(ROW()-1&lt;=$L$2+$M$2+$N$2,IFERROR(INDEX(CLOZE_LIST!$A:$K,ROW()-1-$L$2-$M$2+1,5),""),IF(ROW()-1&lt;=$L$2+$M$2+$N$2+$O$2,IFERROR(INDEX(PROFORMA!$A:$K,ROW()-1-$L$2-$M$2-$N$2+1,5),""),"")))))</f>
        <v>cloze_ab</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x14ac:dyDescent="0.3">
      <c r="A320" s="3" t="str">
        <f>IF(ROW()-1&lt;=0,"",IF(ROW()-1&lt;=$L$2,IFERROR(INDEX(MCQ!$A:$K,ROW()-1+1,1),""),IF(ROW()-1&lt;=$L$2+$M$2,IFERROR(INDEX(CLOZE_AB!$A:$K,ROW()-1-$L$2+1,1),""),IF(ROW()-1&lt;=$L$2+$M$2+$N$2,IFERROR(INDEX(CLOZE_LIST!$A:$K,ROW()-1-$L$2-$M$2+1,1),""),IF(ROW()-1&lt;=$L$2+$M$2+$N$2+$O$2,IFERROR(INDEX(PROFORMA!$A:$K,ROW()-1-$L$2-$M$2-$N$2+1,1),""),"")))))</f>
        <v/>
      </c>
      <c r="B320" s="3">
        <f>IF(ROW()-1&lt;=0,"",IF(ROW()-1&lt;=$L$2,IFERROR(INDEX(MCQ!$A:$K,ROW()-1+1,2),""),IF(ROW()-1&lt;=$L$2+$M$2,IFERROR(INDEX(CLOZE_AB!$A:$K,ROW()-1-$L$2+1,2),""),IF(ROW()-1&lt;=$L$2+$M$2+$N$2,IFERROR(INDEX(CLOZE_LIST!$A:$K,ROW()-1-$L$2-$M$2+1,2),""),IF(ROW()-1&lt;=$L$2+$M$2+$N$2+$O$2,IFERROR(INDEX(PROFORMA!$A:$K,ROW()-1-$L$2-$M$2-$N$2+1,2),""),"")))))</f>
        <v>0</v>
      </c>
      <c r="C320" s="3">
        <f>IF(ROW()-1&lt;=0,"",IF(ROW()-1&lt;=$L$2,IFERROR(INDEX(MCQ!$A:$K,ROW()-1+1,3),""),IF(ROW()-1&lt;=$L$2+$M$2,IFERROR(INDEX(CLOZE_AB!$A:$K,ROW()-1-$L$2+1,3),""),IF(ROW()-1&lt;=$L$2+$M$2+$N$2,IFERROR(INDEX(CLOZE_LIST!$A:$K,ROW()-1-$L$2-$M$2+1,3),""),IF(ROW()-1&lt;=$L$2+$M$2+$N$2+$O$2,IFERROR(INDEX(PROFORMA!$A:$K,ROW()-1-$L$2-$M$2-$N$2+1,3),""),"")))))</f>
        <v>0</v>
      </c>
      <c r="D320" s="3">
        <f>IF(ROW()-1&lt;=0,"",IF(ROW()-1&lt;=$L$2,IFERROR(INDEX(MCQ!$A:$K,ROW()-1+1,4),""),IF(ROW()-1&lt;=$L$2+$M$2,IFERROR(INDEX(CLOZE_AB!$A:$K,ROW()-1-$L$2+1,4),""),IF(ROW()-1&lt;=$L$2+$M$2+$N$2,IFERROR(INDEX(CLOZE_LIST!$A:$K,ROW()-1-$L$2-$M$2+1,4),""),IF(ROW()-1&lt;=$L$2+$M$2+$N$2+$O$2,IFERROR(INDEX(PROFORMA!$A:$K,ROW()-1-$L$2-$M$2-$N$2+1,4),""),"")))))</f>
        <v>0</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0</v>
      </c>
      <c r="G320" s="3">
        <f>IF(ROW()-1&lt;=0,"",IF(ROW()-1&lt;=$L$2,IFERROR(INDEX(MCQ!$A:$K,ROW()-1+1,7),""),IF(ROW()-1&lt;=$L$2+$M$2,IFERROR(INDEX(CLOZE_AB!$A:$K,ROW()-1-$L$2+1,7),""),IF(ROW()-1&lt;=$L$2+$M$2+$N$2,IFERROR(INDEX(CLOZE_LIST!$A:$K,ROW()-1-$L$2-$M$2+1,7),""),IF(ROW()-1&lt;=$L$2+$M$2+$N$2+$O$2,IFERROR(INDEX(PROFORMA!$A:$K,ROW()-1-$L$2-$M$2-$N$2+1,7),""),"")))))</f>
        <v>0</v>
      </c>
      <c r="H320" s="3">
        <f>IF(ROW()-1&lt;=0,"",IF(ROW()-1&lt;=$L$2,IFERROR(INDEX(MCQ!$A:$K,ROW()-1+1,8),""),IF(ROW()-1&lt;=$L$2+$M$2,IFERROR(INDEX(CLOZE_AB!$A:$K,ROW()-1-$L$2+1,8),""),IF(ROW()-1&lt;=$L$2+$M$2+$N$2,IFERROR(INDEX(CLOZE_LIST!$A:$K,ROW()-1-$L$2-$M$2+1,8),""),IF(ROW()-1&lt;=$L$2+$M$2+$N$2+$O$2,IFERROR(INDEX(PROFORMA!$A:$K,ROW()-1-$L$2-$M$2-$N$2+1,8),""),"")))))</f>
        <v>0</v>
      </c>
      <c r="I320" s="3">
        <f>IF(ROW()-1&lt;=0,"",IF(ROW()-1&lt;=$L$2,IFERROR(INDEX(MCQ!$A:$K,ROW()-1+1,9),""),IF(ROW()-1&lt;=$L$2+$M$2,IFERROR(INDEX(CLOZE_AB!$A:$K,ROW()-1-$L$2+1,9),""),IF(ROW()-1&lt;=$L$2+$M$2+$N$2,IFERROR(INDEX(CLOZE_LIST!$A:$K,ROW()-1-$L$2-$M$2+1,9),""),IF(ROW()-1&lt;=$L$2+$M$2+$N$2+$O$2,IFERROR(INDEX(PROFORMA!$A:$K,ROW()-1-$L$2-$M$2-$N$2+1,9),""),"")))))</f>
        <v>0</v>
      </c>
      <c r="J320" s="3">
        <f>IF(ROW()-1&lt;=0,"",IF(ROW()-1&lt;=$L$2,IFERROR(INDEX(MCQ!$A:$K,ROW()-1+1,10),""),IF(ROW()-1&lt;=$L$2+$M$2,IFERROR(INDEX(CLOZE_AB!$A:$K,ROW()-1-$L$2+1,10),""),IF(ROW()-1&lt;=$L$2+$M$2+$N$2,IFERROR(INDEX(CLOZE_LIST!$A:$K,ROW()-1-$L$2-$M$2+1,10),""),IF(ROW()-1&lt;=$L$2+$M$2+$N$2+$O$2,IFERROR(INDEX(PROFORMA!$A:$K,ROW()-1-$L$2-$M$2-$N$2+1,10),""),"")))))</f>
        <v>0</v>
      </c>
      <c r="K320" s="3">
        <f>IF(ROW()-1&lt;=0,"",IF(ROW()-1&lt;=$L$2,IFERROR(INDEX(MCQ!$A:$K,ROW()-1+1,11),""),IF(ROW()-1&lt;=$L$2+$M$2,IFERROR(INDEX(CLOZE_AB!$A:$K,ROW()-1-$L$2+1,11),""),IF(ROW()-1&lt;=$L$2+$M$2+$N$2,IFERROR(INDEX(CLOZE_LIST!$A:$K,ROW()-1-$L$2-$M$2+1,11),""),IF(ROW()-1&lt;=$L$2+$M$2+$N$2+$O$2,IFERROR(INDEX(PROFORMA!$A:$K,ROW()-1-$L$2-$M$2-$N$2+1,11),""),"")))))</f>
        <v>0</v>
      </c>
      <c r="L320" s="3">
        <f>COUNTA(MCQ!$A:$A)-1</f>
        <v>143</v>
      </c>
      <c r="M320" s="3">
        <f>COUNTA(CLOZE_AB!$A:$A)-1</f>
        <v>168</v>
      </c>
      <c r="N320" s="3">
        <f>COUNTA(CLOZE_LIST!$A:$A)-1</f>
        <v>199</v>
      </c>
      <c r="O320" s="3">
        <f>COUNTA(PROFORMA!$A:$A)-1</f>
        <v>199</v>
      </c>
    </row>
    <row r="321" spans="1:15" x14ac:dyDescent="0.3">
      <c r="A321" s="3" t="str">
        <f>IF(ROW()-1&lt;=0,"",IF(ROW()-1&lt;=$L$2,IFERROR(INDEX(MCQ!$A:$K,ROW()-1+1,1),""),IF(ROW()-1&lt;=$L$2+$M$2,IFERROR(INDEX(CLOZE_AB!$A:$K,ROW()-1-$L$2+1,1),""),IF(ROW()-1&lt;=$L$2+$M$2+$N$2,IFERROR(INDEX(CLOZE_LIST!$A:$K,ROW()-1-$L$2-$M$2+1,1),""),IF(ROW()-1&lt;=$L$2+$M$2+$N$2+$O$2,IFERROR(INDEX(PROFORMA!$A:$K,ROW()-1-$L$2-$M$2-$N$2+1,1),""),"")))))</f>
        <v/>
      </c>
      <c r="B321" s="3">
        <f>IF(ROW()-1&lt;=0,"",IF(ROW()-1&lt;=$L$2,IFERROR(INDEX(MCQ!$A:$K,ROW()-1+1,2),""),IF(ROW()-1&lt;=$L$2+$M$2,IFERROR(INDEX(CLOZE_AB!$A:$K,ROW()-1-$L$2+1,2),""),IF(ROW()-1&lt;=$L$2+$M$2+$N$2,IFERROR(INDEX(CLOZE_LIST!$A:$K,ROW()-1-$L$2-$M$2+1,2),""),IF(ROW()-1&lt;=$L$2+$M$2+$N$2+$O$2,IFERROR(INDEX(PROFORMA!$A:$K,ROW()-1-$L$2-$M$2-$N$2+1,2),""),"")))))</f>
        <v>0</v>
      </c>
      <c r="C321" s="3">
        <f>IF(ROW()-1&lt;=0,"",IF(ROW()-1&lt;=$L$2,IFERROR(INDEX(MCQ!$A:$K,ROW()-1+1,3),""),IF(ROW()-1&lt;=$L$2+$M$2,IFERROR(INDEX(CLOZE_AB!$A:$K,ROW()-1-$L$2+1,3),""),IF(ROW()-1&lt;=$L$2+$M$2+$N$2,IFERROR(INDEX(CLOZE_LIST!$A:$K,ROW()-1-$L$2-$M$2+1,3),""),IF(ROW()-1&lt;=$L$2+$M$2+$N$2+$O$2,IFERROR(INDEX(PROFORMA!$A:$K,ROW()-1-$L$2-$M$2-$N$2+1,3),""),"")))))</f>
        <v>0</v>
      </c>
      <c r="D321" s="3">
        <f>IF(ROW()-1&lt;=0,"",IF(ROW()-1&lt;=$L$2,IFERROR(INDEX(MCQ!$A:$K,ROW()-1+1,4),""),IF(ROW()-1&lt;=$L$2+$M$2,IFERROR(INDEX(CLOZE_AB!$A:$K,ROW()-1-$L$2+1,4),""),IF(ROW()-1&lt;=$L$2+$M$2+$N$2,IFERROR(INDEX(CLOZE_LIST!$A:$K,ROW()-1-$L$2-$M$2+1,4),""),IF(ROW()-1&lt;=$L$2+$M$2+$N$2+$O$2,IFERROR(INDEX(PROFORMA!$A:$K,ROW()-1-$L$2-$M$2-$N$2+1,4),""),"")))))</f>
        <v>0</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0</v>
      </c>
      <c r="G321" s="3">
        <f>IF(ROW()-1&lt;=0,"",IF(ROW()-1&lt;=$L$2,IFERROR(INDEX(MCQ!$A:$K,ROW()-1+1,7),""),IF(ROW()-1&lt;=$L$2+$M$2,IFERROR(INDEX(CLOZE_AB!$A:$K,ROW()-1-$L$2+1,7),""),IF(ROW()-1&lt;=$L$2+$M$2+$N$2,IFERROR(INDEX(CLOZE_LIST!$A:$K,ROW()-1-$L$2-$M$2+1,7),""),IF(ROW()-1&lt;=$L$2+$M$2+$N$2+$O$2,IFERROR(INDEX(PROFORMA!$A:$K,ROW()-1-$L$2-$M$2-$N$2+1,7),""),"")))))</f>
        <v>0</v>
      </c>
      <c r="H321" s="3">
        <f>IF(ROW()-1&lt;=0,"",IF(ROW()-1&lt;=$L$2,IFERROR(INDEX(MCQ!$A:$K,ROW()-1+1,8),""),IF(ROW()-1&lt;=$L$2+$M$2,IFERROR(INDEX(CLOZE_AB!$A:$K,ROW()-1-$L$2+1,8),""),IF(ROW()-1&lt;=$L$2+$M$2+$N$2,IFERROR(INDEX(CLOZE_LIST!$A:$K,ROW()-1-$L$2-$M$2+1,8),""),IF(ROW()-1&lt;=$L$2+$M$2+$N$2+$O$2,IFERROR(INDEX(PROFORMA!$A:$K,ROW()-1-$L$2-$M$2-$N$2+1,8),""),"")))))</f>
        <v>0</v>
      </c>
      <c r="I321" s="3">
        <f>IF(ROW()-1&lt;=0,"",IF(ROW()-1&lt;=$L$2,IFERROR(INDEX(MCQ!$A:$K,ROW()-1+1,9),""),IF(ROW()-1&lt;=$L$2+$M$2,IFERROR(INDEX(CLOZE_AB!$A:$K,ROW()-1-$L$2+1,9),""),IF(ROW()-1&lt;=$L$2+$M$2+$N$2,IFERROR(INDEX(CLOZE_LIST!$A:$K,ROW()-1-$L$2-$M$2+1,9),""),IF(ROW()-1&lt;=$L$2+$M$2+$N$2+$O$2,IFERROR(INDEX(PROFORMA!$A:$K,ROW()-1-$L$2-$M$2-$N$2+1,9),""),"")))))</f>
        <v>0</v>
      </c>
      <c r="J321" s="3">
        <f>IF(ROW()-1&lt;=0,"",IF(ROW()-1&lt;=$L$2,IFERROR(INDEX(MCQ!$A:$K,ROW()-1+1,10),""),IF(ROW()-1&lt;=$L$2+$M$2,IFERROR(INDEX(CLOZE_AB!$A:$K,ROW()-1-$L$2+1,10),""),IF(ROW()-1&lt;=$L$2+$M$2+$N$2,IFERROR(INDEX(CLOZE_LIST!$A:$K,ROW()-1-$L$2-$M$2+1,10),""),IF(ROW()-1&lt;=$L$2+$M$2+$N$2+$O$2,IFERROR(INDEX(PROFORMA!$A:$K,ROW()-1-$L$2-$M$2-$N$2+1,10),""),"")))))</f>
        <v>0</v>
      </c>
      <c r="K321" s="3">
        <f>IF(ROW()-1&lt;=0,"",IF(ROW()-1&lt;=$L$2,IFERROR(INDEX(MCQ!$A:$K,ROW()-1+1,11),""),IF(ROW()-1&lt;=$L$2+$M$2,IFERROR(INDEX(CLOZE_AB!$A:$K,ROW()-1-$L$2+1,11),""),IF(ROW()-1&lt;=$L$2+$M$2+$N$2,IFERROR(INDEX(CLOZE_LIST!$A:$K,ROW()-1-$L$2-$M$2+1,11),""),IF(ROW()-1&lt;=$L$2+$M$2+$N$2+$O$2,IFERROR(INDEX(PROFORMA!$A:$K,ROW()-1-$L$2-$M$2-$N$2+1,11),""),"")))))</f>
        <v>0</v>
      </c>
      <c r="L321" s="3">
        <f>COUNTA(MCQ!$A:$A)-1</f>
        <v>143</v>
      </c>
      <c r="M321" s="3">
        <f>COUNTA(CLOZE_AB!$A:$A)-1</f>
        <v>168</v>
      </c>
      <c r="N321" s="3">
        <f>COUNTA(CLOZE_LIST!$A:$A)-1</f>
        <v>199</v>
      </c>
      <c r="O321" s="3">
        <f>COUNTA(PROFORMA!$A:$A)-1</f>
        <v>199</v>
      </c>
    </row>
    <row r="322" spans="1:15" x14ac:dyDescent="0.3">
      <c r="A322" s="3" t="str">
        <f>IF(ROW()-1&lt;=0,"",IF(ROW()-1&lt;=$L$2,IFERROR(INDEX(MCQ!$A:$K,ROW()-1+1,1),""),IF(ROW()-1&lt;=$L$2+$M$2,IFERROR(INDEX(CLOZE_AB!$A:$K,ROW()-1-$L$2+1,1),""),IF(ROW()-1&lt;=$L$2+$M$2+$N$2,IFERROR(INDEX(CLOZE_LIST!$A:$K,ROW()-1-$L$2-$M$2+1,1),""),IF(ROW()-1&lt;=$L$2+$M$2+$N$2+$O$2,IFERROR(INDEX(PROFORMA!$A:$K,ROW()-1-$L$2-$M$2-$N$2+1,1),""),"")))))</f>
        <v/>
      </c>
      <c r="B322" s="3">
        <f>IF(ROW()-1&lt;=0,"",IF(ROW()-1&lt;=$L$2,IFERROR(INDEX(MCQ!$A:$K,ROW()-1+1,2),""),IF(ROW()-1&lt;=$L$2+$M$2,IFERROR(INDEX(CLOZE_AB!$A:$K,ROW()-1-$L$2+1,2),""),IF(ROW()-1&lt;=$L$2+$M$2+$N$2,IFERROR(INDEX(CLOZE_LIST!$A:$K,ROW()-1-$L$2-$M$2+1,2),""),IF(ROW()-1&lt;=$L$2+$M$2+$N$2+$O$2,IFERROR(INDEX(PROFORMA!$A:$K,ROW()-1-$L$2-$M$2-$N$2+1,2),""),"")))))</f>
        <v>0</v>
      </c>
      <c r="C322" s="3">
        <f>IF(ROW()-1&lt;=0,"",IF(ROW()-1&lt;=$L$2,IFERROR(INDEX(MCQ!$A:$K,ROW()-1+1,3),""),IF(ROW()-1&lt;=$L$2+$M$2,IFERROR(INDEX(CLOZE_AB!$A:$K,ROW()-1-$L$2+1,3),""),IF(ROW()-1&lt;=$L$2+$M$2+$N$2,IFERROR(INDEX(CLOZE_LIST!$A:$K,ROW()-1-$L$2-$M$2+1,3),""),IF(ROW()-1&lt;=$L$2+$M$2+$N$2+$O$2,IFERROR(INDEX(PROFORMA!$A:$K,ROW()-1-$L$2-$M$2-$N$2+1,3),""),"")))))</f>
        <v>0</v>
      </c>
      <c r="D322" s="3">
        <f>IF(ROW()-1&lt;=0,"",IF(ROW()-1&lt;=$L$2,IFERROR(INDEX(MCQ!$A:$K,ROW()-1+1,4),""),IF(ROW()-1&lt;=$L$2+$M$2,IFERROR(INDEX(CLOZE_AB!$A:$K,ROW()-1-$L$2+1,4),""),IF(ROW()-1&lt;=$L$2+$M$2+$N$2,IFERROR(INDEX(CLOZE_LIST!$A:$K,ROW()-1-$L$2-$M$2+1,4),""),IF(ROW()-1&lt;=$L$2+$M$2+$N$2+$O$2,IFERROR(INDEX(PROFORMA!$A:$K,ROW()-1-$L$2-$M$2-$N$2+1,4),""),"")))))</f>
        <v>0</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0</v>
      </c>
      <c r="G322" s="3">
        <f>IF(ROW()-1&lt;=0,"",IF(ROW()-1&lt;=$L$2,IFERROR(INDEX(MCQ!$A:$K,ROW()-1+1,7),""),IF(ROW()-1&lt;=$L$2+$M$2,IFERROR(INDEX(CLOZE_AB!$A:$K,ROW()-1-$L$2+1,7),""),IF(ROW()-1&lt;=$L$2+$M$2+$N$2,IFERROR(INDEX(CLOZE_LIST!$A:$K,ROW()-1-$L$2-$M$2+1,7),""),IF(ROW()-1&lt;=$L$2+$M$2+$N$2+$O$2,IFERROR(INDEX(PROFORMA!$A:$K,ROW()-1-$L$2-$M$2-$N$2+1,7),""),"")))))</f>
        <v>0</v>
      </c>
      <c r="H322" s="3">
        <f>IF(ROW()-1&lt;=0,"",IF(ROW()-1&lt;=$L$2,IFERROR(INDEX(MCQ!$A:$K,ROW()-1+1,8),""),IF(ROW()-1&lt;=$L$2+$M$2,IFERROR(INDEX(CLOZE_AB!$A:$K,ROW()-1-$L$2+1,8),""),IF(ROW()-1&lt;=$L$2+$M$2+$N$2,IFERROR(INDEX(CLOZE_LIST!$A:$K,ROW()-1-$L$2-$M$2+1,8),""),IF(ROW()-1&lt;=$L$2+$M$2+$N$2+$O$2,IFERROR(INDEX(PROFORMA!$A:$K,ROW()-1-$L$2-$M$2-$N$2+1,8),""),"")))))</f>
        <v>0</v>
      </c>
      <c r="I322" s="3">
        <f>IF(ROW()-1&lt;=0,"",IF(ROW()-1&lt;=$L$2,IFERROR(INDEX(MCQ!$A:$K,ROW()-1+1,9),""),IF(ROW()-1&lt;=$L$2+$M$2,IFERROR(INDEX(CLOZE_AB!$A:$K,ROW()-1-$L$2+1,9),""),IF(ROW()-1&lt;=$L$2+$M$2+$N$2,IFERROR(INDEX(CLOZE_LIST!$A:$K,ROW()-1-$L$2-$M$2+1,9),""),IF(ROW()-1&lt;=$L$2+$M$2+$N$2+$O$2,IFERROR(INDEX(PROFORMA!$A:$K,ROW()-1-$L$2-$M$2-$N$2+1,9),""),"")))))</f>
        <v>0</v>
      </c>
      <c r="J322" s="3">
        <f>IF(ROW()-1&lt;=0,"",IF(ROW()-1&lt;=$L$2,IFERROR(INDEX(MCQ!$A:$K,ROW()-1+1,10),""),IF(ROW()-1&lt;=$L$2+$M$2,IFERROR(INDEX(CLOZE_AB!$A:$K,ROW()-1-$L$2+1,10),""),IF(ROW()-1&lt;=$L$2+$M$2+$N$2,IFERROR(INDEX(CLOZE_LIST!$A:$K,ROW()-1-$L$2-$M$2+1,10),""),IF(ROW()-1&lt;=$L$2+$M$2+$N$2+$O$2,IFERROR(INDEX(PROFORMA!$A:$K,ROW()-1-$L$2-$M$2-$N$2+1,10),""),"")))))</f>
        <v>0</v>
      </c>
      <c r="K322" s="3">
        <f>IF(ROW()-1&lt;=0,"",IF(ROW()-1&lt;=$L$2,IFERROR(INDEX(MCQ!$A:$K,ROW()-1+1,11),""),IF(ROW()-1&lt;=$L$2+$M$2,IFERROR(INDEX(CLOZE_AB!$A:$K,ROW()-1-$L$2+1,11),""),IF(ROW()-1&lt;=$L$2+$M$2+$N$2,IFERROR(INDEX(CLOZE_LIST!$A:$K,ROW()-1-$L$2-$M$2+1,11),""),IF(ROW()-1&lt;=$L$2+$M$2+$N$2+$O$2,IFERROR(INDEX(PROFORMA!$A:$K,ROW()-1-$L$2-$M$2-$N$2+1,11),""),"")))))</f>
        <v>0</v>
      </c>
      <c r="L322" s="3">
        <f>COUNTA(MCQ!$A:$A)-1</f>
        <v>143</v>
      </c>
      <c r="M322" s="3">
        <f>COUNTA(CLOZE_AB!$A:$A)-1</f>
        <v>168</v>
      </c>
      <c r="N322" s="3">
        <f>COUNTA(CLOZE_LIST!$A:$A)-1</f>
        <v>199</v>
      </c>
      <c r="O322" s="3">
        <f>COUNTA(PROFORMA!$A:$A)-1</f>
        <v>199</v>
      </c>
    </row>
    <row r="323" spans="1:15" x14ac:dyDescent="0.3">
      <c r="A323" s="3" t="str">
        <f>IF(ROW()-1&lt;=0,"",IF(ROW()-1&lt;=$L$2,IFERROR(INDEX(MCQ!$A:$K,ROW()-1+1,1),""),IF(ROW()-1&lt;=$L$2+$M$2,IFERROR(INDEX(CLOZE_AB!$A:$K,ROW()-1-$L$2+1,1),""),IF(ROW()-1&lt;=$L$2+$M$2+$N$2,IFERROR(INDEX(CLOZE_LIST!$A:$K,ROW()-1-$L$2-$M$2+1,1),""),IF(ROW()-1&lt;=$L$2+$M$2+$N$2+$O$2,IFERROR(INDEX(PROFORMA!$A:$K,ROW()-1-$L$2-$M$2-$N$2+1,1),""),"")))))</f>
        <v/>
      </c>
      <c r="B323" s="3">
        <f>IF(ROW()-1&lt;=0,"",IF(ROW()-1&lt;=$L$2,IFERROR(INDEX(MCQ!$A:$K,ROW()-1+1,2),""),IF(ROW()-1&lt;=$L$2+$M$2,IFERROR(INDEX(CLOZE_AB!$A:$K,ROW()-1-$L$2+1,2),""),IF(ROW()-1&lt;=$L$2+$M$2+$N$2,IFERROR(INDEX(CLOZE_LIST!$A:$K,ROW()-1-$L$2-$M$2+1,2),""),IF(ROW()-1&lt;=$L$2+$M$2+$N$2+$O$2,IFERROR(INDEX(PROFORMA!$A:$K,ROW()-1-$L$2-$M$2-$N$2+1,2),""),"")))))</f>
        <v>0</v>
      </c>
      <c r="C323" s="3">
        <f>IF(ROW()-1&lt;=0,"",IF(ROW()-1&lt;=$L$2,IFERROR(INDEX(MCQ!$A:$K,ROW()-1+1,3),""),IF(ROW()-1&lt;=$L$2+$M$2,IFERROR(INDEX(CLOZE_AB!$A:$K,ROW()-1-$L$2+1,3),""),IF(ROW()-1&lt;=$L$2+$M$2+$N$2,IFERROR(INDEX(CLOZE_LIST!$A:$K,ROW()-1-$L$2-$M$2+1,3),""),IF(ROW()-1&lt;=$L$2+$M$2+$N$2+$O$2,IFERROR(INDEX(PROFORMA!$A:$K,ROW()-1-$L$2-$M$2-$N$2+1,3),""),"")))))</f>
        <v>0</v>
      </c>
      <c r="D323" s="3">
        <f>IF(ROW()-1&lt;=0,"",IF(ROW()-1&lt;=$L$2,IFERROR(INDEX(MCQ!$A:$K,ROW()-1+1,4),""),IF(ROW()-1&lt;=$L$2+$M$2,IFERROR(INDEX(CLOZE_AB!$A:$K,ROW()-1-$L$2+1,4),""),IF(ROW()-1&lt;=$L$2+$M$2+$N$2,IFERROR(INDEX(CLOZE_LIST!$A:$K,ROW()-1-$L$2-$M$2+1,4),""),IF(ROW()-1&lt;=$L$2+$M$2+$N$2+$O$2,IFERROR(INDEX(PROFORMA!$A:$K,ROW()-1-$L$2-$M$2-$N$2+1,4),""),"")))))</f>
        <v>0</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0</v>
      </c>
      <c r="G323" s="3">
        <f>IF(ROW()-1&lt;=0,"",IF(ROW()-1&lt;=$L$2,IFERROR(INDEX(MCQ!$A:$K,ROW()-1+1,7),""),IF(ROW()-1&lt;=$L$2+$M$2,IFERROR(INDEX(CLOZE_AB!$A:$K,ROW()-1-$L$2+1,7),""),IF(ROW()-1&lt;=$L$2+$M$2+$N$2,IFERROR(INDEX(CLOZE_LIST!$A:$K,ROW()-1-$L$2-$M$2+1,7),""),IF(ROW()-1&lt;=$L$2+$M$2+$N$2+$O$2,IFERROR(INDEX(PROFORMA!$A:$K,ROW()-1-$L$2-$M$2-$N$2+1,7),""),"")))))</f>
        <v>0</v>
      </c>
      <c r="H323" s="3">
        <f>IF(ROW()-1&lt;=0,"",IF(ROW()-1&lt;=$L$2,IFERROR(INDEX(MCQ!$A:$K,ROW()-1+1,8),""),IF(ROW()-1&lt;=$L$2+$M$2,IFERROR(INDEX(CLOZE_AB!$A:$K,ROW()-1-$L$2+1,8),""),IF(ROW()-1&lt;=$L$2+$M$2+$N$2,IFERROR(INDEX(CLOZE_LIST!$A:$K,ROW()-1-$L$2-$M$2+1,8),""),IF(ROW()-1&lt;=$L$2+$M$2+$N$2+$O$2,IFERROR(INDEX(PROFORMA!$A:$K,ROW()-1-$L$2-$M$2-$N$2+1,8),""),"")))))</f>
        <v>0</v>
      </c>
      <c r="I323" s="3">
        <f>IF(ROW()-1&lt;=0,"",IF(ROW()-1&lt;=$L$2,IFERROR(INDEX(MCQ!$A:$K,ROW()-1+1,9),""),IF(ROW()-1&lt;=$L$2+$M$2,IFERROR(INDEX(CLOZE_AB!$A:$K,ROW()-1-$L$2+1,9),""),IF(ROW()-1&lt;=$L$2+$M$2+$N$2,IFERROR(INDEX(CLOZE_LIST!$A:$K,ROW()-1-$L$2-$M$2+1,9),""),IF(ROW()-1&lt;=$L$2+$M$2+$N$2+$O$2,IFERROR(INDEX(PROFORMA!$A:$K,ROW()-1-$L$2-$M$2-$N$2+1,9),""),"")))))</f>
        <v>0</v>
      </c>
      <c r="J323" s="3">
        <f>IF(ROW()-1&lt;=0,"",IF(ROW()-1&lt;=$L$2,IFERROR(INDEX(MCQ!$A:$K,ROW()-1+1,10),""),IF(ROW()-1&lt;=$L$2+$M$2,IFERROR(INDEX(CLOZE_AB!$A:$K,ROW()-1-$L$2+1,10),""),IF(ROW()-1&lt;=$L$2+$M$2+$N$2,IFERROR(INDEX(CLOZE_LIST!$A:$K,ROW()-1-$L$2-$M$2+1,10),""),IF(ROW()-1&lt;=$L$2+$M$2+$N$2+$O$2,IFERROR(INDEX(PROFORMA!$A:$K,ROW()-1-$L$2-$M$2-$N$2+1,10),""),"")))))</f>
        <v>0</v>
      </c>
      <c r="K323" s="3">
        <f>IF(ROW()-1&lt;=0,"",IF(ROW()-1&lt;=$L$2,IFERROR(INDEX(MCQ!$A:$K,ROW()-1+1,11),""),IF(ROW()-1&lt;=$L$2+$M$2,IFERROR(INDEX(CLOZE_AB!$A:$K,ROW()-1-$L$2+1,11),""),IF(ROW()-1&lt;=$L$2+$M$2+$N$2,IFERROR(INDEX(CLOZE_LIST!$A:$K,ROW()-1-$L$2-$M$2+1,11),""),IF(ROW()-1&lt;=$L$2+$M$2+$N$2+$O$2,IFERROR(INDEX(PROFORMA!$A:$K,ROW()-1-$L$2-$M$2-$N$2+1,11),""),"")))))</f>
        <v>0</v>
      </c>
      <c r="L323" s="3">
        <f>COUNTA(MCQ!$A:$A)-1</f>
        <v>143</v>
      </c>
      <c r="M323" s="3">
        <f>COUNTA(CLOZE_AB!$A:$A)-1</f>
        <v>168</v>
      </c>
      <c r="N323" s="3">
        <f>COUNTA(CLOZE_LIST!$A:$A)-1</f>
        <v>199</v>
      </c>
      <c r="O323" s="3">
        <f>COUNTA(PROFORMA!$A:$A)-1</f>
        <v>199</v>
      </c>
    </row>
    <row r="324" spans="1:15" x14ac:dyDescent="0.3">
      <c r="A324" s="3" t="str">
        <f>IF(ROW()-1&lt;=0,"",IF(ROW()-1&lt;=$L$2,IFERROR(INDEX(MCQ!$A:$K,ROW()-1+1,1),""),IF(ROW()-1&lt;=$L$2+$M$2,IFERROR(INDEX(CLOZE_AB!$A:$K,ROW()-1-$L$2+1,1),""),IF(ROW()-1&lt;=$L$2+$M$2+$N$2,IFERROR(INDEX(CLOZE_LIST!$A:$K,ROW()-1-$L$2-$M$2+1,1),""),IF(ROW()-1&lt;=$L$2+$M$2+$N$2+$O$2,IFERROR(INDEX(PROFORMA!$A:$K,ROW()-1-$L$2-$M$2-$N$2+1,1),""),"")))))</f>
        <v/>
      </c>
      <c r="B324" s="3">
        <f>IF(ROW()-1&lt;=0,"",IF(ROW()-1&lt;=$L$2,IFERROR(INDEX(MCQ!$A:$K,ROW()-1+1,2),""),IF(ROW()-1&lt;=$L$2+$M$2,IFERROR(INDEX(CLOZE_AB!$A:$K,ROW()-1-$L$2+1,2),""),IF(ROW()-1&lt;=$L$2+$M$2+$N$2,IFERROR(INDEX(CLOZE_LIST!$A:$K,ROW()-1-$L$2-$M$2+1,2),""),IF(ROW()-1&lt;=$L$2+$M$2+$N$2+$O$2,IFERROR(INDEX(PROFORMA!$A:$K,ROW()-1-$L$2-$M$2-$N$2+1,2),""),"")))))</f>
        <v>0</v>
      </c>
      <c r="C324" s="3">
        <f>IF(ROW()-1&lt;=0,"",IF(ROW()-1&lt;=$L$2,IFERROR(INDEX(MCQ!$A:$K,ROW()-1+1,3),""),IF(ROW()-1&lt;=$L$2+$M$2,IFERROR(INDEX(CLOZE_AB!$A:$K,ROW()-1-$L$2+1,3),""),IF(ROW()-1&lt;=$L$2+$M$2+$N$2,IFERROR(INDEX(CLOZE_LIST!$A:$K,ROW()-1-$L$2-$M$2+1,3),""),IF(ROW()-1&lt;=$L$2+$M$2+$N$2+$O$2,IFERROR(INDEX(PROFORMA!$A:$K,ROW()-1-$L$2-$M$2-$N$2+1,3),""),"")))))</f>
        <v>0</v>
      </c>
      <c r="D324" s="3">
        <f>IF(ROW()-1&lt;=0,"",IF(ROW()-1&lt;=$L$2,IFERROR(INDEX(MCQ!$A:$K,ROW()-1+1,4),""),IF(ROW()-1&lt;=$L$2+$M$2,IFERROR(INDEX(CLOZE_AB!$A:$K,ROW()-1-$L$2+1,4),""),IF(ROW()-1&lt;=$L$2+$M$2+$N$2,IFERROR(INDEX(CLOZE_LIST!$A:$K,ROW()-1-$L$2-$M$2+1,4),""),IF(ROW()-1&lt;=$L$2+$M$2+$N$2+$O$2,IFERROR(INDEX(PROFORMA!$A:$K,ROW()-1-$L$2-$M$2-$N$2+1,4),""),"")))))</f>
        <v>0</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0</v>
      </c>
      <c r="G324" s="3">
        <f>IF(ROW()-1&lt;=0,"",IF(ROW()-1&lt;=$L$2,IFERROR(INDEX(MCQ!$A:$K,ROW()-1+1,7),""),IF(ROW()-1&lt;=$L$2+$M$2,IFERROR(INDEX(CLOZE_AB!$A:$K,ROW()-1-$L$2+1,7),""),IF(ROW()-1&lt;=$L$2+$M$2+$N$2,IFERROR(INDEX(CLOZE_LIST!$A:$K,ROW()-1-$L$2-$M$2+1,7),""),IF(ROW()-1&lt;=$L$2+$M$2+$N$2+$O$2,IFERROR(INDEX(PROFORMA!$A:$K,ROW()-1-$L$2-$M$2-$N$2+1,7),""),"")))))</f>
        <v>0</v>
      </c>
      <c r="H324" s="3">
        <f>IF(ROW()-1&lt;=0,"",IF(ROW()-1&lt;=$L$2,IFERROR(INDEX(MCQ!$A:$K,ROW()-1+1,8),""),IF(ROW()-1&lt;=$L$2+$M$2,IFERROR(INDEX(CLOZE_AB!$A:$K,ROW()-1-$L$2+1,8),""),IF(ROW()-1&lt;=$L$2+$M$2+$N$2,IFERROR(INDEX(CLOZE_LIST!$A:$K,ROW()-1-$L$2-$M$2+1,8),""),IF(ROW()-1&lt;=$L$2+$M$2+$N$2+$O$2,IFERROR(INDEX(PROFORMA!$A:$K,ROW()-1-$L$2-$M$2-$N$2+1,8),""),"")))))</f>
        <v>0</v>
      </c>
      <c r="I324" s="3">
        <f>IF(ROW()-1&lt;=0,"",IF(ROW()-1&lt;=$L$2,IFERROR(INDEX(MCQ!$A:$K,ROW()-1+1,9),""),IF(ROW()-1&lt;=$L$2+$M$2,IFERROR(INDEX(CLOZE_AB!$A:$K,ROW()-1-$L$2+1,9),""),IF(ROW()-1&lt;=$L$2+$M$2+$N$2,IFERROR(INDEX(CLOZE_LIST!$A:$K,ROW()-1-$L$2-$M$2+1,9),""),IF(ROW()-1&lt;=$L$2+$M$2+$N$2+$O$2,IFERROR(INDEX(PROFORMA!$A:$K,ROW()-1-$L$2-$M$2-$N$2+1,9),""),"")))))</f>
        <v>0</v>
      </c>
      <c r="J324" s="3">
        <f>IF(ROW()-1&lt;=0,"",IF(ROW()-1&lt;=$L$2,IFERROR(INDEX(MCQ!$A:$K,ROW()-1+1,10),""),IF(ROW()-1&lt;=$L$2+$M$2,IFERROR(INDEX(CLOZE_AB!$A:$K,ROW()-1-$L$2+1,10),""),IF(ROW()-1&lt;=$L$2+$M$2+$N$2,IFERROR(INDEX(CLOZE_LIST!$A:$K,ROW()-1-$L$2-$M$2+1,10),""),IF(ROW()-1&lt;=$L$2+$M$2+$N$2+$O$2,IFERROR(INDEX(PROFORMA!$A:$K,ROW()-1-$L$2-$M$2-$N$2+1,10),""),"")))))</f>
        <v>0</v>
      </c>
      <c r="K324" s="3">
        <f>IF(ROW()-1&lt;=0,"",IF(ROW()-1&lt;=$L$2,IFERROR(INDEX(MCQ!$A:$K,ROW()-1+1,11),""),IF(ROW()-1&lt;=$L$2+$M$2,IFERROR(INDEX(CLOZE_AB!$A:$K,ROW()-1-$L$2+1,11),""),IF(ROW()-1&lt;=$L$2+$M$2+$N$2,IFERROR(INDEX(CLOZE_LIST!$A:$K,ROW()-1-$L$2-$M$2+1,11),""),IF(ROW()-1&lt;=$L$2+$M$2+$N$2+$O$2,IFERROR(INDEX(PROFORMA!$A:$K,ROW()-1-$L$2-$M$2-$N$2+1,11),""),"")))))</f>
        <v>0</v>
      </c>
      <c r="L324" s="3">
        <f>COUNTA(MCQ!$A:$A)-1</f>
        <v>143</v>
      </c>
      <c r="M324" s="3">
        <f>COUNTA(CLOZE_AB!$A:$A)-1</f>
        <v>168</v>
      </c>
      <c r="N324" s="3">
        <f>COUNTA(CLOZE_LIST!$A:$A)-1</f>
        <v>199</v>
      </c>
      <c r="O324" s="3">
        <f>COUNTA(PROFORMA!$A:$A)-1</f>
        <v>199</v>
      </c>
    </row>
    <row r="325" spans="1:15" x14ac:dyDescent="0.3">
      <c r="A325" s="3" t="str">
        <f>IF(ROW()-1&lt;=0,"",IF(ROW()-1&lt;=$L$2,IFERROR(INDEX(MCQ!$A:$K,ROW()-1+1,1),""),IF(ROW()-1&lt;=$L$2+$M$2,IFERROR(INDEX(CLOZE_AB!$A:$K,ROW()-1-$L$2+1,1),""),IF(ROW()-1&lt;=$L$2+$M$2+$N$2,IFERROR(INDEX(CLOZE_LIST!$A:$K,ROW()-1-$L$2-$M$2+1,1),""),IF(ROW()-1&lt;=$L$2+$M$2+$N$2+$O$2,IFERROR(INDEX(PROFORMA!$A:$K,ROW()-1-$L$2-$M$2-$N$2+1,1),""),"")))))</f>
        <v/>
      </c>
      <c r="B325" s="3">
        <f>IF(ROW()-1&lt;=0,"",IF(ROW()-1&lt;=$L$2,IFERROR(INDEX(MCQ!$A:$K,ROW()-1+1,2),""),IF(ROW()-1&lt;=$L$2+$M$2,IFERROR(INDEX(CLOZE_AB!$A:$K,ROW()-1-$L$2+1,2),""),IF(ROW()-1&lt;=$L$2+$M$2+$N$2,IFERROR(INDEX(CLOZE_LIST!$A:$K,ROW()-1-$L$2-$M$2+1,2),""),IF(ROW()-1&lt;=$L$2+$M$2+$N$2+$O$2,IFERROR(INDEX(PROFORMA!$A:$K,ROW()-1-$L$2-$M$2-$N$2+1,2),""),"")))))</f>
        <v>0</v>
      </c>
      <c r="C325" s="3">
        <f>IF(ROW()-1&lt;=0,"",IF(ROW()-1&lt;=$L$2,IFERROR(INDEX(MCQ!$A:$K,ROW()-1+1,3),""),IF(ROW()-1&lt;=$L$2+$M$2,IFERROR(INDEX(CLOZE_AB!$A:$K,ROW()-1-$L$2+1,3),""),IF(ROW()-1&lt;=$L$2+$M$2+$N$2,IFERROR(INDEX(CLOZE_LIST!$A:$K,ROW()-1-$L$2-$M$2+1,3),""),IF(ROW()-1&lt;=$L$2+$M$2+$N$2+$O$2,IFERROR(INDEX(PROFORMA!$A:$K,ROW()-1-$L$2-$M$2-$N$2+1,3),""),"")))))</f>
        <v>0</v>
      </c>
      <c r="D325" s="3">
        <f>IF(ROW()-1&lt;=0,"",IF(ROW()-1&lt;=$L$2,IFERROR(INDEX(MCQ!$A:$K,ROW()-1+1,4),""),IF(ROW()-1&lt;=$L$2+$M$2,IFERROR(INDEX(CLOZE_AB!$A:$K,ROW()-1-$L$2+1,4),""),IF(ROW()-1&lt;=$L$2+$M$2+$N$2,IFERROR(INDEX(CLOZE_LIST!$A:$K,ROW()-1-$L$2-$M$2+1,4),""),IF(ROW()-1&lt;=$L$2+$M$2+$N$2+$O$2,IFERROR(INDEX(PROFORMA!$A:$K,ROW()-1-$L$2-$M$2-$N$2+1,4),""),"")))))</f>
        <v>0</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0</v>
      </c>
      <c r="G325" s="3">
        <f>IF(ROW()-1&lt;=0,"",IF(ROW()-1&lt;=$L$2,IFERROR(INDEX(MCQ!$A:$K,ROW()-1+1,7),""),IF(ROW()-1&lt;=$L$2+$M$2,IFERROR(INDEX(CLOZE_AB!$A:$K,ROW()-1-$L$2+1,7),""),IF(ROW()-1&lt;=$L$2+$M$2+$N$2,IFERROR(INDEX(CLOZE_LIST!$A:$K,ROW()-1-$L$2-$M$2+1,7),""),IF(ROW()-1&lt;=$L$2+$M$2+$N$2+$O$2,IFERROR(INDEX(PROFORMA!$A:$K,ROW()-1-$L$2-$M$2-$N$2+1,7),""),"")))))</f>
        <v>0</v>
      </c>
      <c r="H325" s="3">
        <f>IF(ROW()-1&lt;=0,"",IF(ROW()-1&lt;=$L$2,IFERROR(INDEX(MCQ!$A:$K,ROW()-1+1,8),""),IF(ROW()-1&lt;=$L$2+$M$2,IFERROR(INDEX(CLOZE_AB!$A:$K,ROW()-1-$L$2+1,8),""),IF(ROW()-1&lt;=$L$2+$M$2+$N$2,IFERROR(INDEX(CLOZE_LIST!$A:$K,ROW()-1-$L$2-$M$2+1,8),""),IF(ROW()-1&lt;=$L$2+$M$2+$N$2+$O$2,IFERROR(INDEX(PROFORMA!$A:$K,ROW()-1-$L$2-$M$2-$N$2+1,8),""),"")))))</f>
        <v>0</v>
      </c>
      <c r="I325" s="3">
        <f>IF(ROW()-1&lt;=0,"",IF(ROW()-1&lt;=$L$2,IFERROR(INDEX(MCQ!$A:$K,ROW()-1+1,9),""),IF(ROW()-1&lt;=$L$2+$M$2,IFERROR(INDEX(CLOZE_AB!$A:$K,ROW()-1-$L$2+1,9),""),IF(ROW()-1&lt;=$L$2+$M$2+$N$2,IFERROR(INDEX(CLOZE_LIST!$A:$K,ROW()-1-$L$2-$M$2+1,9),""),IF(ROW()-1&lt;=$L$2+$M$2+$N$2+$O$2,IFERROR(INDEX(PROFORMA!$A:$K,ROW()-1-$L$2-$M$2-$N$2+1,9),""),"")))))</f>
        <v>0</v>
      </c>
      <c r="J325" s="3">
        <f>IF(ROW()-1&lt;=0,"",IF(ROW()-1&lt;=$L$2,IFERROR(INDEX(MCQ!$A:$K,ROW()-1+1,10),""),IF(ROW()-1&lt;=$L$2+$M$2,IFERROR(INDEX(CLOZE_AB!$A:$K,ROW()-1-$L$2+1,10),""),IF(ROW()-1&lt;=$L$2+$M$2+$N$2,IFERROR(INDEX(CLOZE_LIST!$A:$K,ROW()-1-$L$2-$M$2+1,10),""),IF(ROW()-1&lt;=$L$2+$M$2+$N$2+$O$2,IFERROR(INDEX(PROFORMA!$A:$K,ROW()-1-$L$2-$M$2-$N$2+1,10),""),"")))))</f>
        <v>0</v>
      </c>
      <c r="K325" s="3">
        <f>IF(ROW()-1&lt;=0,"",IF(ROW()-1&lt;=$L$2,IFERROR(INDEX(MCQ!$A:$K,ROW()-1+1,11),""),IF(ROW()-1&lt;=$L$2+$M$2,IFERROR(INDEX(CLOZE_AB!$A:$K,ROW()-1-$L$2+1,11),""),IF(ROW()-1&lt;=$L$2+$M$2+$N$2,IFERROR(INDEX(CLOZE_LIST!$A:$K,ROW()-1-$L$2-$M$2+1,11),""),IF(ROW()-1&lt;=$L$2+$M$2+$N$2+$O$2,IFERROR(INDEX(PROFORMA!$A:$K,ROW()-1-$L$2-$M$2-$N$2+1,11),""),"")))))</f>
        <v>0</v>
      </c>
      <c r="L325" s="3">
        <f>COUNTA(MCQ!$A:$A)-1</f>
        <v>143</v>
      </c>
      <c r="M325" s="3">
        <f>COUNTA(CLOZE_AB!$A:$A)-1</f>
        <v>168</v>
      </c>
      <c r="N325" s="3">
        <f>COUNTA(CLOZE_LIST!$A:$A)-1</f>
        <v>199</v>
      </c>
      <c r="O325" s="3">
        <f>COUNTA(PROFORMA!$A:$A)-1</f>
        <v>199</v>
      </c>
    </row>
    <row r="326" spans="1:15" x14ac:dyDescent="0.3">
      <c r="A326" s="3" t="str">
        <f>IF(ROW()-1&lt;=0,"",IF(ROW()-1&lt;=$L$2,IFERROR(INDEX(MCQ!$A:$K,ROW()-1+1,1),""),IF(ROW()-1&lt;=$L$2+$M$2,IFERROR(INDEX(CLOZE_AB!$A:$K,ROW()-1-$L$2+1,1),""),IF(ROW()-1&lt;=$L$2+$M$2+$N$2,IFERROR(INDEX(CLOZE_LIST!$A:$K,ROW()-1-$L$2-$M$2+1,1),""),IF(ROW()-1&lt;=$L$2+$M$2+$N$2+$O$2,IFERROR(INDEX(PROFORMA!$A:$K,ROW()-1-$L$2-$M$2-$N$2+1,1),""),"")))))</f>
        <v/>
      </c>
      <c r="B326" s="3">
        <f>IF(ROW()-1&lt;=0,"",IF(ROW()-1&lt;=$L$2,IFERROR(INDEX(MCQ!$A:$K,ROW()-1+1,2),""),IF(ROW()-1&lt;=$L$2+$M$2,IFERROR(INDEX(CLOZE_AB!$A:$K,ROW()-1-$L$2+1,2),""),IF(ROW()-1&lt;=$L$2+$M$2+$N$2,IFERROR(INDEX(CLOZE_LIST!$A:$K,ROW()-1-$L$2-$M$2+1,2),""),IF(ROW()-1&lt;=$L$2+$M$2+$N$2+$O$2,IFERROR(INDEX(PROFORMA!$A:$K,ROW()-1-$L$2-$M$2-$N$2+1,2),""),"")))))</f>
        <v>0</v>
      </c>
      <c r="C326" s="3">
        <f>IF(ROW()-1&lt;=0,"",IF(ROW()-1&lt;=$L$2,IFERROR(INDEX(MCQ!$A:$K,ROW()-1+1,3),""),IF(ROW()-1&lt;=$L$2+$M$2,IFERROR(INDEX(CLOZE_AB!$A:$K,ROW()-1-$L$2+1,3),""),IF(ROW()-1&lt;=$L$2+$M$2+$N$2,IFERROR(INDEX(CLOZE_LIST!$A:$K,ROW()-1-$L$2-$M$2+1,3),""),IF(ROW()-1&lt;=$L$2+$M$2+$N$2+$O$2,IFERROR(INDEX(PROFORMA!$A:$K,ROW()-1-$L$2-$M$2-$N$2+1,3),""),"")))))</f>
        <v>0</v>
      </c>
      <c r="D326" s="3">
        <f>IF(ROW()-1&lt;=0,"",IF(ROW()-1&lt;=$L$2,IFERROR(INDEX(MCQ!$A:$K,ROW()-1+1,4),""),IF(ROW()-1&lt;=$L$2+$M$2,IFERROR(INDEX(CLOZE_AB!$A:$K,ROW()-1-$L$2+1,4),""),IF(ROW()-1&lt;=$L$2+$M$2+$N$2,IFERROR(INDEX(CLOZE_LIST!$A:$K,ROW()-1-$L$2-$M$2+1,4),""),IF(ROW()-1&lt;=$L$2+$M$2+$N$2+$O$2,IFERROR(INDEX(PROFORMA!$A:$K,ROW()-1-$L$2-$M$2-$N$2+1,4),""),"")))))</f>
        <v>0</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0</v>
      </c>
      <c r="G326" s="3">
        <f>IF(ROW()-1&lt;=0,"",IF(ROW()-1&lt;=$L$2,IFERROR(INDEX(MCQ!$A:$K,ROW()-1+1,7),""),IF(ROW()-1&lt;=$L$2+$M$2,IFERROR(INDEX(CLOZE_AB!$A:$K,ROW()-1-$L$2+1,7),""),IF(ROW()-1&lt;=$L$2+$M$2+$N$2,IFERROR(INDEX(CLOZE_LIST!$A:$K,ROW()-1-$L$2-$M$2+1,7),""),IF(ROW()-1&lt;=$L$2+$M$2+$N$2+$O$2,IFERROR(INDEX(PROFORMA!$A:$K,ROW()-1-$L$2-$M$2-$N$2+1,7),""),"")))))</f>
        <v>0</v>
      </c>
      <c r="H326" s="3">
        <f>IF(ROW()-1&lt;=0,"",IF(ROW()-1&lt;=$L$2,IFERROR(INDEX(MCQ!$A:$K,ROW()-1+1,8),""),IF(ROW()-1&lt;=$L$2+$M$2,IFERROR(INDEX(CLOZE_AB!$A:$K,ROW()-1-$L$2+1,8),""),IF(ROW()-1&lt;=$L$2+$M$2+$N$2,IFERROR(INDEX(CLOZE_LIST!$A:$K,ROW()-1-$L$2-$M$2+1,8),""),IF(ROW()-1&lt;=$L$2+$M$2+$N$2+$O$2,IFERROR(INDEX(PROFORMA!$A:$K,ROW()-1-$L$2-$M$2-$N$2+1,8),""),"")))))</f>
        <v>0</v>
      </c>
      <c r="I326" s="3">
        <f>IF(ROW()-1&lt;=0,"",IF(ROW()-1&lt;=$L$2,IFERROR(INDEX(MCQ!$A:$K,ROW()-1+1,9),""),IF(ROW()-1&lt;=$L$2+$M$2,IFERROR(INDEX(CLOZE_AB!$A:$K,ROW()-1-$L$2+1,9),""),IF(ROW()-1&lt;=$L$2+$M$2+$N$2,IFERROR(INDEX(CLOZE_LIST!$A:$K,ROW()-1-$L$2-$M$2+1,9),""),IF(ROW()-1&lt;=$L$2+$M$2+$N$2+$O$2,IFERROR(INDEX(PROFORMA!$A:$K,ROW()-1-$L$2-$M$2-$N$2+1,9),""),"")))))</f>
        <v>0</v>
      </c>
      <c r="J326" s="3">
        <f>IF(ROW()-1&lt;=0,"",IF(ROW()-1&lt;=$L$2,IFERROR(INDEX(MCQ!$A:$K,ROW()-1+1,10),""),IF(ROW()-1&lt;=$L$2+$M$2,IFERROR(INDEX(CLOZE_AB!$A:$K,ROW()-1-$L$2+1,10),""),IF(ROW()-1&lt;=$L$2+$M$2+$N$2,IFERROR(INDEX(CLOZE_LIST!$A:$K,ROW()-1-$L$2-$M$2+1,10),""),IF(ROW()-1&lt;=$L$2+$M$2+$N$2+$O$2,IFERROR(INDEX(PROFORMA!$A:$K,ROW()-1-$L$2-$M$2-$N$2+1,10),""),"")))))</f>
        <v>0</v>
      </c>
      <c r="K326" s="3">
        <f>IF(ROW()-1&lt;=0,"",IF(ROW()-1&lt;=$L$2,IFERROR(INDEX(MCQ!$A:$K,ROW()-1+1,11),""),IF(ROW()-1&lt;=$L$2+$M$2,IFERROR(INDEX(CLOZE_AB!$A:$K,ROW()-1-$L$2+1,11),""),IF(ROW()-1&lt;=$L$2+$M$2+$N$2,IFERROR(INDEX(CLOZE_LIST!$A:$K,ROW()-1-$L$2-$M$2+1,11),""),IF(ROW()-1&lt;=$L$2+$M$2+$N$2+$O$2,IFERROR(INDEX(PROFORMA!$A:$K,ROW()-1-$L$2-$M$2-$N$2+1,11),""),"")))))</f>
        <v>0</v>
      </c>
      <c r="L326" s="3">
        <f>COUNTA(MCQ!$A:$A)-1</f>
        <v>143</v>
      </c>
      <c r="M326" s="3">
        <f>COUNTA(CLOZE_AB!$A:$A)-1</f>
        <v>168</v>
      </c>
      <c r="N326" s="3">
        <f>COUNTA(CLOZE_LIST!$A:$A)-1</f>
        <v>199</v>
      </c>
      <c r="O326" s="3">
        <f>COUNTA(PROFORMA!$A:$A)-1</f>
        <v>199</v>
      </c>
    </row>
    <row r="327" spans="1:15" x14ac:dyDescent="0.3">
      <c r="A327" s="3" t="str">
        <f>IF(ROW()-1&lt;=0,"",IF(ROW()-1&lt;=$L$2,IFERROR(INDEX(MCQ!$A:$K,ROW()-1+1,1),""),IF(ROW()-1&lt;=$L$2+$M$2,IFERROR(INDEX(CLOZE_AB!$A:$K,ROW()-1-$L$2+1,1),""),IF(ROW()-1&lt;=$L$2+$M$2+$N$2,IFERROR(INDEX(CLOZE_LIST!$A:$K,ROW()-1-$L$2-$M$2+1,1),""),IF(ROW()-1&lt;=$L$2+$M$2+$N$2+$O$2,IFERROR(INDEX(PROFORMA!$A:$K,ROW()-1-$L$2-$M$2-$N$2+1,1),""),"")))))</f>
        <v/>
      </c>
      <c r="B327" s="3">
        <f>IF(ROW()-1&lt;=0,"",IF(ROW()-1&lt;=$L$2,IFERROR(INDEX(MCQ!$A:$K,ROW()-1+1,2),""),IF(ROW()-1&lt;=$L$2+$M$2,IFERROR(INDEX(CLOZE_AB!$A:$K,ROW()-1-$L$2+1,2),""),IF(ROW()-1&lt;=$L$2+$M$2+$N$2,IFERROR(INDEX(CLOZE_LIST!$A:$K,ROW()-1-$L$2-$M$2+1,2),""),IF(ROW()-1&lt;=$L$2+$M$2+$N$2+$O$2,IFERROR(INDEX(PROFORMA!$A:$K,ROW()-1-$L$2-$M$2-$N$2+1,2),""),"")))))</f>
        <v>0</v>
      </c>
      <c r="C327" s="3">
        <f>IF(ROW()-1&lt;=0,"",IF(ROW()-1&lt;=$L$2,IFERROR(INDEX(MCQ!$A:$K,ROW()-1+1,3),""),IF(ROW()-1&lt;=$L$2+$M$2,IFERROR(INDEX(CLOZE_AB!$A:$K,ROW()-1-$L$2+1,3),""),IF(ROW()-1&lt;=$L$2+$M$2+$N$2,IFERROR(INDEX(CLOZE_LIST!$A:$K,ROW()-1-$L$2-$M$2+1,3),""),IF(ROW()-1&lt;=$L$2+$M$2+$N$2+$O$2,IFERROR(INDEX(PROFORMA!$A:$K,ROW()-1-$L$2-$M$2-$N$2+1,3),""),"")))))</f>
        <v>0</v>
      </c>
      <c r="D327" s="3">
        <f>IF(ROW()-1&lt;=0,"",IF(ROW()-1&lt;=$L$2,IFERROR(INDEX(MCQ!$A:$K,ROW()-1+1,4),""),IF(ROW()-1&lt;=$L$2+$M$2,IFERROR(INDEX(CLOZE_AB!$A:$K,ROW()-1-$L$2+1,4),""),IF(ROW()-1&lt;=$L$2+$M$2+$N$2,IFERROR(INDEX(CLOZE_LIST!$A:$K,ROW()-1-$L$2-$M$2+1,4),""),IF(ROW()-1&lt;=$L$2+$M$2+$N$2+$O$2,IFERROR(INDEX(PROFORMA!$A:$K,ROW()-1-$L$2-$M$2-$N$2+1,4),""),"")))))</f>
        <v>0</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0</v>
      </c>
      <c r="G327" s="3">
        <f>IF(ROW()-1&lt;=0,"",IF(ROW()-1&lt;=$L$2,IFERROR(INDEX(MCQ!$A:$K,ROW()-1+1,7),""),IF(ROW()-1&lt;=$L$2+$M$2,IFERROR(INDEX(CLOZE_AB!$A:$K,ROW()-1-$L$2+1,7),""),IF(ROW()-1&lt;=$L$2+$M$2+$N$2,IFERROR(INDEX(CLOZE_LIST!$A:$K,ROW()-1-$L$2-$M$2+1,7),""),IF(ROW()-1&lt;=$L$2+$M$2+$N$2+$O$2,IFERROR(INDEX(PROFORMA!$A:$K,ROW()-1-$L$2-$M$2-$N$2+1,7),""),"")))))</f>
        <v>0</v>
      </c>
      <c r="H327" s="3">
        <f>IF(ROW()-1&lt;=0,"",IF(ROW()-1&lt;=$L$2,IFERROR(INDEX(MCQ!$A:$K,ROW()-1+1,8),""),IF(ROW()-1&lt;=$L$2+$M$2,IFERROR(INDEX(CLOZE_AB!$A:$K,ROW()-1-$L$2+1,8),""),IF(ROW()-1&lt;=$L$2+$M$2+$N$2,IFERROR(INDEX(CLOZE_LIST!$A:$K,ROW()-1-$L$2-$M$2+1,8),""),IF(ROW()-1&lt;=$L$2+$M$2+$N$2+$O$2,IFERROR(INDEX(PROFORMA!$A:$K,ROW()-1-$L$2-$M$2-$N$2+1,8),""),"")))))</f>
        <v>0</v>
      </c>
      <c r="I327" s="3">
        <f>IF(ROW()-1&lt;=0,"",IF(ROW()-1&lt;=$L$2,IFERROR(INDEX(MCQ!$A:$K,ROW()-1+1,9),""),IF(ROW()-1&lt;=$L$2+$M$2,IFERROR(INDEX(CLOZE_AB!$A:$K,ROW()-1-$L$2+1,9),""),IF(ROW()-1&lt;=$L$2+$M$2+$N$2,IFERROR(INDEX(CLOZE_LIST!$A:$K,ROW()-1-$L$2-$M$2+1,9),""),IF(ROW()-1&lt;=$L$2+$M$2+$N$2+$O$2,IFERROR(INDEX(PROFORMA!$A:$K,ROW()-1-$L$2-$M$2-$N$2+1,9),""),"")))))</f>
        <v>0</v>
      </c>
      <c r="J327" s="3">
        <f>IF(ROW()-1&lt;=0,"",IF(ROW()-1&lt;=$L$2,IFERROR(INDEX(MCQ!$A:$K,ROW()-1+1,10),""),IF(ROW()-1&lt;=$L$2+$M$2,IFERROR(INDEX(CLOZE_AB!$A:$K,ROW()-1-$L$2+1,10),""),IF(ROW()-1&lt;=$L$2+$M$2+$N$2,IFERROR(INDEX(CLOZE_LIST!$A:$K,ROW()-1-$L$2-$M$2+1,10),""),IF(ROW()-1&lt;=$L$2+$M$2+$N$2+$O$2,IFERROR(INDEX(PROFORMA!$A:$K,ROW()-1-$L$2-$M$2-$N$2+1,10),""),"")))))</f>
        <v>0</v>
      </c>
      <c r="K327" s="3">
        <f>IF(ROW()-1&lt;=0,"",IF(ROW()-1&lt;=$L$2,IFERROR(INDEX(MCQ!$A:$K,ROW()-1+1,11),""),IF(ROW()-1&lt;=$L$2+$M$2,IFERROR(INDEX(CLOZE_AB!$A:$K,ROW()-1-$L$2+1,11),""),IF(ROW()-1&lt;=$L$2+$M$2+$N$2,IFERROR(INDEX(CLOZE_LIST!$A:$K,ROW()-1-$L$2-$M$2+1,11),""),IF(ROW()-1&lt;=$L$2+$M$2+$N$2+$O$2,IFERROR(INDEX(PROFORMA!$A:$K,ROW()-1-$L$2-$M$2-$N$2+1,11),""),"")))))</f>
        <v>0</v>
      </c>
      <c r="L327" s="3">
        <f>COUNTA(MCQ!$A:$A)-1</f>
        <v>143</v>
      </c>
      <c r="M327" s="3">
        <f>COUNTA(CLOZE_AB!$A:$A)-1</f>
        <v>168</v>
      </c>
      <c r="N327" s="3">
        <f>COUNTA(CLOZE_LIST!$A:$A)-1</f>
        <v>199</v>
      </c>
      <c r="O327" s="3">
        <f>COUNTA(PROFORMA!$A:$A)-1</f>
        <v>199</v>
      </c>
    </row>
    <row r="328" spans="1:15" x14ac:dyDescent="0.3">
      <c r="A328" s="3" t="str">
        <f>IF(ROW()-1&lt;=0,"",IF(ROW()-1&lt;=$L$2,IFERROR(INDEX(MCQ!$A:$K,ROW()-1+1,1),""),IF(ROW()-1&lt;=$L$2+$M$2,IFERROR(INDEX(CLOZE_AB!$A:$K,ROW()-1-$L$2+1,1),""),IF(ROW()-1&lt;=$L$2+$M$2+$N$2,IFERROR(INDEX(CLOZE_LIST!$A:$K,ROW()-1-$L$2-$M$2+1,1),""),IF(ROW()-1&lt;=$L$2+$M$2+$N$2+$O$2,IFERROR(INDEX(PROFORMA!$A:$K,ROW()-1-$L$2-$M$2-$N$2+1,1),""),"")))))</f>
        <v/>
      </c>
      <c r="B328" s="3">
        <f>IF(ROW()-1&lt;=0,"",IF(ROW()-1&lt;=$L$2,IFERROR(INDEX(MCQ!$A:$K,ROW()-1+1,2),""),IF(ROW()-1&lt;=$L$2+$M$2,IFERROR(INDEX(CLOZE_AB!$A:$K,ROW()-1-$L$2+1,2),""),IF(ROW()-1&lt;=$L$2+$M$2+$N$2,IFERROR(INDEX(CLOZE_LIST!$A:$K,ROW()-1-$L$2-$M$2+1,2),""),IF(ROW()-1&lt;=$L$2+$M$2+$N$2+$O$2,IFERROR(INDEX(PROFORMA!$A:$K,ROW()-1-$L$2-$M$2-$N$2+1,2),""),"")))))</f>
        <v>0</v>
      </c>
      <c r="C328" s="3">
        <f>IF(ROW()-1&lt;=0,"",IF(ROW()-1&lt;=$L$2,IFERROR(INDEX(MCQ!$A:$K,ROW()-1+1,3),""),IF(ROW()-1&lt;=$L$2+$M$2,IFERROR(INDEX(CLOZE_AB!$A:$K,ROW()-1-$L$2+1,3),""),IF(ROW()-1&lt;=$L$2+$M$2+$N$2,IFERROR(INDEX(CLOZE_LIST!$A:$K,ROW()-1-$L$2-$M$2+1,3),""),IF(ROW()-1&lt;=$L$2+$M$2+$N$2+$O$2,IFERROR(INDEX(PROFORMA!$A:$K,ROW()-1-$L$2-$M$2-$N$2+1,3),""),"")))))</f>
        <v>0</v>
      </c>
      <c r="D328" s="3">
        <f>IF(ROW()-1&lt;=0,"",IF(ROW()-1&lt;=$L$2,IFERROR(INDEX(MCQ!$A:$K,ROW()-1+1,4),""),IF(ROW()-1&lt;=$L$2+$M$2,IFERROR(INDEX(CLOZE_AB!$A:$K,ROW()-1-$L$2+1,4),""),IF(ROW()-1&lt;=$L$2+$M$2+$N$2,IFERROR(INDEX(CLOZE_LIST!$A:$K,ROW()-1-$L$2-$M$2+1,4),""),IF(ROW()-1&lt;=$L$2+$M$2+$N$2+$O$2,IFERROR(INDEX(PROFORMA!$A:$K,ROW()-1-$L$2-$M$2-$N$2+1,4),""),"")))))</f>
        <v>0</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0</v>
      </c>
      <c r="G328" s="3">
        <f>IF(ROW()-1&lt;=0,"",IF(ROW()-1&lt;=$L$2,IFERROR(INDEX(MCQ!$A:$K,ROW()-1+1,7),""),IF(ROW()-1&lt;=$L$2+$M$2,IFERROR(INDEX(CLOZE_AB!$A:$K,ROW()-1-$L$2+1,7),""),IF(ROW()-1&lt;=$L$2+$M$2+$N$2,IFERROR(INDEX(CLOZE_LIST!$A:$K,ROW()-1-$L$2-$M$2+1,7),""),IF(ROW()-1&lt;=$L$2+$M$2+$N$2+$O$2,IFERROR(INDEX(PROFORMA!$A:$K,ROW()-1-$L$2-$M$2-$N$2+1,7),""),"")))))</f>
        <v>0</v>
      </c>
      <c r="H328" s="3">
        <f>IF(ROW()-1&lt;=0,"",IF(ROW()-1&lt;=$L$2,IFERROR(INDEX(MCQ!$A:$K,ROW()-1+1,8),""),IF(ROW()-1&lt;=$L$2+$M$2,IFERROR(INDEX(CLOZE_AB!$A:$K,ROW()-1-$L$2+1,8),""),IF(ROW()-1&lt;=$L$2+$M$2+$N$2,IFERROR(INDEX(CLOZE_LIST!$A:$K,ROW()-1-$L$2-$M$2+1,8),""),IF(ROW()-1&lt;=$L$2+$M$2+$N$2+$O$2,IFERROR(INDEX(PROFORMA!$A:$K,ROW()-1-$L$2-$M$2-$N$2+1,8),""),"")))))</f>
        <v>0</v>
      </c>
      <c r="I328" s="3">
        <f>IF(ROW()-1&lt;=0,"",IF(ROW()-1&lt;=$L$2,IFERROR(INDEX(MCQ!$A:$K,ROW()-1+1,9),""),IF(ROW()-1&lt;=$L$2+$M$2,IFERROR(INDEX(CLOZE_AB!$A:$K,ROW()-1-$L$2+1,9),""),IF(ROW()-1&lt;=$L$2+$M$2+$N$2,IFERROR(INDEX(CLOZE_LIST!$A:$K,ROW()-1-$L$2-$M$2+1,9),""),IF(ROW()-1&lt;=$L$2+$M$2+$N$2+$O$2,IFERROR(INDEX(PROFORMA!$A:$K,ROW()-1-$L$2-$M$2-$N$2+1,9),""),"")))))</f>
        <v>0</v>
      </c>
      <c r="J328" s="3">
        <f>IF(ROW()-1&lt;=0,"",IF(ROW()-1&lt;=$L$2,IFERROR(INDEX(MCQ!$A:$K,ROW()-1+1,10),""),IF(ROW()-1&lt;=$L$2+$M$2,IFERROR(INDEX(CLOZE_AB!$A:$K,ROW()-1-$L$2+1,10),""),IF(ROW()-1&lt;=$L$2+$M$2+$N$2,IFERROR(INDEX(CLOZE_LIST!$A:$K,ROW()-1-$L$2-$M$2+1,10),""),IF(ROW()-1&lt;=$L$2+$M$2+$N$2+$O$2,IFERROR(INDEX(PROFORMA!$A:$K,ROW()-1-$L$2-$M$2-$N$2+1,10),""),"")))))</f>
        <v>0</v>
      </c>
      <c r="K328" s="3">
        <f>IF(ROW()-1&lt;=0,"",IF(ROW()-1&lt;=$L$2,IFERROR(INDEX(MCQ!$A:$K,ROW()-1+1,11),""),IF(ROW()-1&lt;=$L$2+$M$2,IFERROR(INDEX(CLOZE_AB!$A:$K,ROW()-1-$L$2+1,11),""),IF(ROW()-1&lt;=$L$2+$M$2+$N$2,IFERROR(INDEX(CLOZE_LIST!$A:$K,ROW()-1-$L$2-$M$2+1,11),""),IF(ROW()-1&lt;=$L$2+$M$2+$N$2+$O$2,IFERROR(INDEX(PROFORMA!$A:$K,ROW()-1-$L$2-$M$2-$N$2+1,11),""),"")))))</f>
        <v>0</v>
      </c>
      <c r="L328" s="3">
        <f>COUNTA(MCQ!$A:$A)-1</f>
        <v>143</v>
      </c>
      <c r="M328" s="3">
        <f>COUNTA(CLOZE_AB!$A:$A)-1</f>
        <v>168</v>
      </c>
      <c r="N328" s="3">
        <f>COUNTA(CLOZE_LIST!$A:$A)-1</f>
        <v>199</v>
      </c>
      <c r="O328" s="3">
        <f>COUNTA(PROFORMA!$A:$A)-1</f>
        <v>199</v>
      </c>
    </row>
    <row r="329" spans="1:15" x14ac:dyDescent="0.3">
      <c r="A329" s="3" t="str">
        <f>IF(ROW()-1&lt;=0,"",IF(ROW()-1&lt;=$L$2,IFERROR(INDEX(MCQ!$A:$K,ROW()-1+1,1),""),IF(ROW()-1&lt;=$L$2+$M$2,IFERROR(INDEX(CLOZE_AB!$A:$K,ROW()-1-$L$2+1,1),""),IF(ROW()-1&lt;=$L$2+$M$2+$N$2,IFERROR(INDEX(CLOZE_LIST!$A:$K,ROW()-1-$L$2-$M$2+1,1),""),IF(ROW()-1&lt;=$L$2+$M$2+$N$2+$O$2,IFERROR(INDEX(PROFORMA!$A:$K,ROW()-1-$L$2-$M$2-$N$2+1,1),""),"")))))</f>
        <v/>
      </c>
      <c r="B329" s="3">
        <f>IF(ROW()-1&lt;=0,"",IF(ROW()-1&lt;=$L$2,IFERROR(INDEX(MCQ!$A:$K,ROW()-1+1,2),""),IF(ROW()-1&lt;=$L$2+$M$2,IFERROR(INDEX(CLOZE_AB!$A:$K,ROW()-1-$L$2+1,2),""),IF(ROW()-1&lt;=$L$2+$M$2+$N$2,IFERROR(INDEX(CLOZE_LIST!$A:$K,ROW()-1-$L$2-$M$2+1,2),""),IF(ROW()-1&lt;=$L$2+$M$2+$N$2+$O$2,IFERROR(INDEX(PROFORMA!$A:$K,ROW()-1-$L$2-$M$2-$N$2+1,2),""),"")))))</f>
        <v>0</v>
      </c>
      <c r="C329" s="3">
        <f>IF(ROW()-1&lt;=0,"",IF(ROW()-1&lt;=$L$2,IFERROR(INDEX(MCQ!$A:$K,ROW()-1+1,3),""),IF(ROW()-1&lt;=$L$2+$M$2,IFERROR(INDEX(CLOZE_AB!$A:$K,ROW()-1-$L$2+1,3),""),IF(ROW()-1&lt;=$L$2+$M$2+$N$2,IFERROR(INDEX(CLOZE_LIST!$A:$K,ROW()-1-$L$2-$M$2+1,3),""),IF(ROW()-1&lt;=$L$2+$M$2+$N$2+$O$2,IFERROR(INDEX(PROFORMA!$A:$K,ROW()-1-$L$2-$M$2-$N$2+1,3),""),"")))))</f>
        <v>0</v>
      </c>
      <c r="D329" s="3">
        <f>IF(ROW()-1&lt;=0,"",IF(ROW()-1&lt;=$L$2,IFERROR(INDEX(MCQ!$A:$K,ROW()-1+1,4),""),IF(ROW()-1&lt;=$L$2+$M$2,IFERROR(INDEX(CLOZE_AB!$A:$K,ROW()-1-$L$2+1,4),""),IF(ROW()-1&lt;=$L$2+$M$2+$N$2,IFERROR(INDEX(CLOZE_LIST!$A:$K,ROW()-1-$L$2-$M$2+1,4),""),IF(ROW()-1&lt;=$L$2+$M$2+$N$2+$O$2,IFERROR(INDEX(PROFORMA!$A:$K,ROW()-1-$L$2-$M$2-$N$2+1,4),""),"")))))</f>
        <v>0</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0</v>
      </c>
      <c r="G329" s="3">
        <f>IF(ROW()-1&lt;=0,"",IF(ROW()-1&lt;=$L$2,IFERROR(INDEX(MCQ!$A:$K,ROW()-1+1,7),""),IF(ROW()-1&lt;=$L$2+$M$2,IFERROR(INDEX(CLOZE_AB!$A:$K,ROW()-1-$L$2+1,7),""),IF(ROW()-1&lt;=$L$2+$M$2+$N$2,IFERROR(INDEX(CLOZE_LIST!$A:$K,ROW()-1-$L$2-$M$2+1,7),""),IF(ROW()-1&lt;=$L$2+$M$2+$N$2+$O$2,IFERROR(INDEX(PROFORMA!$A:$K,ROW()-1-$L$2-$M$2-$N$2+1,7),""),"")))))</f>
        <v>0</v>
      </c>
      <c r="H329" s="3">
        <f>IF(ROW()-1&lt;=0,"",IF(ROW()-1&lt;=$L$2,IFERROR(INDEX(MCQ!$A:$K,ROW()-1+1,8),""),IF(ROW()-1&lt;=$L$2+$M$2,IFERROR(INDEX(CLOZE_AB!$A:$K,ROW()-1-$L$2+1,8),""),IF(ROW()-1&lt;=$L$2+$M$2+$N$2,IFERROR(INDEX(CLOZE_LIST!$A:$K,ROW()-1-$L$2-$M$2+1,8),""),IF(ROW()-1&lt;=$L$2+$M$2+$N$2+$O$2,IFERROR(INDEX(PROFORMA!$A:$K,ROW()-1-$L$2-$M$2-$N$2+1,8),""),"")))))</f>
        <v>0</v>
      </c>
      <c r="I329" s="3">
        <f>IF(ROW()-1&lt;=0,"",IF(ROW()-1&lt;=$L$2,IFERROR(INDEX(MCQ!$A:$K,ROW()-1+1,9),""),IF(ROW()-1&lt;=$L$2+$M$2,IFERROR(INDEX(CLOZE_AB!$A:$K,ROW()-1-$L$2+1,9),""),IF(ROW()-1&lt;=$L$2+$M$2+$N$2,IFERROR(INDEX(CLOZE_LIST!$A:$K,ROW()-1-$L$2-$M$2+1,9),""),IF(ROW()-1&lt;=$L$2+$M$2+$N$2+$O$2,IFERROR(INDEX(PROFORMA!$A:$K,ROW()-1-$L$2-$M$2-$N$2+1,9),""),"")))))</f>
        <v>0</v>
      </c>
      <c r="J329" s="3">
        <f>IF(ROW()-1&lt;=0,"",IF(ROW()-1&lt;=$L$2,IFERROR(INDEX(MCQ!$A:$K,ROW()-1+1,10),""),IF(ROW()-1&lt;=$L$2+$M$2,IFERROR(INDEX(CLOZE_AB!$A:$K,ROW()-1-$L$2+1,10),""),IF(ROW()-1&lt;=$L$2+$M$2+$N$2,IFERROR(INDEX(CLOZE_LIST!$A:$K,ROW()-1-$L$2-$M$2+1,10),""),IF(ROW()-1&lt;=$L$2+$M$2+$N$2+$O$2,IFERROR(INDEX(PROFORMA!$A:$K,ROW()-1-$L$2-$M$2-$N$2+1,10),""),"")))))</f>
        <v>0</v>
      </c>
      <c r="K329" s="3">
        <f>IF(ROW()-1&lt;=0,"",IF(ROW()-1&lt;=$L$2,IFERROR(INDEX(MCQ!$A:$K,ROW()-1+1,11),""),IF(ROW()-1&lt;=$L$2+$M$2,IFERROR(INDEX(CLOZE_AB!$A:$K,ROW()-1-$L$2+1,11),""),IF(ROW()-1&lt;=$L$2+$M$2+$N$2,IFERROR(INDEX(CLOZE_LIST!$A:$K,ROW()-1-$L$2-$M$2+1,11),""),IF(ROW()-1&lt;=$L$2+$M$2+$N$2+$O$2,IFERROR(INDEX(PROFORMA!$A:$K,ROW()-1-$L$2-$M$2-$N$2+1,11),""),"")))))</f>
        <v>0</v>
      </c>
      <c r="L329" s="3">
        <f>COUNTA(MCQ!$A:$A)-1</f>
        <v>143</v>
      </c>
      <c r="M329" s="3">
        <f>COUNTA(CLOZE_AB!$A:$A)-1</f>
        <v>168</v>
      </c>
      <c r="N329" s="3">
        <f>COUNTA(CLOZE_LIST!$A:$A)-1</f>
        <v>199</v>
      </c>
      <c r="O329" s="3">
        <f>COUNTA(PROFORMA!$A:$A)-1</f>
        <v>199</v>
      </c>
    </row>
    <row r="330" spans="1:15" x14ac:dyDescent="0.3">
      <c r="A330" s="3" t="str">
        <f>IF(ROW()-1&lt;=0,"",IF(ROW()-1&lt;=$L$2,IFERROR(INDEX(MCQ!$A:$K,ROW()-1+1,1),""),IF(ROW()-1&lt;=$L$2+$M$2,IFERROR(INDEX(CLOZE_AB!$A:$K,ROW()-1-$L$2+1,1),""),IF(ROW()-1&lt;=$L$2+$M$2+$N$2,IFERROR(INDEX(CLOZE_LIST!$A:$K,ROW()-1-$L$2-$M$2+1,1),""),IF(ROW()-1&lt;=$L$2+$M$2+$N$2+$O$2,IFERROR(INDEX(PROFORMA!$A:$K,ROW()-1-$L$2-$M$2-$N$2+1,1),""),"")))))</f>
        <v/>
      </c>
      <c r="B330" s="3">
        <f>IF(ROW()-1&lt;=0,"",IF(ROW()-1&lt;=$L$2,IFERROR(INDEX(MCQ!$A:$K,ROW()-1+1,2),""),IF(ROW()-1&lt;=$L$2+$M$2,IFERROR(INDEX(CLOZE_AB!$A:$K,ROW()-1-$L$2+1,2),""),IF(ROW()-1&lt;=$L$2+$M$2+$N$2,IFERROR(INDEX(CLOZE_LIST!$A:$K,ROW()-1-$L$2-$M$2+1,2),""),IF(ROW()-1&lt;=$L$2+$M$2+$N$2+$O$2,IFERROR(INDEX(PROFORMA!$A:$K,ROW()-1-$L$2-$M$2-$N$2+1,2),""),"")))))</f>
        <v>0</v>
      </c>
      <c r="C330" s="3">
        <f>IF(ROW()-1&lt;=0,"",IF(ROW()-1&lt;=$L$2,IFERROR(INDEX(MCQ!$A:$K,ROW()-1+1,3),""),IF(ROW()-1&lt;=$L$2+$M$2,IFERROR(INDEX(CLOZE_AB!$A:$K,ROW()-1-$L$2+1,3),""),IF(ROW()-1&lt;=$L$2+$M$2+$N$2,IFERROR(INDEX(CLOZE_LIST!$A:$K,ROW()-1-$L$2-$M$2+1,3),""),IF(ROW()-1&lt;=$L$2+$M$2+$N$2+$O$2,IFERROR(INDEX(PROFORMA!$A:$K,ROW()-1-$L$2-$M$2-$N$2+1,3),""),"")))))</f>
        <v>0</v>
      </c>
      <c r="D330" s="3">
        <f>IF(ROW()-1&lt;=0,"",IF(ROW()-1&lt;=$L$2,IFERROR(INDEX(MCQ!$A:$K,ROW()-1+1,4),""),IF(ROW()-1&lt;=$L$2+$M$2,IFERROR(INDEX(CLOZE_AB!$A:$K,ROW()-1-$L$2+1,4),""),IF(ROW()-1&lt;=$L$2+$M$2+$N$2,IFERROR(INDEX(CLOZE_LIST!$A:$K,ROW()-1-$L$2-$M$2+1,4),""),IF(ROW()-1&lt;=$L$2+$M$2+$N$2+$O$2,IFERROR(INDEX(PROFORMA!$A:$K,ROW()-1-$L$2-$M$2-$N$2+1,4),""),"")))))</f>
        <v>0</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0</v>
      </c>
      <c r="G330" s="3">
        <f>IF(ROW()-1&lt;=0,"",IF(ROW()-1&lt;=$L$2,IFERROR(INDEX(MCQ!$A:$K,ROW()-1+1,7),""),IF(ROW()-1&lt;=$L$2+$M$2,IFERROR(INDEX(CLOZE_AB!$A:$K,ROW()-1-$L$2+1,7),""),IF(ROW()-1&lt;=$L$2+$M$2+$N$2,IFERROR(INDEX(CLOZE_LIST!$A:$K,ROW()-1-$L$2-$M$2+1,7),""),IF(ROW()-1&lt;=$L$2+$M$2+$N$2+$O$2,IFERROR(INDEX(PROFORMA!$A:$K,ROW()-1-$L$2-$M$2-$N$2+1,7),""),"")))))</f>
        <v>0</v>
      </c>
      <c r="H330" s="3">
        <f>IF(ROW()-1&lt;=0,"",IF(ROW()-1&lt;=$L$2,IFERROR(INDEX(MCQ!$A:$K,ROW()-1+1,8),""),IF(ROW()-1&lt;=$L$2+$M$2,IFERROR(INDEX(CLOZE_AB!$A:$K,ROW()-1-$L$2+1,8),""),IF(ROW()-1&lt;=$L$2+$M$2+$N$2,IFERROR(INDEX(CLOZE_LIST!$A:$K,ROW()-1-$L$2-$M$2+1,8),""),IF(ROW()-1&lt;=$L$2+$M$2+$N$2+$O$2,IFERROR(INDEX(PROFORMA!$A:$K,ROW()-1-$L$2-$M$2-$N$2+1,8),""),"")))))</f>
        <v>0</v>
      </c>
      <c r="I330" s="3">
        <f>IF(ROW()-1&lt;=0,"",IF(ROW()-1&lt;=$L$2,IFERROR(INDEX(MCQ!$A:$K,ROW()-1+1,9),""),IF(ROW()-1&lt;=$L$2+$M$2,IFERROR(INDEX(CLOZE_AB!$A:$K,ROW()-1-$L$2+1,9),""),IF(ROW()-1&lt;=$L$2+$M$2+$N$2,IFERROR(INDEX(CLOZE_LIST!$A:$K,ROW()-1-$L$2-$M$2+1,9),""),IF(ROW()-1&lt;=$L$2+$M$2+$N$2+$O$2,IFERROR(INDEX(PROFORMA!$A:$K,ROW()-1-$L$2-$M$2-$N$2+1,9),""),"")))))</f>
        <v>0</v>
      </c>
      <c r="J330" s="3">
        <f>IF(ROW()-1&lt;=0,"",IF(ROW()-1&lt;=$L$2,IFERROR(INDEX(MCQ!$A:$K,ROW()-1+1,10),""),IF(ROW()-1&lt;=$L$2+$M$2,IFERROR(INDEX(CLOZE_AB!$A:$K,ROW()-1-$L$2+1,10),""),IF(ROW()-1&lt;=$L$2+$M$2+$N$2,IFERROR(INDEX(CLOZE_LIST!$A:$K,ROW()-1-$L$2-$M$2+1,10),""),IF(ROW()-1&lt;=$L$2+$M$2+$N$2+$O$2,IFERROR(INDEX(PROFORMA!$A:$K,ROW()-1-$L$2-$M$2-$N$2+1,10),""),"")))))</f>
        <v>0</v>
      </c>
      <c r="K330" s="3">
        <f>IF(ROW()-1&lt;=0,"",IF(ROW()-1&lt;=$L$2,IFERROR(INDEX(MCQ!$A:$K,ROW()-1+1,11),""),IF(ROW()-1&lt;=$L$2+$M$2,IFERROR(INDEX(CLOZE_AB!$A:$K,ROW()-1-$L$2+1,11),""),IF(ROW()-1&lt;=$L$2+$M$2+$N$2,IFERROR(INDEX(CLOZE_LIST!$A:$K,ROW()-1-$L$2-$M$2+1,11),""),IF(ROW()-1&lt;=$L$2+$M$2+$N$2+$O$2,IFERROR(INDEX(PROFORMA!$A:$K,ROW()-1-$L$2-$M$2-$N$2+1,11),""),"")))))</f>
        <v>0</v>
      </c>
      <c r="L330" s="3">
        <f>COUNTA(MCQ!$A:$A)-1</f>
        <v>143</v>
      </c>
      <c r="M330" s="3">
        <f>COUNTA(CLOZE_AB!$A:$A)-1</f>
        <v>168</v>
      </c>
      <c r="N330" s="3">
        <f>COUNTA(CLOZE_LIST!$A:$A)-1</f>
        <v>199</v>
      </c>
      <c r="O330" s="3">
        <f>COUNTA(PROFORMA!$A:$A)-1</f>
        <v>199</v>
      </c>
    </row>
    <row r="331" spans="1:15" x14ac:dyDescent="0.3">
      <c r="A331" s="3" t="str">
        <f>IF(ROW()-1&lt;=0,"",IF(ROW()-1&lt;=$L$2,IFERROR(INDEX(MCQ!$A:$K,ROW()-1+1,1),""),IF(ROW()-1&lt;=$L$2+$M$2,IFERROR(INDEX(CLOZE_AB!$A:$K,ROW()-1-$L$2+1,1),""),IF(ROW()-1&lt;=$L$2+$M$2+$N$2,IFERROR(INDEX(CLOZE_LIST!$A:$K,ROW()-1-$L$2-$M$2+1,1),""),IF(ROW()-1&lt;=$L$2+$M$2+$N$2+$O$2,IFERROR(INDEX(PROFORMA!$A:$K,ROW()-1-$L$2-$M$2-$N$2+1,1),""),"")))))</f>
        <v/>
      </c>
      <c r="B331" s="3">
        <f>IF(ROW()-1&lt;=0,"",IF(ROW()-1&lt;=$L$2,IFERROR(INDEX(MCQ!$A:$K,ROW()-1+1,2),""),IF(ROW()-1&lt;=$L$2+$M$2,IFERROR(INDEX(CLOZE_AB!$A:$K,ROW()-1-$L$2+1,2),""),IF(ROW()-1&lt;=$L$2+$M$2+$N$2,IFERROR(INDEX(CLOZE_LIST!$A:$K,ROW()-1-$L$2-$M$2+1,2),""),IF(ROW()-1&lt;=$L$2+$M$2+$N$2+$O$2,IFERROR(INDEX(PROFORMA!$A:$K,ROW()-1-$L$2-$M$2-$N$2+1,2),""),"")))))</f>
        <v>0</v>
      </c>
      <c r="C331" s="3">
        <f>IF(ROW()-1&lt;=0,"",IF(ROW()-1&lt;=$L$2,IFERROR(INDEX(MCQ!$A:$K,ROW()-1+1,3),""),IF(ROW()-1&lt;=$L$2+$M$2,IFERROR(INDEX(CLOZE_AB!$A:$K,ROW()-1-$L$2+1,3),""),IF(ROW()-1&lt;=$L$2+$M$2+$N$2,IFERROR(INDEX(CLOZE_LIST!$A:$K,ROW()-1-$L$2-$M$2+1,3),""),IF(ROW()-1&lt;=$L$2+$M$2+$N$2+$O$2,IFERROR(INDEX(PROFORMA!$A:$K,ROW()-1-$L$2-$M$2-$N$2+1,3),""),"")))))</f>
        <v>0</v>
      </c>
      <c r="D331" s="3">
        <f>IF(ROW()-1&lt;=0,"",IF(ROW()-1&lt;=$L$2,IFERROR(INDEX(MCQ!$A:$K,ROW()-1+1,4),""),IF(ROW()-1&lt;=$L$2+$M$2,IFERROR(INDEX(CLOZE_AB!$A:$K,ROW()-1-$L$2+1,4),""),IF(ROW()-1&lt;=$L$2+$M$2+$N$2,IFERROR(INDEX(CLOZE_LIST!$A:$K,ROW()-1-$L$2-$M$2+1,4),""),IF(ROW()-1&lt;=$L$2+$M$2+$N$2+$O$2,IFERROR(INDEX(PROFORMA!$A:$K,ROW()-1-$L$2-$M$2-$N$2+1,4),""),"")))))</f>
        <v>0</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0</v>
      </c>
      <c r="G331" s="3">
        <f>IF(ROW()-1&lt;=0,"",IF(ROW()-1&lt;=$L$2,IFERROR(INDEX(MCQ!$A:$K,ROW()-1+1,7),""),IF(ROW()-1&lt;=$L$2+$M$2,IFERROR(INDEX(CLOZE_AB!$A:$K,ROW()-1-$L$2+1,7),""),IF(ROW()-1&lt;=$L$2+$M$2+$N$2,IFERROR(INDEX(CLOZE_LIST!$A:$K,ROW()-1-$L$2-$M$2+1,7),""),IF(ROW()-1&lt;=$L$2+$M$2+$N$2+$O$2,IFERROR(INDEX(PROFORMA!$A:$K,ROW()-1-$L$2-$M$2-$N$2+1,7),""),"")))))</f>
        <v>0</v>
      </c>
      <c r="H331" s="3">
        <f>IF(ROW()-1&lt;=0,"",IF(ROW()-1&lt;=$L$2,IFERROR(INDEX(MCQ!$A:$K,ROW()-1+1,8),""),IF(ROW()-1&lt;=$L$2+$M$2,IFERROR(INDEX(CLOZE_AB!$A:$K,ROW()-1-$L$2+1,8),""),IF(ROW()-1&lt;=$L$2+$M$2+$N$2,IFERROR(INDEX(CLOZE_LIST!$A:$K,ROW()-1-$L$2-$M$2+1,8),""),IF(ROW()-1&lt;=$L$2+$M$2+$N$2+$O$2,IFERROR(INDEX(PROFORMA!$A:$K,ROW()-1-$L$2-$M$2-$N$2+1,8),""),"")))))</f>
        <v>0</v>
      </c>
      <c r="I331" s="3">
        <f>IF(ROW()-1&lt;=0,"",IF(ROW()-1&lt;=$L$2,IFERROR(INDEX(MCQ!$A:$K,ROW()-1+1,9),""),IF(ROW()-1&lt;=$L$2+$M$2,IFERROR(INDEX(CLOZE_AB!$A:$K,ROW()-1-$L$2+1,9),""),IF(ROW()-1&lt;=$L$2+$M$2+$N$2,IFERROR(INDEX(CLOZE_LIST!$A:$K,ROW()-1-$L$2-$M$2+1,9),""),IF(ROW()-1&lt;=$L$2+$M$2+$N$2+$O$2,IFERROR(INDEX(PROFORMA!$A:$K,ROW()-1-$L$2-$M$2-$N$2+1,9),""),"")))))</f>
        <v>0</v>
      </c>
      <c r="J331" s="3">
        <f>IF(ROW()-1&lt;=0,"",IF(ROW()-1&lt;=$L$2,IFERROR(INDEX(MCQ!$A:$K,ROW()-1+1,10),""),IF(ROW()-1&lt;=$L$2+$M$2,IFERROR(INDEX(CLOZE_AB!$A:$K,ROW()-1-$L$2+1,10),""),IF(ROW()-1&lt;=$L$2+$M$2+$N$2,IFERROR(INDEX(CLOZE_LIST!$A:$K,ROW()-1-$L$2-$M$2+1,10),""),IF(ROW()-1&lt;=$L$2+$M$2+$N$2+$O$2,IFERROR(INDEX(PROFORMA!$A:$K,ROW()-1-$L$2-$M$2-$N$2+1,10),""),"")))))</f>
        <v>0</v>
      </c>
      <c r="K331" s="3">
        <f>IF(ROW()-1&lt;=0,"",IF(ROW()-1&lt;=$L$2,IFERROR(INDEX(MCQ!$A:$K,ROW()-1+1,11),""),IF(ROW()-1&lt;=$L$2+$M$2,IFERROR(INDEX(CLOZE_AB!$A:$K,ROW()-1-$L$2+1,11),""),IF(ROW()-1&lt;=$L$2+$M$2+$N$2,IFERROR(INDEX(CLOZE_LIST!$A:$K,ROW()-1-$L$2-$M$2+1,11),""),IF(ROW()-1&lt;=$L$2+$M$2+$N$2+$O$2,IFERROR(INDEX(PROFORMA!$A:$K,ROW()-1-$L$2-$M$2-$N$2+1,11),""),"")))))</f>
        <v>0</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t="str">
        <f>IF(ROW()-1&lt;=0,"",IF(ROW()-1&lt;=$L$2,IFERROR(INDEX(MCQ!$A:$K,ROW()-1+1,5),""),IF(ROW()-1&lt;=$L$2+$M$2,IFERROR(INDEX(CLOZE_AB!$A:$K,ROW()-1-$L$2+1,5),""),IF(ROW()-1&lt;=$L$2+$M$2+$N$2,IFERROR(INDEX(CLOZE_LIST!$A:$K,ROW()-1-$L$2-$M$2+1,5),""),IF(ROW()-1&lt;=$L$2+$M$2+$N$2+$O$2,IFERROR(INDEX(PROFORMA!$A:$K,ROW()-1-$L$2-$M$2-$N$2+1,5),""),"")))))</f>
        <v>cloze_list</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t="str">
        <f>IF(ROW()-1&lt;=0,"",IF(ROW()-1&lt;=$L$2,IFERROR(INDEX(MCQ!$A:$K,ROW()-1+1,5),""),IF(ROW()-1&lt;=$L$2+$M$2,IFERROR(INDEX(CLOZE_AB!$A:$K,ROW()-1-$L$2+1,5),""),IF(ROW()-1&lt;=$L$2+$M$2+$N$2,IFERROR(INDEX(CLOZE_LIST!$A:$K,ROW()-1-$L$2-$M$2+1,5),""),IF(ROW()-1&lt;=$L$2+$M$2+$N$2+$O$2,IFERROR(INDEX(PROFORMA!$A:$K,ROW()-1-$L$2-$M$2-$N$2+1,5),""),"")))))</f>
        <v>cloze_list</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t="str">
        <f>IF(ROW()-1&lt;=0,"",IF(ROW()-1&lt;=$L$2,IFERROR(INDEX(MCQ!$A:$K,ROW()-1+1,5),""),IF(ROW()-1&lt;=$L$2+$M$2,IFERROR(INDEX(CLOZE_AB!$A:$K,ROW()-1-$L$2+1,5),""),IF(ROW()-1&lt;=$L$2+$M$2+$N$2,IFERROR(INDEX(CLOZE_LIST!$A:$K,ROW()-1-$L$2-$M$2+1,5),""),IF(ROW()-1&lt;=$L$2+$M$2+$N$2+$O$2,IFERROR(INDEX(PROFORMA!$A:$K,ROW()-1-$L$2-$M$2-$N$2+1,5),""),"")))))</f>
        <v>cloze_list</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t="str">
        <f>IF(ROW()-1&lt;=0,"",IF(ROW()-1&lt;=$L$2,IFERROR(INDEX(MCQ!$A:$K,ROW()-1+1,5),""),IF(ROW()-1&lt;=$L$2+$M$2,IFERROR(INDEX(CLOZE_AB!$A:$K,ROW()-1-$L$2+1,5),""),IF(ROW()-1&lt;=$L$2+$M$2+$N$2,IFERROR(INDEX(CLOZE_LIST!$A:$K,ROW()-1-$L$2-$M$2+1,5),""),IF(ROW()-1&lt;=$L$2+$M$2+$N$2+$O$2,IFERROR(INDEX(PROFORMA!$A:$K,ROW()-1-$L$2-$M$2-$N$2+1,5),""),"")))))</f>
        <v>cloze_list</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t="str">
        <f>IF(ROW()-1&lt;=0,"",IF(ROW()-1&lt;=$L$2,IFERROR(INDEX(MCQ!$A:$K,ROW()-1+1,5),""),IF(ROW()-1&lt;=$L$2+$M$2,IFERROR(INDEX(CLOZE_AB!$A:$K,ROW()-1-$L$2+1,5),""),IF(ROW()-1&lt;=$L$2+$M$2+$N$2,IFERROR(INDEX(CLOZE_LIST!$A:$K,ROW()-1-$L$2-$M$2+1,5),""),IF(ROW()-1&lt;=$L$2+$M$2+$N$2+$O$2,IFERROR(INDEX(PROFORMA!$A:$K,ROW()-1-$L$2-$M$2-$N$2+1,5),""),"")))))</f>
        <v>cloze_list</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t="str">
        <f>IF(ROW()-1&lt;=0,"",IF(ROW()-1&lt;=$L$2,IFERROR(INDEX(MCQ!$A:$K,ROW()-1+1,5),""),IF(ROW()-1&lt;=$L$2+$M$2,IFERROR(INDEX(CLOZE_AB!$A:$K,ROW()-1-$L$2+1,5),""),IF(ROW()-1&lt;=$L$2+$M$2+$N$2,IFERROR(INDEX(CLOZE_LIST!$A:$K,ROW()-1-$L$2-$M$2+1,5),""),IF(ROW()-1&lt;=$L$2+$M$2+$N$2+$O$2,IFERROR(INDEX(PROFORMA!$A:$K,ROW()-1-$L$2-$M$2-$N$2+1,5),""),"")))))</f>
        <v>cloze_list</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t="str">
        <f>IF(ROW()-1&lt;=0,"",IF(ROW()-1&lt;=$L$2,IFERROR(INDEX(MCQ!$A:$K,ROW()-1+1,5),""),IF(ROW()-1&lt;=$L$2+$M$2,IFERROR(INDEX(CLOZE_AB!$A:$K,ROW()-1-$L$2+1,5),""),IF(ROW()-1&lt;=$L$2+$M$2+$N$2,IFERROR(INDEX(CLOZE_LIST!$A:$K,ROW()-1-$L$2-$M$2+1,5),""),IF(ROW()-1&lt;=$L$2+$M$2+$N$2+$O$2,IFERROR(INDEX(PROFORMA!$A:$K,ROW()-1-$L$2-$M$2-$N$2+1,5),""),"")))))</f>
        <v>cloze_list</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t="str">
        <f>IF(ROW()-1&lt;=0,"",IF(ROW()-1&lt;=$L$2,IFERROR(INDEX(MCQ!$A:$K,ROW()-1+1,5),""),IF(ROW()-1&lt;=$L$2+$M$2,IFERROR(INDEX(CLOZE_AB!$A:$K,ROW()-1-$L$2+1,5),""),IF(ROW()-1&lt;=$L$2+$M$2+$N$2,IFERROR(INDEX(CLOZE_LIST!$A:$K,ROW()-1-$L$2-$M$2+1,5),""),IF(ROW()-1&lt;=$L$2+$M$2+$N$2+$O$2,IFERROR(INDEX(PROFORMA!$A:$K,ROW()-1-$L$2-$M$2-$N$2+1,5),""),"")))))</f>
        <v>cloze_list</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t="str">
        <f>IF(ROW()-1&lt;=0,"",IF(ROW()-1&lt;=$L$2,IFERROR(INDEX(MCQ!$A:$K,ROW()-1+1,5),""),IF(ROW()-1&lt;=$L$2+$M$2,IFERROR(INDEX(CLOZE_AB!$A:$K,ROW()-1-$L$2+1,5),""),IF(ROW()-1&lt;=$L$2+$M$2+$N$2,IFERROR(INDEX(CLOZE_LIST!$A:$K,ROW()-1-$L$2-$M$2+1,5),""),IF(ROW()-1&lt;=$L$2+$M$2+$N$2+$O$2,IFERROR(INDEX(PROFORMA!$A:$K,ROW()-1-$L$2-$M$2-$N$2+1,5),""),"")))))</f>
        <v>cloze_list</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t="str">
        <f>IF(ROW()-1&lt;=0,"",IF(ROW()-1&lt;=$L$2,IFERROR(INDEX(MCQ!$A:$K,ROW()-1+1,5),""),IF(ROW()-1&lt;=$L$2+$M$2,IFERROR(INDEX(CLOZE_AB!$A:$K,ROW()-1-$L$2+1,5),""),IF(ROW()-1&lt;=$L$2+$M$2+$N$2,IFERROR(INDEX(CLOZE_LIST!$A:$K,ROW()-1-$L$2-$M$2+1,5),""),IF(ROW()-1&lt;=$L$2+$M$2+$N$2+$O$2,IFERROR(INDEX(PROFORMA!$A:$K,ROW()-1-$L$2-$M$2-$N$2+1,5),""),"")))))</f>
        <v>cloze_list</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t="str">
        <f>IF(ROW()-1&lt;=0,"",IF(ROW()-1&lt;=$L$2,IFERROR(INDEX(MCQ!$A:$K,ROW()-1+1,5),""),IF(ROW()-1&lt;=$L$2+$M$2,IFERROR(INDEX(CLOZE_AB!$A:$K,ROW()-1-$L$2+1,5),""),IF(ROW()-1&lt;=$L$2+$M$2+$N$2,IFERROR(INDEX(CLOZE_LIST!$A:$K,ROW()-1-$L$2-$M$2+1,5),""),IF(ROW()-1&lt;=$L$2+$M$2+$N$2+$O$2,IFERROR(INDEX(PROFORMA!$A:$K,ROW()-1-$L$2-$M$2-$N$2+1,5),""),"")))))</f>
        <v>cloze_list</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t="str">
        <f>IF(ROW()-1&lt;=0,"",IF(ROW()-1&lt;=$L$2,IFERROR(INDEX(MCQ!$A:$K,ROW()-1+1,5),""),IF(ROW()-1&lt;=$L$2+$M$2,IFERROR(INDEX(CLOZE_AB!$A:$K,ROW()-1-$L$2+1,5),""),IF(ROW()-1&lt;=$L$2+$M$2+$N$2,IFERROR(INDEX(CLOZE_LIST!$A:$K,ROW()-1-$L$2-$M$2+1,5),""),IF(ROW()-1&lt;=$L$2+$M$2+$N$2+$O$2,IFERROR(INDEX(PROFORMA!$A:$K,ROW()-1-$L$2-$M$2-$N$2+1,5),""),"")))))</f>
        <v>cloze_list</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t="str">
        <f>IF(ROW()-1&lt;=0,"",IF(ROW()-1&lt;=$L$2,IFERROR(INDEX(MCQ!$A:$K,ROW()-1+1,5),""),IF(ROW()-1&lt;=$L$2+$M$2,IFERROR(INDEX(CLOZE_AB!$A:$K,ROW()-1-$L$2+1,5),""),IF(ROW()-1&lt;=$L$2+$M$2+$N$2,IFERROR(INDEX(CLOZE_LIST!$A:$K,ROW()-1-$L$2-$M$2+1,5),""),IF(ROW()-1&lt;=$L$2+$M$2+$N$2+$O$2,IFERROR(INDEX(PROFORMA!$A:$K,ROW()-1-$L$2-$M$2-$N$2+1,5),""),"")))))</f>
        <v>cloze_list</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t="str">
        <f>IF(ROW()-1&lt;=0,"",IF(ROW()-1&lt;=$L$2,IFERROR(INDEX(MCQ!$A:$K,ROW()-1+1,5),""),IF(ROW()-1&lt;=$L$2+$M$2,IFERROR(INDEX(CLOZE_AB!$A:$K,ROW()-1-$L$2+1,5),""),IF(ROW()-1&lt;=$L$2+$M$2+$N$2,IFERROR(INDEX(CLOZE_LIST!$A:$K,ROW()-1-$L$2-$M$2+1,5),""),IF(ROW()-1&lt;=$L$2+$M$2+$N$2+$O$2,IFERROR(INDEX(PROFORMA!$A:$K,ROW()-1-$L$2-$M$2-$N$2+1,5),""),"")))))</f>
        <v>cloze_list</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t="str">
        <f>IF(ROW()-1&lt;=0,"",IF(ROW()-1&lt;=$L$2,IFERROR(INDEX(MCQ!$A:$K,ROW()-1+1,5),""),IF(ROW()-1&lt;=$L$2+$M$2,IFERROR(INDEX(CLOZE_AB!$A:$K,ROW()-1-$L$2+1,5),""),IF(ROW()-1&lt;=$L$2+$M$2+$N$2,IFERROR(INDEX(CLOZE_LIST!$A:$K,ROW()-1-$L$2-$M$2+1,5),""),IF(ROW()-1&lt;=$L$2+$M$2+$N$2+$O$2,IFERROR(INDEX(PROFORMA!$A:$K,ROW()-1-$L$2-$M$2-$N$2+1,5),""),"")))))</f>
        <v>cloze_list</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t="str">
        <f>IF(ROW()-1&lt;=0,"",IF(ROW()-1&lt;=$L$2,IFERROR(INDEX(MCQ!$A:$K,ROW()-1+1,5),""),IF(ROW()-1&lt;=$L$2+$M$2,IFERROR(INDEX(CLOZE_AB!$A:$K,ROW()-1-$L$2+1,5),""),IF(ROW()-1&lt;=$L$2+$M$2+$N$2,IFERROR(INDEX(CLOZE_LIST!$A:$K,ROW()-1-$L$2-$M$2+1,5),""),IF(ROW()-1&lt;=$L$2+$M$2+$N$2+$O$2,IFERROR(INDEX(PROFORMA!$A:$K,ROW()-1-$L$2-$M$2-$N$2+1,5),""),"")))))</f>
        <v>cloze_list</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t="str">
        <f>IF(ROW()-1&lt;=0,"",IF(ROW()-1&lt;=$L$2,IFERROR(INDEX(MCQ!$A:$K,ROW()-1+1,5),""),IF(ROW()-1&lt;=$L$2+$M$2,IFERROR(INDEX(CLOZE_AB!$A:$K,ROW()-1-$L$2+1,5),""),IF(ROW()-1&lt;=$L$2+$M$2+$N$2,IFERROR(INDEX(CLOZE_LIST!$A:$K,ROW()-1-$L$2-$M$2+1,5),""),IF(ROW()-1&lt;=$L$2+$M$2+$N$2+$O$2,IFERROR(INDEX(PROFORMA!$A:$K,ROW()-1-$L$2-$M$2-$N$2+1,5),""),"")))))</f>
        <v>cloze_list</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t="str">
        <f>IF(ROW()-1&lt;=0,"",IF(ROW()-1&lt;=$L$2,IFERROR(INDEX(MCQ!$A:$K,ROW()-1+1,5),""),IF(ROW()-1&lt;=$L$2+$M$2,IFERROR(INDEX(CLOZE_AB!$A:$K,ROW()-1-$L$2+1,5),""),IF(ROW()-1&lt;=$L$2+$M$2+$N$2,IFERROR(INDEX(CLOZE_LIST!$A:$K,ROW()-1-$L$2-$M$2+1,5),""),IF(ROW()-1&lt;=$L$2+$M$2+$N$2+$O$2,IFERROR(INDEX(PROFORMA!$A:$K,ROW()-1-$L$2-$M$2-$N$2+1,5),""),"")))))</f>
        <v>cloze_list</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t="str">
        <f>IF(ROW()-1&lt;=0,"",IF(ROW()-1&lt;=$L$2,IFERROR(INDEX(MCQ!$A:$K,ROW()-1+1,5),""),IF(ROW()-1&lt;=$L$2+$M$2,IFERROR(INDEX(CLOZE_AB!$A:$K,ROW()-1-$L$2+1,5),""),IF(ROW()-1&lt;=$L$2+$M$2+$N$2,IFERROR(INDEX(CLOZE_LIST!$A:$K,ROW()-1-$L$2-$M$2+1,5),""),IF(ROW()-1&lt;=$L$2+$M$2+$N$2+$O$2,IFERROR(INDEX(PROFORMA!$A:$K,ROW()-1-$L$2-$M$2-$N$2+1,5),""),"")))))</f>
        <v>cloze_list</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t="str">
        <f>IF(ROW()-1&lt;=0,"",IF(ROW()-1&lt;=$L$2,IFERROR(INDEX(MCQ!$A:$K,ROW()-1+1,5),""),IF(ROW()-1&lt;=$L$2+$M$2,IFERROR(INDEX(CLOZE_AB!$A:$K,ROW()-1-$L$2+1,5),""),IF(ROW()-1&lt;=$L$2+$M$2+$N$2,IFERROR(INDEX(CLOZE_LIST!$A:$K,ROW()-1-$L$2-$M$2+1,5),""),IF(ROW()-1&lt;=$L$2+$M$2+$N$2+$O$2,IFERROR(INDEX(PROFORMA!$A:$K,ROW()-1-$L$2-$M$2-$N$2+1,5),""),"")))))</f>
        <v>cloze_list</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t="str">
        <f>IF(ROW()-1&lt;=0,"",IF(ROW()-1&lt;=$L$2,IFERROR(INDEX(MCQ!$A:$K,ROW()-1+1,5),""),IF(ROW()-1&lt;=$L$2+$M$2,IFERROR(INDEX(CLOZE_AB!$A:$K,ROW()-1-$L$2+1,5),""),IF(ROW()-1&lt;=$L$2+$M$2+$N$2,IFERROR(INDEX(CLOZE_LIST!$A:$K,ROW()-1-$L$2-$M$2+1,5),""),IF(ROW()-1&lt;=$L$2+$M$2+$N$2+$O$2,IFERROR(INDEX(PROFORMA!$A:$K,ROW()-1-$L$2-$M$2-$N$2+1,5),""),"")))))</f>
        <v>cloze_list</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t="str">
        <f>IF(ROW()-1&lt;=0,"",IF(ROW()-1&lt;=$L$2,IFERROR(INDEX(MCQ!$A:$K,ROW()-1+1,5),""),IF(ROW()-1&lt;=$L$2+$M$2,IFERROR(INDEX(CLOZE_AB!$A:$K,ROW()-1-$L$2+1,5),""),IF(ROW()-1&lt;=$L$2+$M$2+$N$2,IFERROR(INDEX(CLOZE_LIST!$A:$K,ROW()-1-$L$2-$M$2+1,5),""),IF(ROW()-1&lt;=$L$2+$M$2+$N$2+$O$2,IFERROR(INDEX(PROFORMA!$A:$K,ROW()-1-$L$2-$M$2-$N$2+1,5),""),"")))))</f>
        <v>cloze_list</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t="str">
        <f>IF(ROW()-1&lt;=0,"",IF(ROW()-1&lt;=$L$2,IFERROR(INDEX(MCQ!$A:$K,ROW()-1+1,5),""),IF(ROW()-1&lt;=$L$2+$M$2,IFERROR(INDEX(CLOZE_AB!$A:$K,ROW()-1-$L$2+1,5),""),IF(ROW()-1&lt;=$L$2+$M$2+$N$2,IFERROR(INDEX(CLOZE_LIST!$A:$K,ROW()-1-$L$2-$M$2+1,5),""),IF(ROW()-1&lt;=$L$2+$M$2+$N$2+$O$2,IFERROR(INDEX(PROFORMA!$A:$K,ROW()-1-$L$2-$M$2-$N$2+1,5),""),"")))))</f>
        <v>cloze_list</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t="str">
        <f>IF(ROW()-1&lt;=0,"",IF(ROW()-1&lt;=$L$2,IFERROR(INDEX(MCQ!$A:$K,ROW()-1+1,5),""),IF(ROW()-1&lt;=$L$2+$M$2,IFERROR(INDEX(CLOZE_AB!$A:$K,ROW()-1-$L$2+1,5),""),IF(ROW()-1&lt;=$L$2+$M$2+$N$2,IFERROR(INDEX(CLOZE_LIST!$A:$K,ROW()-1-$L$2-$M$2+1,5),""),IF(ROW()-1&lt;=$L$2+$M$2+$N$2+$O$2,IFERROR(INDEX(PROFORMA!$A:$K,ROW()-1-$L$2-$M$2-$N$2+1,5),""),"")))))</f>
        <v>cloze_list</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t="str">
        <f>IF(ROW()-1&lt;=0,"",IF(ROW()-1&lt;=$L$2,IFERROR(INDEX(MCQ!$A:$K,ROW()-1+1,5),""),IF(ROW()-1&lt;=$L$2+$M$2,IFERROR(INDEX(CLOZE_AB!$A:$K,ROW()-1-$L$2+1,5),""),IF(ROW()-1&lt;=$L$2+$M$2+$N$2,IFERROR(INDEX(CLOZE_LIST!$A:$K,ROW()-1-$L$2-$M$2+1,5),""),IF(ROW()-1&lt;=$L$2+$M$2+$N$2+$O$2,IFERROR(INDEX(PROFORMA!$A:$K,ROW()-1-$L$2-$M$2-$N$2+1,5),""),"")))))</f>
        <v>cloze_list</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t="str">
        <f>IF(ROW()-1&lt;=0,"",IF(ROW()-1&lt;=$L$2,IFERROR(INDEX(MCQ!$A:$K,ROW()-1+1,5),""),IF(ROW()-1&lt;=$L$2+$M$2,IFERROR(INDEX(CLOZE_AB!$A:$K,ROW()-1-$L$2+1,5),""),IF(ROW()-1&lt;=$L$2+$M$2+$N$2,IFERROR(INDEX(CLOZE_LIST!$A:$K,ROW()-1-$L$2-$M$2+1,5),""),IF(ROW()-1&lt;=$L$2+$M$2+$N$2+$O$2,IFERROR(INDEX(PROFORMA!$A:$K,ROW()-1-$L$2-$M$2-$N$2+1,5),""),"")))))</f>
        <v>cloze_list</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t="str">
        <f>IF(ROW()-1&lt;=0,"",IF(ROW()-1&lt;=$L$2,IFERROR(INDEX(MCQ!$A:$K,ROW()-1+1,5),""),IF(ROW()-1&lt;=$L$2+$M$2,IFERROR(INDEX(CLOZE_AB!$A:$K,ROW()-1-$L$2+1,5),""),IF(ROW()-1&lt;=$L$2+$M$2+$N$2,IFERROR(INDEX(CLOZE_LIST!$A:$K,ROW()-1-$L$2-$M$2+1,5),""),IF(ROW()-1&lt;=$L$2+$M$2+$N$2+$O$2,IFERROR(INDEX(PROFORMA!$A:$K,ROW()-1-$L$2-$M$2-$N$2+1,5),""),"")))))</f>
        <v>cloze_list</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t="str">
        <f>IF(ROW()-1&lt;=0,"",IF(ROW()-1&lt;=$L$2,IFERROR(INDEX(MCQ!$A:$K,ROW()-1+1,5),""),IF(ROW()-1&lt;=$L$2+$M$2,IFERROR(INDEX(CLOZE_AB!$A:$K,ROW()-1-$L$2+1,5),""),IF(ROW()-1&lt;=$L$2+$M$2+$N$2,IFERROR(INDEX(CLOZE_LIST!$A:$K,ROW()-1-$L$2-$M$2+1,5),""),IF(ROW()-1&lt;=$L$2+$M$2+$N$2+$O$2,IFERROR(INDEX(PROFORMA!$A:$K,ROW()-1-$L$2-$M$2-$N$2+1,5),""),"")))))</f>
        <v>cloze_list</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t="str">
        <f>IF(ROW()-1&lt;=0,"",IF(ROW()-1&lt;=$L$2,IFERROR(INDEX(MCQ!$A:$K,ROW()-1+1,5),""),IF(ROW()-1&lt;=$L$2+$M$2,IFERROR(INDEX(CLOZE_AB!$A:$K,ROW()-1-$L$2+1,5),""),IF(ROW()-1&lt;=$L$2+$M$2+$N$2,IFERROR(INDEX(CLOZE_LIST!$A:$K,ROW()-1-$L$2-$M$2+1,5),""),IF(ROW()-1&lt;=$L$2+$M$2+$N$2+$O$2,IFERROR(INDEX(PROFORMA!$A:$K,ROW()-1-$L$2-$M$2-$N$2+1,5),""),"")))))</f>
        <v>cloze_list</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t="str">
        <f>IF(ROW()-1&lt;=0,"",IF(ROW()-1&lt;=$L$2,IFERROR(INDEX(MCQ!$A:$K,ROW()-1+1,5),""),IF(ROW()-1&lt;=$L$2+$M$2,IFERROR(INDEX(CLOZE_AB!$A:$K,ROW()-1-$L$2+1,5),""),IF(ROW()-1&lt;=$L$2+$M$2+$N$2,IFERROR(INDEX(CLOZE_LIST!$A:$K,ROW()-1-$L$2-$M$2+1,5),""),IF(ROW()-1&lt;=$L$2+$M$2+$N$2+$O$2,IFERROR(INDEX(PROFORMA!$A:$K,ROW()-1-$L$2-$M$2-$N$2+1,5),""),"")))))</f>
        <v>cloze_list</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t="str">
        <f>IF(ROW()-1&lt;=0,"",IF(ROW()-1&lt;=$L$2,IFERROR(INDEX(MCQ!$A:$K,ROW()-1+1,5),""),IF(ROW()-1&lt;=$L$2+$M$2,IFERROR(INDEX(CLOZE_AB!$A:$K,ROW()-1-$L$2+1,5),""),IF(ROW()-1&lt;=$L$2+$M$2+$N$2,IFERROR(INDEX(CLOZE_LIST!$A:$K,ROW()-1-$L$2-$M$2+1,5),""),IF(ROW()-1&lt;=$L$2+$M$2+$N$2+$O$2,IFERROR(INDEX(PROFORMA!$A:$K,ROW()-1-$L$2-$M$2-$N$2+1,5),""),"")))))</f>
        <v>cloze_list</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t="str">
        <f>IF(ROW()-1&lt;=0,"",IF(ROW()-1&lt;=$L$2,IFERROR(INDEX(MCQ!$A:$K,ROW()-1+1,5),""),IF(ROW()-1&lt;=$L$2+$M$2,IFERROR(INDEX(CLOZE_AB!$A:$K,ROW()-1-$L$2+1,5),""),IF(ROW()-1&lt;=$L$2+$M$2+$N$2,IFERROR(INDEX(CLOZE_LIST!$A:$K,ROW()-1-$L$2-$M$2+1,5),""),IF(ROW()-1&lt;=$L$2+$M$2+$N$2+$O$2,IFERROR(INDEX(PROFORMA!$A:$K,ROW()-1-$L$2-$M$2-$N$2+1,5),""),"")))))</f>
        <v>cloze_list</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t="str">
        <f>IF(ROW()-1&lt;=0,"",IF(ROW()-1&lt;=$L$2,IFERROR(INDEX(MCQ!$A:$K,ROW()-1+1,5),""),IF(ROW()-1&lt;=$L$2+$M$2,IFERROR(INDEX(CLOZE_AB!$A:$K,ROW()-1-$L$2+1,5),""),IF(ROW()-1&lt;=$L$2+$M$2+$N$2,IFERROR(INDEX(CLOZE_LIST!$A:$K,ROW()-1-$L$2-$M$2+1,5),""),IF(ROW()-1&lt;=$L$2+$M$2+$N$2+$O$2,IFERROR(INDEX(PROFORMA!$A:$K,ROW()-1-$L$2-$M$2-$N$2+1,5),""),"")))))</f>
        <v>cloze_list</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t="str">
        <f>IF(ROW()-1&lt;=0,"",IF(ROW()-1&lt;=$L$2,IFERROR(INDEX(MCQ!$A:$K,ROW()-1+1,5),""),IF(ROW()-1&lt;=$L$2+$M$2,IFERROR(INDEX(CLOZE_AB!$A:$K,ROW()-1-$L$2+1,5),""),IF(ROW()-1&lt;=$L$2+$M$2+$N$2,IFERROR(INDEX(CLOZE_LIST!$A:$K,ROW()-1-$L$2-$M$2+1,5),""),IF(ROW()-1&lt;=$L$2+$M$2+$N$2+$O$2,IFERROR(INDEX(PROFORMA!$A:$K,ROW()-1-$L$2-$M$2-$N$2+1,5),""),"")))))</f>
        <v>cloze_list</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t="str">
        <f>IF(ROW()-1&lt;=0,"",IF(ROW()-1&lt;=$L$2,IFERROR(INDEX(MCQ!$A:$K,ROW()-1+1,5),""),IF(ROW()-1&lt;=$L$2+$M$2,IFERROR(INDEX(CLOZE_AB!$A:$K,ROW()-1-$L$2+1,5),""),IF(ROW()-1&lt;=$L$2+$M$2+$N$2,IFERROR(INDEX(CLOZE_LIST!$A:$K,ROW()-1-$L$2-$M$2+1,5),""),IF(ROW()-1&lt;=$L$2+$M$2+$N$2+$O$2,IFERROR(INDEX(PROFORMA!$A:$K,ROW()-1-$L$2-$M$2-$N$2+1,5),""),"")))))</f>
        <v>cloze_list</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t="str">
        <f>IF(ROW()-1&lt;=0,"",IF(ROW()-1&lt;=$L$2,IFERROR(INDEX(MCQ!$A:$K,ROW()-1+1,5),""),IF(ROW()-1&lt;=$L$2+$M$2,IFERROR(INDEX(CLOZE_AB!$A:$K,ROW()-1-$L$2+1,5),""),IF(ROW()-1&lt;=$L$2+$M$2+$N$2,IFERROR(INDEX(CLOZE_LIST!$A:$K,ROW()-1-$L$2-$M$2+1,5),""),IF(ROW()-1&lt;=$L$2+$M$2+$N$2+$O$2,IFERROR(INDEX(PROFORMA!$A:$K,ROW()-1-$L$2-$M$2-$N$2+1,5),""),"")))))</f>
        <v>cloze_list</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t="str">
        <f>IF(ROW()-1&lt;=0,"",IF(ROW()-1&lt;=$L$2,IFERROR(INDEX(MCQ!$A:$K,ROW()-1+1,5),""),IF(ROW()-1&lt;=$L$2+$M$2,IFERROR(INDEX(CLOZE_AB!$A:$K,ROW()-1-$L$2+1,5),""),IF(ROW()-1&lt;=$L$2+$M$2+$N$2,IFERROR(INDEX(CLOZE_LIST!$A:$K,ROW()-1-$L$2-$M$2+1,5),""),IF(ROW()-1&lt;=$L$2+$M$2+$N$2+$O$2,IFERROR(INDEX(PROFORMA!$A:$K,ROW()-1-$L$2-$M$2-$N$2+1,5),""),"")))))</f>
        <v>cloze_list</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t="str">
        <f>IF(ROW()-1&lt;=0,"",IF(ROW()-1&lt;=$L$2,IFERROR(INDEX(MCQ!$A:$K,ROW()-1+1,5),""),IF(ROW()-1&lt;=$L$2+$M$2,IFERROR(INDEX(CLOZE_AB!$A:$K,ROW()-1-$L$2+1,5),""),IF(ROW()-1&lt;=$L$2+$M$2+$N$2,IFERROR(INDEX(CLOZE_LIST!$A:$K,ROW()-1-$L$2-$M$2+1,5),""),IF(ROW()-1&lt;=$L$2+$M$2+$N$2+$O$2,IFERROR(INDEX(PROFORMA!$A:$K,ROW()-1-$L$2-$M$2-$N$2+1,5),""),"")))))</f>
        <v>cloze_list</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t="str">
        <f>IF(ROW()-1&lt;=0,"",IF(ROW()-1&lt;=$L$2,IFERROR(INDEX(MCQ!$A:$K,ROW()-1+1,5),""),IF(ROW()-1&lt;=$L$2+$M$2,IFERROR(INDEX(CLOZE_AB!$A:$K,ROW()-1-$L$2+1,5),""),IF(ROW()-1&lt;=$L$2+$M$2+$N$2,IFERROR(INDEX(CLOZE_LIST!$A:$K,ROW()-1-$L$2-$M$2+1,5),""),IF(ROW()-1&lt;=$L$2+$M$2+$N$2+$O$2,IFERROR(INDEX(PROFORMA!$A:$K,ROW()-1-$L$2-$M$2-$N$2+1,5),""),"")))))</f>
        <v>cloze_list</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t="str">
        <f>IF(ROW()-1&lt;=0,"",IF(ROW()-1&lt;=$L$2,IFERROR(INDEX(MCQ!$A:$K,ROW()-1+1,5),""),IF(ROW()-1&lt;=$L$2+$M$2,IFERROR(INDEX(CLOZE_AB!$A:$K,ROW()-1-$L$2+1,5),""),IF(ROW()-1&lt;=$L$2+$M$2+$N$2,IFERROR(INDEX(CLOZE_LIST!$A:$K,ROW()-1-$L$2-$M$2+1,5),""),IF(ROW()-1&lt;=$L$2+$M$2+$N$2+$O$2,IFERROR(INDEX(PROFORMA!$A:$K,ROW()-1-$L$2-$M$2-$N$2+1,5),""),"")))))</f>
        <v>cloze_list</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t="str">
        <f>IF(ROW()-1&lt;=0,"",IF(ROW()-1&lt;=$L$2,IFERROR(INDEX(MCQ!$A:$K,ROW()-1+1,5),""),IF(ROW()-1&lt;=$L$2+$M$2,IFERROR(INDEX(CLOZE_AB!$A:$K,ROW()-1-$L$2+1,5),""),IF(ROW()-1&lt;=$L$2+$M$2+$N$2,IFERROR(INDEX(CLOZE_LIST!$A:$K,ROW()-1-$L$2-$M$2+1,5),""),IF(ROW()-1&lt;=$L$2+$M$2+$N$2+$O$2,IFERROR(INDEX(PROFORMA!$A:$K,ROW()-1-$L$2-$M$2-$N$2+1,5),""),"")))))</f>
        <v>cloze_list</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t="str">
        <f>IF(ROW()-1&lt;=0,"",IF(ROW()-1&lt;=$L$2,IFERROR(INDEX(MCQ!$A:$K,ROW()-1+1,5),""),IF(ROW()-1&lt;=$L$2+$M$2,IFERROR(INDEX(CLOZE_AB!$A:$K,ROW()-1-$L$2+1,5),""),IF(ROW()-1&lt;=$L$2+$M$2+$N$2,IFERROR(INDEX(CLOZE_LIST!$A:$K,ROW()-1-$L$2-$M$2+1,5),""),IF(ROW()-1&lt;=$L$2+$M$2+$N$2+$O$2,IFERROR(INDEX(PROFORMA!$A:$K,ROW()-1-$L$2-$M$2-$N$2+1,5),""),"")))))</f>
        <v>cloze_list</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t="str">
        <f>IF(ROW()-1&lt;=0,"",IF(ROW()-1&lt;=$L$2,IFERROR(INDEX(MCQ!$A:$K,ROW()-1+1,5),""),IF(ROW()-1&lt;=$L$2+$M$2,IFERROR(INDEX(CLOZE_AB!$A:$K,ROW()-1-$L$2+1,5),""),IF(ROW()-1&lt;=$L$2+$M$2+$N$2,IFERROR(INDEX(CLOZE_LIST!$A:$K,ROW()-1-$L$2-$M$2+1,5),""),IF(ROW()-1&lt;=$L$2+$M$2+$N$2+$O$2,IFERROR(INDEX(PROFORMA!$A:$K,ROW()-1-$L$2-$M$2-$N$2+1,5),""),"")))))</f>
        <v>cloze_list</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t="str">
        <f>IF(ROW()-1&lt;=0,"",IF(ROW()-1&lt;=$L$2,IFERROR(INDEX(MCQ!$A:$K,ROW()-1+1,5),""),IF(ROW()-1&lt;=$L$2+$M$2,IFERROR(INDEX(CLOZE_AB!$A:$K,ROW()-1-$L$2+1,5),""),IF(ROW()-1&lt;=$L$2+$M$2+$N$2,IFERROR(INDEX(CLOZE_LIST!$A:$K,ROW()-1-$L$2-$M$2+1,5),""),IF(ROW()-1&lt;=$L$2+$M$2+$N$2+$O$2,IFERROR(INDEX(PROFORMA!$A:$K,ROW()-1-$L$2-$M$2-$N$2+1,5),""),"")))))</f>
        <v>cloze_list</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t="str">
        <f>IF(ROW()-1&lt;=0,"",IF(ROW()-1&lt;=$L$2,IFERROR(INDEX(MCQ!$A:$K,ROW()-1+1,5),""),IF(ROW()-1&lt;=$L$2+$M$2,IFERROR(INDEX(CLOZE_AB!$A:$K,ROW()-1-$L$2+1,5),""),IF(ROW()-1&lt;=$L$2+$M$2+$N$2,IFERROR(INDEX(CLOZE_LIST!$A:$K,ROW()-1-$L$2-$M$2+1,5),""),IF(ROW()-1&lt;=$L$2+$M$2+$N$2+$O$2,IFERROR(INDEX(PROFORMA!$A:$K,ROW()-1-$L$2-$M$2-$N$2+1,5),""),"")))))</f>
        <v>cloze_list</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t="str">
        <f>IF(ROW()-1&lt;=0,"",IF(ROW()-1&lt;=$L$2,IFERROR(INDEX(MCQ!$A:$K,ROW()-1+1,5),""),IF(ROW()-1&lt;=$L$2+$M$2,IFERROR(INDEX(CLOZE_AB!$A:$K,ROW()-1-$L$2+1,5),""),IF(ROW()-1&lt;=$L$2+$M$2+$N$2,IFERROR(INDEX(CLOZE_LIST!$A:$K,ROW()-1-$L$2-$M$2+1,5),""),IF(ROW()-1&lt;=$L$2+$M$2+$N$2+$O$2,IFERROR(INDEX(PROFORMA!$A:$K,ROW()-1-$L$2-$M$2-$N$2+1,5),""),"")))))</f>
        <v>cloze_list</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t="str">
        <f>IF(ROW()-1&lt;=0,"",IF(ROW()-1&lt;=$L$2,IFERROR(INDEX(MCQ!$A:$K,ROW()-1+1,5),""),IF(ROW()-1&lt;=$L$2+$M$2,IFERROR(INDEX(CLOZE_AB!$A:$K,ROW()-1-$L$2+1,5),""),IF(ROW()-1&lt;=$L$2+$M$2+$N$2,IFERROR(INDEX(CLOZE_LIST!$A:$K,ROW()-1-$L$2-$M$2+1,5),""),IF(ROW()-1&lt;=$L$2+$M$2+$N$2+$O$2,IFERROR(INDEX(PROFORMA!$A:$K,ROW()-1-$L$2-$M$2-$N$2+1,5),""),"")))))</f>
        <v>cloze_list</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t="str">
        <f>IF(ROW()-1&lt;=0,"",IF(ROW()-1&lt;=$L$2,IFERROR(INDEX(MCQ!$A:$K,ROW()-1+1,5),""),IF(ROW()-1&lt;=$L$2+$M$2,IFERROR(INDEX(CLOZE_AB!$A:$K,ROW()-1-$L$2+1,5),""),IF(ROW()-1&lt;=$L$2+$M$2+$N$2,IFERROR(INDEX(CLOZE_LIST!$A:$K,ROW()-1-$L$2-$M$2+1,5),""),IF(ROW()-1&lt;=$L$2+$M$2+$N$2+$O$2,IFERROR(INDEX(PROFORMA!$A:$K,ROW()-1-$L$2-$M$2-$N$2+1,5),""),"")))))</f>
        <v>cloze_list</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t="str">
        <f>IF(ROW()-1&lt;=0,"",IF(ROW()-1&lt;=$L$2,IFERROR(INDEX(MCQ!$A:$K,ROW()-1+1,5),""),IF(ROW()-1&lt;=$L$2+$M$2,IFERROR(INDEX(CLOZE_AB!$A:$K,ROW()-1-$L$2+1,5),""),IF(ROW()-1&lt;=$L$2+$M$2+$N$2,IFERROR(INDEX(CLOZE_LIST!$A:$K,ROW()-1-$L$2-$M$2+1,5),""),IF(ROW()-1&lt;=$L$2+$M$2+$N$2+$O$2,IFERROR(INDEX(PROFORMA!$A:$K,ROW()-1-$L$2-$M$2-$N$2+1,5),""),"")))))</f>
        <v>cloze_list</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t="str">
        <f>IF(ROW()-1&lt;=0,"",IF(ROW()-1&lt;=$L$2,IFERROR(INDEX(MCQ!$A:$K,ROW()-1+1,5),""),IF(ROW()-1&lt;=$L$2+$M$2,IFERROR(INDEX(CLOZE_AB!$A:$K,ROW()-1-$L$2+1,5),""),IF(ROW()-1&lt;=$L$2+$M$2+$N$2,IFERROR(INDEX(CLOZE_LIST!$A:$K,ROW()-1-$L$2-$M$2+1,5),""),IF(ROW()-1&lt;=$L$2+$M$2+$N$2+$O$2,IFERROR(INDEX(PROFORMA!$A:$K,ROW()-1-$L$2-$M$2-$N$2+1,5),""),"")))))</f>
        <v>cloze_list</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t="str">
        <f>IF(ROW()-1&lt;=0,"",IF(ROW()-1&lt;=$L$2,IFERROR(INDEX(MCQ!$A:$K,ROW()-1+1,5),""),IF(ROW()-1&lt;=$L$2+$M$2,IFERROR(INDEX(CLOZE_AB!$A:$K,ROW()-1-$L$2+1,5),""),IF(ROW()-1&lt;=$L$2+$M$2+$N$2,IFERROR(INDEX(CLOZE_LIST!$A:$K,ROW()-1-$L$2-$M$2+1,5),""),IF(ROW()-1&lt;=$L$2+$M$2+$N$2+$O$2,IFERROR(INDEX(PROFORMA!$A:$K,ROW()-1-$L$2-$M$2-$N$2+1,5),""),"")))))</f>
        <v>cloze_list</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t="str">
        <f>IF(ROW()-1&lt;=0,"",IF(ROW()-1&lt;=$L$2,IFERROR(INDEX(MCQ!$A:$K,ROW()-1+1,5),""),IF(ROW()-1&lt;=$L$2+$M$2,IFERROR(INDEX(CLOZE_AB!$A:$K,ROW()-1-$L$2+1,5),""),IF(ROW()-1&lt;=$L$2+$M$2+$N$2,IFERROR(INDEX(CLOZE_LIST!$A:$K,ROW()-1-$L$2-$M$2+1,5),""),IF(ROW()-1&lt;=$L$2+$M$2+$N$2+$O$2,IFERROR(INDEX(PROFORMA!$A:$K,ROW()-1-$L$2-$M$2-$N$2+1,5),""),"")))))</f>
        <v>cloze_list</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t="str">
        <f>IF(ROW()-1&lt;=0,"",IF(ROW()-1&lt;=$L$2,IFERROR(INDEX(MCQ!$A:$K,ROW()-1+1,5),""),IF(ROW()-1&lt;=$L$2+$M$2,IFERROR(INDEX(CLOZE_AB!$A:$K,ROW()-1-$L$2+1,5),""),IF(ROW()-1&lt;=$L$2+$M$2+$N$2,IFERROR(INDEX(CLOZE_LIST!$A:$K,ROW()-1-$L$2-$M$2+1,5),""),IF(ROW()-1&lt;=$L$2+$M$2+$N$2+$O$2,IFERROR(INDEX(PROFORMA!$A:$K,ROW()-1-$L$2-$M$2-$N$2+1,5),""),"")))))</f>
        <v>cloze_list</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t="str">
        <f>IF(ROW()-1&lt;=0,"",IF(ROW()-1&lt;=$L$2,IFERROR(INDEX(MCQ!$A:$K,ROW()-1+1,5),""),IF(ROW()-1&lt;=$L$2+$M$2,IFERROR(INDEX(CLOZE_AB!$A:$K,ROW()-1-$L$2+1,5),""),IF(ROW()-1&lt;=$L$2+$M$2+$N$2,IFERROR(INDEX(CLOZE_LIST!$A:$K,ROW()-1-$L$2-$M$2+1,5),""),IF(ROW()-1&lt;=$L$2+$M$2+$N$2+$O$2,IFERROR(INDEX(PROFORMA!$A:$K,ROW()-1-$L$2-$M$2-$N$2+1,5),""),"")))))</f>
        <v>cloze_list</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t="str">
        <f>IF(ROW()-1&lt;=0,"",IF(ROW()-1&lt;=$L$2,IFERROR(INDEX(MCQ!$A:$K,ROW()-1+1,5),""),IF(ROW()-1&lt;=$L$2+$M$2,IFERROR(INDEX(CLOZE_AB!$A:$K,ROW()-1-$L$2+1,5),""),IF(ROW()-1&lt;=$L$2+$M$2+$N$2,IFERROR(INDEX(CLOZE_LIST!$A:$K,ROW()-1-$L$2-$M$2+1,5),""),IF(ROW()-1&lt;=$L$2+$M$2+$N$2+$O$2,IFERROR(INDEX(PROFORMA!$A:$K,ROW()-1-$L$2-$M$2-$N$2+1,5),""),"")))))</f>
        <v>cloze_list</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t="str">
        <f>IF(ROW()-1&lt;=0,"",IF(ROW()-1&lt;=$L$2,IFERROR(INDEX(MCQ!$A:$K,ROW()-1+1,5),""),IF(ROW()-1&lt;=$L$2+$M$2,IFERROR(INDEX(CLOZE_AB!$A:$K,ROW()-1-$L$2+1,5),""),IF(ROW()-1&lt;=$L$2+$M$2+$N$2,IFERROR(INDEX(CLOZE_LIST!$A:$K,ROW()-1-$L$2-$M$2+1,5),""),IF(ROW()-1&lt;=$L$2+$M$2+$N$2+$O$2,IFERROR(INDEX(PROFORMA!$A:$K,ROW()-1-$L$2-$M$2-$N$2+1,5),""),"")))))</f>
        <v>cloze_list</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t="str">
        <f>IF(ROW()-1&lt;=0,"",IF(ROW()-1&lt;=$L$2,IFERROR(INDEX(MCQ!$A:$K,ROW()-1+1,5),""),IF(ROW()-1&lt;=$L$2+$M$2,IFERROR(INDEX(CLOZE_AB!$A:$K,ROW()-1-$L$2+1,5),""),IF(ROW()-1&lt;=$L$2+$M$2+$N$2,IFERROR(INDEX(CLOZE_LIST!$A:$K,ROW()-1-$L$2-$M$2+1,5),""),IF(ROW()-1&lt;=$L$2+$M$2+$N$2+$O$2,IFERROR(INDEX(PROFORMA!$A:$K,ROW()-1-$L$2-$M$2-$N$2+1,5),""),"")))))</f>
        <v>cloze_list</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t="str">
        <f>IF(ROW()-1&lt;=0,"",IF(ROW()-1&lt;=$L$2,IFERROR(INDEX(MCQ!$A:$K,ROW()-1+1,5),""),IF(ROW()-1&lt;=$L$2+$M$2,IFERROR(INDEX(CLOZE_AB!$A:$K,ROW()-1-$L$2+1,5),""),IF(ROW()-1&lt;=$L$2+$M$2+$N$2,IFERROR(INDEX(CLOZE_LIST!$A:$K,ROW()-1-$L$2-$M$2+1,5),""),IF(ROW()-1&lt;=$L$2+$M$2+$N$2+$O$2,IFERROR(INDEX(PROFORMA!$A:$K,ROW()-1-$L$2-$M$2-$N$2+1,5),""),"")))))</f>
        <v>cloze_list</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t="str">
        <f>IF(ROW()-1&lt;=0,"",IF(ROW()-1&lt;=$L$2,IFERROR(INDEX(MCQ!$A:$K,ROW()-1+1,5),""),IF(ROW()-1&lt;=$L$2+$M$2,IFERROR(INDEX(CLOZE_AB!$A:$K,ROW()-1-$L$2+1,5),""),IF(ROW()-1&lt;=$L$2+$M$2+$N$2,IFERROR(INDEX(CLOZE_LIST!$A:$K,ROW()-1-$L$2-$M$2+1,5),""),IF(ROW()-1&lt;=$L$2+$M$2+$N$2+$O$2,IFERROR(INDEX(PROFORMA!$A:$K,ROW()-1-$L$2-$M$2-$N$2+1,5),""),"")))))</f>
        <v>cloze_list</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t="str">
        <f>IF(ROW()-1&lt;=0,"",IF(ROW()-1&lt;=$L$2,IFERROR(INDEX(MCQ!$A:$K,ROW()-1+1,5),""),IF(ROW()-1&lt;=$L$2+$M$2,IFERROR(INDEX(CLOZE_AB!$A:$K,ROW()-1-$L$2+1,5),""),IF(ROW()-1&lt;=$L$2+$M$2+$N$2,IFERROR(INDEX(CLOZE_LIST!$A:$K,ROW()-1-$L$2-$M$2+1,5),""),IF(ROW()-1&lt;=$L$2+$M$2+$N$2+$O$2,IFERROR(INDEX(PROFORMA!$A:$K,ROW()-1-$L$2-$M$2-$N$2+1,5),""),"")))))</f>
        <v>cloze_list</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t="str">
        <f>IF(ROW()-1&lt;=0,"",IF(ROW()-1&lt;=$L$2,IFERROR(INDEX(MCQ!$A:$K,ROW()-1+1,5),""),IF(ROW()-1&lt;=$L$2+$M$2,IFERROR(INDEX(CLOZE_AB!$A:$K,ROW()-1-$L$2+1,5),""),IF(ROW()-1&lt;=$L$2+$M$2+$N$2,IFERROR(INDEX(CLOZE_LIST!$A:$K,ROW()-1-$L$2-$M$2+1,5),""),IF(ROW()-1&lt;=$L$2+$M$2+$N$2+$O$2,IFERROR(INDEX(PROFORMA!$A:$K,ROW()-1-$L$2-$M$2-$N$2+1,5),""),"")))))</f>
        <v>cloze_list</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t="str">
        <f>IF(ROW()-1&lt;=0,"",IF(ROW()-1&lt;=$L$2,IFERROR(INDEX(MCQ!$A:$K,ROW()-1+1,5),""),IF(ROW()-1&lt;=$L$2+$M$2,IFERROR(INDEX(CLOZE_AB!$A:$K,ROW()-1-$L$2+1,5),""),IF(ROW()-1&lt;=$L$2+$M$2+$N$2,IFERROR(INDEX(CLOZE_LIST!$A:$K,ROW()-1-$L$2-$M$2+1,5),""),IF(ROW()-1&lt;=$L$2+$M$2+$N$2+$O$2,IFERROR(INDEX(PROFORMA!$A:$K,ROW()-1-$L$2-$M$2-$N$2+1,5),""),"")))))</f>
        <v>cloze_list</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t="str">
        <f>IF(ROW()-1&lt;=0,"",IF(ROW()-1&lt;=$L$2,IFERROR(INDEX(MCQ!$A:$K,ROW()-1+1,5),""),IF(ROW()-1&lt;=$L$2+$M$2,IFERROR(INDEX(CLOZE_AB!$A:$K,ROW()-1-$L$2+1,5),""),IF(ROW()-1&lt;=$L$2+$M$2+$N$2,IFERROR(INDEX(CLOZE_LIST!$A:$K,ROW()-1-$L$2-$M$2+1,5),""),IF(ROW()-1&lt;=$L$2+$M$2+$N$2+$O$2,IFERROR(INDEX(PROFORMA!$A:$K,ROW()-1-$L$2-$M$2-$N$2+1,5),""),"")))))</f>
        <v>cloze_list</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t="str">
        <f>IF(ROW()-1&lt;=0,"",IF(ROW()-1&lt;=$L$2,IFERROR(INDEX(MCQ!$A:$K,ROW()-1+1,5),""),IF(ROW()-1&lt;=$L$2+$M$2,IFERROR(INDEX(CLOZE_AB!$A:$K,ROW()-1-$L$2+1,5),""),IF(ROW()-1&lt;=$L$2+$M$2+$N$2,IFERROR(INDEX(CLOZE_LIST!$A:$K,ROW()-1-$L$2-$M$2+1,5),""),IF(ROW()-1&lt;=$L$2+$M$2+$N$2+$O$2,IFERROR(INDEX(PROFORMA!$A:$K,ROW()-1-$L$2-$M$2-$N$2+1,5),""),"")))))</f>
        <v>cloze_list</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t="str">
        <f>IF(ROW()-1&lt;=0,"",IF(ROW()-1&lt;=$L$2,IFERROR(INDEX(MCQ!$A:$K,ROW()-1+1,5),""),IF(ROW()-1&lt;=$L$2+$M$2,IFERROR(INDEX(CLOZE_AB!$A:$K,ROW()-1-$L$2+1,5),""),IF(ROW()-1&lt;=$L$2+$M$2+$N$2,IFERROR(INDEX(CLOZE_LIST!$A:$K,ROW()-1-$L$2-$M$2+1,5),""),IF(ROW()-1&lt;=$L$2+$M$2+$N$2+$O$2,IFERROR(INDEX(PROFORMA!$A:$K,ROW()-1-$L$2-$M$2-$N$2+1,5),""),"")))))</f>
        <v>cloze_list</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t="str">
        <f>IF(ROW()-1&lt;=0,"",IF(ROW()-1&lt;=$L$2,IFERROR(INDEX(MCQ!$A:$K,ROW()-1+1,5),""),IF(ROW()-1&lt;=$L$2+$M$2,IFERROR(INDEX(CLOZE_AB!$A:$K,ROW()-1-$L$2+1,5),""),IF(ROW()-1&lt;=$L$2+$M$2+$N$2,IFERROR(INDEX(CLOZE_LIST!$A:$K,ROW()-1-$L$2-$M$2+1,5),""),IF(ROW()-1&lt;=$L$2+$M$2+$N$2+$O$2,IFERROR(INDEX(PROFORMA!$A:$K,ROW()-1-$L$2-$M$2-$N$2+1,5),""),"")))))</f>
        <v>cloze_list</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t="str">
        <f>IF(ROW()-1&lt;=0,"",IF(ROW()-1&lt;=$L$2,IFERROR(INDEX(MCQ!$A:$K,ROW()-1+1,5),""),IF(ROW()-1&lt;=$L$2+$M$2,IFERROR(INDEX(CLOZE_AB!$A:$K,ROW()-1-$L$2+1,5),""),IF(ROW()-1&lt;=$L$2+$M$2+$N$2,IFERROR(INDEX(CLOZE_LIST!$A:$K,ROW()-1-$L$2-$M$2+1,5),""),IF(ROW()-1&lt;=$L$2+$M$2+$N$2+$O$2,IFERROR(INDEX(PROFORMA!$A:$K,ROW()-1-$L$2-$M$2-$N$2+1,5),""),"")))))</f>
        <v>cloze_list</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t="str">
        <f>IF(ROW()-1&lt;=0,"",IF(ROW()-1&lt;=$L$2,IFERROR(INDEX(MCQ!$A:$K,ROW()-1+1,5),""),IF(ROW()-1&lt;=$L$2+$M$2,IFERROR(INDEX(CLOZE_AB!$A:$K,ROW()-1-$L$2+1,5),""),IF(ROW()-1&lt;=$L$2+$M$2+$N$2,IFERROR(INDEX(CLOZE_LIST!$A:$K,ROW()-1-$L$2-$M$2+1,5),""),IF(ROW()-1&lt;=$L$2+$M$2+$N$2+$O$2,IFERROR(INDEX(PROFORMA!$A:$K,ROW()-1-$L$2-$M$2-$N$2+1,5),""),"")))))</f>
        <v>cloze_list</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t="str">
        <f>IF(ROW()-1&lt;=0,"",IF(ROW()-1&lt;=$L$2,IFERROR(INDEX(MCQ!$A:$K,ROW()-1+1,5),""),IF(ROW()-1&lt;=$L$2+$M$2,IFERROR(INDEX(CLOZE_AB!$A:$K,ROW()-1-$L$2+1,5),""),IF(ROW()-1&lt;=$L$2+$M$2+$N$2,IFERROR(INDEX(CLOZE_LIST!$A:$K,ROW()-1-$L$2-$M$2+1,5),""),IF(ROW()-1&lt;=$L$2+$M$2+$N$2+$O$2,IFERROR(INDEX(PROFORMA!$A:$K,ROW()-1-$L$2-$M$2-$N$2+1,5),""),"")))))</f>
        <v>cloze_list</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t="str">
        <f>IF(ROW()-1&lt;=0,"",IF(ROW()-1&lt;=$L$2,IFERROR(INDEX(MCQ!$A:$K,ROW()-1+1,5),""),IF(ROW()-1&lt;=$L$2+$M$2,IFERROR(INDEX(CLOZE_AB!$A:$K,ROW()-1-$L$2+1,5),""),IF(ROW()-1&lt;=$L$2+$M$2+$N$2,IFERROR(INDEX(CLOZE_LIST!$A:$K,ROW()-1-$L$2-$M$2+1,5),""),IF(ROW()-1&lt;=$L$2+$M$2+$N$2+$O$2,IFERROR(INDEX(PROFORMA!$A:$K,ROW()-1-$L$2-$M$2-$N$2+1,5),""),"")))))</f>
        <v>cloze_list</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t="str">
        <f>IF(ROW()-1&lt;=0,"",IF(ROW()-1&lt;=$L$2,IFERROR(INDEX(MCQ!$A:$K,ROW()-1+1,5),""),IF(ROW()-1&lt;=$L$2+$M$2,IFERROR(INDEX(CLOZE_AB!$A:$K,ROW()-1-$L$2+1,5),""),IF(ROW()-1&lt;=$L$2+$M$2+$N$2,IFERROR(INDEX(CLOZE_LIST!$A:$K,ROW()-1-$L$2-$M$2+1,5),""),IF(ROW()-1&lt;=$L$2+$M$2+$N$2+$O$2,IFERROR(INDEX(PROFORMA!$A:$K,ROW()-1-$L$2-$M$2-$N$2+1,5),""),"")))))</f>
        <v>cloze_list</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t="str">
        <f>IF(ROW()-1&lt;=0,"",IF(ROW()-1&lt;=$L$2,IFERROR(INDEX(MCQ!$A:$K,ROW()-1+1,5),""),IF(ROW()-1&lt;=$L$2+$M$2,IFERROR(INDEX(CLOZE_AB!$A:$K,ROW()-1-$L$2+1,5),""),IF(ROW()-1&lt;=$L$2+$M$2+$N$2,IFERROR(INDEX(CLOZE_LIST!$A:$K,ROW()-1-$L$2-$M$2+1,5),""),IF(ROW()-1&lt;=$L$2+$M$2+$N$2+$O$2,IFERROR(INDEX(PROFORMA!$A:$K,ROW()-1-$L$2-$M$2-$N$2+1,5),""),"")))))</f>
        <v>cloze_list</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t="str">
        <f>IF(ROW()-1&lt;=0,"",IF(ROW()-1&lt;=$L$2,IFERROR(INDEX(MCQ!$A:$K,ROW()-1+1,5),""),IF(ROW()-1&lt;=$L$2+$M$2,IFERROR(INDEX(CLOZE_AB!$A:$K,ROW()-1-$L$2+1,5),""),IF(ROW()-1&lt;=$L$2+$M$2+$N$2,IFERROR(INDEX(CLOZE_LIST!$A:$K,ROW()-1-$L$2-$M$2+1,5),""),IF(ROW()-1&lt;=$L$2+$M$2+$N$2+$O$2,IFERROR(INDEX(PROFORMA!$A:$K,ROW()-1-$L$2-$M$2-$N$2+1,5),""),"")))))</f>
        <v>cloze_list</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t="str">
        <f>IF(ROW()-1&lt;=0,"",IF(ROW()-1&lt;=$L$2,IFERROR(INDEX(MCQ!$A:$K,ROW()-1+1,5),""),IF(ROW()-1&lt;=$L$2+$M$2,IFERROR(INDEX(CLOZE_AB!$A:$K,ROW()-1-$L$2+1,5),""),IF(ROW()-1&lt;=$L$2+$M$2+$N$2,IFERROR(INDEX(CLOZE_LIST!$A:$K,ROW()-1-$L$2-$M$2+1,5),""),IF(ROW()-1&lt;=$L$2+$M$2+$N$2+$O$2,IFERROR(INDEX(PROFORMA!$A:$K,ROW()-1-$L$2-$M$2-$N$2+1,5),""),"")))))</f>
        <v>cloze_list</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t="str">
        <f>IF(ROW()-1&lt;=0,"",IF(ROW()-1&lt;=$L$2,IFERROR(INDEX(MCQ!$A:$K,ROW()-1+1,5),""),IF(ROW()-1&lt;=$L$2+$M$2,IFERROR(INDEX(CLOZE_AB!$A:$K,ROW()-1-$L$2+1,5),""),IF(ROW()-1&lt;=$L$2+$M$2+$N$2,IFERROR(INDEX(CLOZE_LIST!$A:$K,ROW()-1-$L$2-$M$2+1,5),""),IF(ROW()-1&lt;=$L$2+$M$2+$N$2+$O$2,IFERROR(INDEX(PROFORMA!$A:$K,ROW()-1-$L$2-$M$2-$N$2+1,5),""),"")))))</f>
        <v>cloze_list</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t="str">
        <f>IF(ROW()-1&lt;=0,"",IF(ROW()-1&lt;=$L$2,IFERROR(INDEX(MCQ!$A:$K,ROW()-1+1,5),""),IF(ROW()-1&lt;=$L$2+$M$2,IFERROR(INDEX(CLOZE_AB!$A:$K,ROW()-1-$L$2+1,5),""),IF(ROW()-1&lt;=$L$2+$M$2+$N$2,IFERROR(INDEX(CLOZE_LIST!$A:$K,ROW()-1-$L$2-$M$2+1,5),""),IF(ROW()-1&lt;=$L$2+$M$2+$N$2+$O$2,IFERROR(INDEX(PROFORMA!$A:$K,ROW()-1-$L$2-$M$2-$N$2+1,5),""),"")))))</f>
        <v>cloze_list</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t="str">
        <f>IF(ROW()-1&lt;=0,"",IF(ROW()-1&lt;=$L$2,IFERROR(INDEX(MCQ!$A:$K,ROW()-1+1,5),""),IF(ROW()-1&lt;=$L$2+$M$2,IFERROR(INDEX(CLOZE_AB!$A:$K,ROW()-1-$L$2+1,5),""),IF(ROW()-1&lt;=$L$2+$M$2+$N$2,IFERROR(INDEX(CLOZE_LIST!$A:$K,ROW()-1-$L$2-$M$2+1,5),""),IF(ROW()-1&lt;=$L$2+$M$2+$N$2+$O$2,IFERROR(INDEX(PROFORMA!$A:$K,ROW()-1-$L$2-$M$2-$N$2+1,5),""),"")))))</f>
        <v>cloze_list</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t="str">
        <f>IF(ROW()-1&lt;=0,"",IF(ROW()-1&lt;=$L$2,IFERROR(INDEX(MCQ!$A:$K,ROW()-1+1,5),""),IF(ROW()-1&lt;=$L$2+$M$2,IFERROR(INDEX(CLOZE_AB!$A:$K,ROW()-1-$L$2+1,5),""),IF(ROW()-1&lt;=$L$2+$M$2+$N$2,IFERROR(INDEX(CLOZE_LIST!$A:$K,ROW()-1-$L$2-$M$2+1,5),""),IF(ROW()-1&lt;=$L$2+$M$2+$N$2+$O$2,IFERROR(INDEX(PROFORMA!$A:$K,ROW()-1-$L$2-$M$2-$N$2+1,5),""),"")))))</f>
        <v>cloze_list</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t="str">
        <f>IF(ROW()-1&lt;=0,"",IF(ROW()-1&lt;=$L$2,IFERROR(INDEX(MCQ!$A:$K,ROW()-1+1,5),""),IF(ROW()-1&lt;=$L$2+$M$2,IFERROR(INDEX(CLOZE_AB!$A:$K,ROW()-1-$L$2+1,5),""),IF(ROW()-1&lt;=$L$2+$M$2+$N$2,IFERROR(INDEX(CLOZE_LIST!$A:$K,ROW()-1-$L$2-$M$2+1,5),""),IF(ROW()-1&lt;=$L$2+$M$2+$N$2+$O$2,IFERROR(INDEX(PROFORMA!$A:$K,ROW()-1-$L$2-$M$2-$N$2+1,5),""),"")))))</f>
        <v>cloze_list</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t="str">
        <f>IF(ROW()-1&lt;=0,"",IF(ROW()-1&lt;=$L$2,IFERROR(INDEX(MCQ!$A:$K,ROW()-1+1,5),""),IF(ROW()-1&lt;=$L$2+$M$2,IFERROR(INDEX(CLOZE_AB!$A:$K,ROW()-1-$L$2+1,5),""),IF(ROW()-1&lt;=$L$2+$M$2+$N$2,IFERROR(INDEX(CLOZE_LIST!$A:$K,ROW()-1-$L$2-$M$2+1,5),""),IF(ROW()-1&lt;=$L$2+$M$2+$N$2+$O$2,IFERROR(INDEX(PROFORMA!$A:$K,ROW()-1-$L$2-$M$2-$N$2+1,5),""),"")))))</f>
        <v>cloze_list</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t="str">
        <f>IF(ROW()-1&lt;=0,"",IF(ROW()-1&lt;=$L$2,IFERROR(INDEX(MCQ!$A:$K,ROW()-1+1,5),""),IF(ROW()-1&lt;=$L$2+$M$2,IFERROR(INDEX(CLOZE_AB!$A:$K,ROW()-1-$L$2+1,5),""),IF(ROW()-1&lt;=$L$2+$M$2+$N$2,IFERROR(INDEX(CLOZE_LIST!$A:$K,ROW()-1-$L$2-$M$2+1,5),""),IF(ROW()-1&lt;=$L$2+$M$2+$N$2+$O$2,IFERROR(INDEX(PROFORMA!$A:$K,ROW()-1-$L$2-$M$2-$N$2+1,5),""),"")))))</f>
        <v>cloze_list</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t="str">
        <f>IF(ROW()-1&lt;=0,"",IF(ROW()-1&lt;=$L$2,IFERROR(INDEX(MCQ!$A:$K,ROW()-1+1,5),""),IF(ROW()-1&lt;=$L$2+$M$2,IFERROR(INDEX(CLOZE_AB!$A:$K,ROW()-1-$L$2+1,5),""),IF(ROW()-1&lt;=$L$2+$M$2+$N$2,IFERROR(INDEX(CLOZE_LIST!$A:$K,ROW()-1-$L$2-$M$2+1,5),""),IF(ROW()-1&lt;=$L$2+$M$2+$N$2+$O$2,IFERROR(INDEX(PROFORMA!$A:$K,ROW()-1-$L$2-$M$2-$N$2+1,5),""),"")))))</f>
        <v>cloze_list</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t="str">
        <f>IF(ROW()-1&lt;=0,"",IF(ROW()-1&lt;=$L$2,IFERROR(INDEX(MCQ!$A:$K,ROW()-1+1,5),""),IF(ROW()-1&lt;=$L$2+$M$2,IFERROR(INDEX(CLOZE_AB!$A:$K,ROW()-1-$L$2+1,5),""),IF(ROW()-1&lt;=$L$2+$M$2+$N$2,IFERROR(INDEX(CLOZE_LIST!$A:$K,ROW()-1-$L$2-$M$2+1,5),""),IF(ROW()-1&lt;=$L$2+$M$2+$N$2+$O$2,IFERROR(INDEX(PROFORMA!$A:$K,ROW()-1-$L$2-$M$2-$N$2+1,5),""),"")))))</f>
        <v>cloze_list</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t="str">
        <f>IF(ROW()-1&lt;=0,"",IF(ROW()-1&lt;=$L$2,IFERROR(INDEX(MCQ!$A:$K,ROW()-1+1,5),""),IF(ROW()-1&lt;=$L$2+$M$2,IFERROR(INDEX(CLOZE_AB!$A:$K,ROW()-1-$L$2+1,5),""),IF(ROW()-1&lt;=$L$2+$M$2+$N$2,IFERROR(INDEX(CLOZE_LIST!$A:$K,ROW()-1-$L$2-$M$2+1,5),""),IF(ROW()-1&lt;=$L$2+$M$2+$N$2+$O$2,IFERROR(INDEX(PROFORMA!$A:$K,ROW()-1-$L$2-$M$2-$N$2+1,5),""),"")))))</f>
        <v>cloze_list</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t="str">
        <f>IF(ROW()-1&lt;=0,"",IF(ROW()-1&lt;=$L$2,IFERROR(INDEX(MCQ!$A:$K,ROW()-1+1,5),""),IF(ROW()-1&lt;=$L$2+$M$2,IFERROR(INDEX(CLOZE_AB!$A:$K,ROW()-1-$L$2+1,5),""),IF(ROW()-1&lt;=$L$2+$M$2+$N$2,IFERROR(INDEX(CLOZE_LIST!$A:$K,ROW()-1-$L$2-$M$2+1,5),""),IF(ROW()-1&lt;=$L$2+$M$2+$N$2+$O$2,IFERROR(INDEX(PROFORMA!$A:$K,ROW()-1-$L$2-$M$2-$N$2+1,5),""),"")))))</f>
        <v>cloze_list</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t="str">
        <f>IF(ROW()-1&lt;=0,"",IF(ROW()-1&lt;=$L$2,IFERROR(INDEX(MCQ!$A:$K,ROW()-1+1,5),""),IF(ROW()-1&lt;=$L$2+$M$2,IFERROR(INDEX(CLOZE_AB!$A:$K,ROW()-1-$L$2+1,5),""),IF(ROW()-1&lt;=$L$2+$M$2+$N$2,IFERROR(INDEX(CLOZE_LIST!$A:$K,ROW()-1-$L$2-$M$2+1,5),""),IF(ROW()-1&lt;=$L$2+$M$2+$N$2+$O$2,IFERROR(INDEX(PROFORMA!$A:$K,ROW()-1-$L$2-$M$2-$N$2+1,5),""),"")))))</f>
        <v>cloze_list</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t="str">
        <f>IF(ROW()-1&lt;=0,"",IF(ROW()-1&lt;=$L$2,IFERROR(INDEX(MCQ!$A:$K,ROW()-1+1,5),""),IF(ROW()-1&lt;=$L$2+$M$2,IFERROR(INDEX(CLOZE_AB!$A:$K,ROW()-1-$L$2+1,5),""),IF(ROW()-1&lt;=$L$2+$M$2+$N$2,IFERROR(INDEX(CLOZE_LIST!$A:$K,ROW()-1-$L$2-$M$2+1,5),""),IF(ROW()-1&lt;=$L$2+$M$2+$N$2+$O$2,IFERROR(INDEX(PROFORMA!$A:$K,ROW()-1-$L$2-$M$2-$N$2+1,5),""),"")))))</f>
        <v>cloze_list</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t="str">
        <f>IF(ROW()-1&lt;=0,"",IF(ROW()-1&lt;=$L$2,IFERROR(INDEX(MCQ!$A:$K,ROW()-1+1,5),""),IF(ROW()-1&lt;=$L$2+$M$2,IFERROR(INDEX(CLOZE_AB!$A:$K,ROW()-1-$L$2+1,5),""),IF(ROW()-1&lt;=$L$2+$M$2+$N$2,IFERROR(INDEX(CLOZE_LIST!$A:$K,ROW()-1-$L$2-$M$2+1,5),""),IF(ROW()-1&lt;=$L$2+$M$2+$N$2+$O$2,IFERROR(INDEX(PROFORMA!$A:$K,ROW()-1-$L$2-$M$2-$N$2+1,5),""),"")))))</f>
        <v>cloze_list</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t="str">
        <f>IF(ROW()-1&lt;=0,"",IF(ROW()-1&lt;=$L$2,IFERROR(INDEX(MCQ!$A:$K,ROW()-1+1,5),""),IF(ROW()-1&lt;=$L$2+$M$2,IFERROR(INDEX(CLOZE_AB!$A:$K,ROW()-1-$L$2+1,5),""),IF(ROW()-1&lt;=$L$2+$M$2+$N$2,IFERROR(INDEX(CLOZE_LIST!$A:$K,ROW()-1-$L$2-$M$2+1,5),""),IF(ROW()-1&lt;=$L$2+$M$2+$N$2+$O$2,IFERROR(INDEX(PROFORMA!$A:$K,ROW()-1-$L$2-$M$2-$N$2+1,5),""),"")))))</f>
        <v>cloze_list</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t="str">
        <f>IF(ROW()-1&lt;=0,"",IF(ROW()-1&lt;=$L$2,IFERROR(INDEX(MCQ!$A:$K,ROW()-1+1,5),""),IF(ROW()-1&lt;=$L$2+$M$2,IFERROR(INDEX(CLOZE_AB!$A:$K,ROW()-1-$L$2+1,5),""),IF(ROW()-1&lt;=$L$2+$M$2+$N$2,IFERROR(INDEX(CLOZE_LIST!$A:$K,ROW()-1-$L$2-$M$2+1,5),""),IF(ROW()-1&lt;=$L$2+$M$2+$N$2+$O$2,IFERROR(INDEX(PROFORMA!$A:$K,ROW()-1-$L$2-$M$2-$N$2+1,5),""),"")))))</f>
        <v>cloze_list</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t="str">
        <f>IF(ROW()-1&lt;=0,"",IF(ROW()-1&lt;=$L$2,IFERROR(INDEX(MCQ!$A:$K,ROW()-1+1,5),""),IF(ROW()-1&lt;=$L$2+$M$2,IFERROR(INDEX(CLOZE_AB!$A:$K,ROW()-1-$L$2+1,5),""),IF(ROW()-1&lt;=$L$2+$M$2+$N$2,IFERROR(INDEX(CLOZE_LIST!$A:$K,ROW()-1-$L$2-$M$2+1,5),""),IF(ROW()-1&lt;=$L$2+$M$2+$N$2+$O$2,IFERROR(INDEX(PROFORMA!$A:$K,ROW()-1-$L$2-$M$2-$N$2+1,5),""),"")))))</f>
        <v>cloze_list</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t="str">
        <f>IF(ROW()-1&lt;=0,"",IF(ROW()-1&lt;=$L$2,IFERROR(INDEX(MCQ!$A:$K,ROW()-1+1,5),""),IF(ROW()-1&lt;=$L$2+$M$2,IFERROR(INDEX(CLOZE_AB!$A:$K,ROW()-1-$L$2+1,5),""),IF(ROW()-1&lt;=$L$2+$M$2+$N$2,IFERROR(INDEX(CLOZE_LIST!$A:$K,ROW()-1-$L$2-$M$2+1,5),""),IF(ROW()-1&lt;=$L$2+$M$2+$N$2+$O$2,IFERROR(INDEX(PROFORMA!$A:$K,ROW()-1-$L$2-$M$2-$N$2+1,5),""),"")))))</f>
        <v>cloze_list</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t="str">
        <f>IF(ROW()-1&lt;=0,"",IF(ROW()-1&lt;=$L$2,IFERROR(INDEX(MCQ!$A:$K,ROW()-1+1,5),""),IF(ROW()-1&lt;=$L$2+$M$2,IFERROR(INDEX(CLOZE_AB!$A:$K,ROW()-1-$L$2+1,5),""),IF(ROW()-1&lt;=$L$2+$M$2+$N$2,IFERROR(INDEX(CLOZE_LIST!$A:$K,ROW()-1-$L$2-$M$2+1,5),""),IF(ROW()-1&lt;=$L$2+$M$2+$N$2+$O$2,IFERROR(INDEX(PROFORMA!$A:$K,ROW()-1-$L$2-$M$2-$N$2+1,5),""),"")))))</f>
        <v>cloze_list</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t="str">
        <f>IF(ROW()-1&lt;=0,"",IF(ROW()-1&lt;=$L$2,IFERROR(INDEX(MCQ!$A:$K,ROW()-1+1,5),""),IF(ROW()-1&lt;=$L$2+$M$2,IFERROR(INDEX(CLOZE_AB!$A:$K,ROW()-1-$L$2+1,5),""),IF(ROW()-1&lt;=$L$2+$M$2+$N$2,IFERROR(INDEX(CLOZE_LIST!$A:$K,ROW()-1-$L$2-$M$2+1,5),""),IF(ROW()-1&lt;=$L$2+$M$2+$N$2+$O$2,IFERROR(INDEX(PROFORMA!$A:$K,ROW()-1-$L$2-$M$2-$N$2+1,5),""),"")))))</f>
        <v>cloze_list</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t="str">
        <f>IF(ROW()-1&lt;=0,"",IF(ROW()-1&lt;=$L$2,IFERROR(INDEX(MCQ!$A:$K,ROW()-1+1,5),""),IF(ROW()-1&lt;=$L$2+$M$2,IFERROR(INDEX(CLOZE_AB!$A:$K,ROW()-1-$L$2+1,5),""),IF(ROW()-1&lt;=$L$2+$M$2+$N$2,IFERROR(INDEX(CLOZE_LIST!$A:$K,ROW()-1-$L$2-$M$2+1,5),""),IF(ROW()-1&lt;=$L$2+$M$2+$N$2+$O$2,IFERROR(INDEX(PROFORMA!$A:$K,ROW()-1-$L$2-$M$2-$N$2+1,5),""),"")))))</f>
        <v>cloze_list</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t="str">
        <f>IF(ROW()-1&lt;=0,"",IF(ROW()-1&lt;=$L$2,IFERROR(INDEX(MCQ!$A:$K,ROW()-1+1,5),""),IF(ROW()-1&lt;=$L$2+$M$2,IFERROR(INDEX(CLOZE_AB!$A:$K,ROW()-1-$L$2+1,5),""),IF(ROW()-1&lt;=$L$2+$M$2+$N$2,IFERROR(INDEX(CLOZE_LIST!$A:$K,ROW()-1-$L$2-$M$2+1,5),""),IF(ROW()-1&lt;=$L$2+$M$2+$N$2+$O$2,IFERROR(INDEX(PROFORMA!$A:$K,ROW()-1-$L$2-$M$2-$N$2+1,5),""),"")))))</f>
        <v>cloze_list</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t="str">
        <f>IF(ROW()-1&lt;=0,"",IF(ROW()-1&lt;=$L$2,IFERROR(INDEX(MCQ!$A:$K,ROW()-1+1,5),""),IF(ROW()-1&lt;=$L$2+$M$2,IFERROR(INDEX(CLOZE_AB!$A:$K,ROW()-1-$L$2+1,5),""),IF(ROW()-1&lt;=$L$2+$M$2+$N$2,IFERROR(INDEX(CLOZE_LIST!$A:$K,ROW()-1-$L$2-$M$2+1,5),""),IF(ROW()-1&lt;=$L$2+$M$2+$N$2+$O$2,IFERROR(INDEX(PROFORMA!$A:$K,ROW()-1-$L$2-$M$2-$N$2+1,5),""),"")))))</f>
        <v>cloze_list</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t="str">
        <f>IF(ROW()-1&lt;=0,"",IF(ROW()-1&lt;=$L$2,IFERROR(INDEX(MCQ!$A:$K,ROW()-1+1,5),""),IF(ROW()-1&lt;=$L$2+$M$2,IFERROR(INDEX(CLOZE_AB!$A:$K,ROW()-1-$L$2+1,5),""),IF(ROW()-1&lt;=$L$2+$M$2+$N$2,IFERROR(INDEX(CLOZE_LIST!$A:$K,ROW()-1-$L$2-$M$2+1,5),""),IF(ROW()-1&lt;=$L$2+$M$2+$N$2+$O$2,IFERROR(INDEX(PROFORMA!$A:$K,ROW()-1-$L$2-$M$2-$N$2+1,5),""),"")))))</f>
        <v>cloze_list</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t="str">
        <f>IF(ROW()-1&lt;=0,"",IF(ROW()-1&lt;=$L$2,IFERROR(INDEX(MCQ!$A:$K,ROW()-1+1,5),""),IF(ROW()-1&lt;=$L$2+$M$2,IFERROR(INDEX(CLOZE_AB!$A:$K,ROW()-1-$L$2+1,5),""),IF(ROW()-1&lt;=$L$2+$M$2+$N$2,IFERROR(INDEX(CLOZE_LIST!$A:$K,ROW()-1-$L$2-$M$2+1,5),""),IF(ROW()-1&lt;=$L$2+$M$2+$N$2+$O$2,IFERROR(INDEX(PROFORMA!$A:$K,ROW()-1-$L$2-$M$2-$N$2+1,5),""),"")))))</f>
        <v>cloze_list</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t="str">
        <f>IF(ROW()-1&lt;=0,"",IF(ROW()-1&lt;=$L$2,IFERROR(INDEX(MCQ!$A:$K,ROW()-1+1,5),""),IF(ROW()-1&lt;=$L$2+$M$2,IFERROR(INDEX(CLOZE_AB!$A:$K,ROW()-1-$L$2+1,5),""),IF(ROW()-1&lt;=$L$2+$M$2+$N$2,IFERROR(INDEX(CLOZE_LIST!$A:$K,ROW()-1-$L$2-$M$2+1,5),""),IF(ROW()-1&lt;=$L$2+$M$2+$N$2+$O$2,IFERROR(INDEX(PROFORMA!$A:$K,ROW()-1-$L$2-$M$2-$N$2+1,5),""),"")))))</f>
        <v>cloze_list</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t="str">
        <f>IF(ROW()-1&lt;=0,"",IF(ROW()-1&lt;=$L$2,IFERROR(INDEX(MCQ!$A:$K,ROW()-1+1,5),""),IF(ROW()-1&lt;=$L$2+$M$2,IFERROR(INDEX(CLOZE_AB!$A:$K,ROW()-1-$L$2+1,5),""),IF(ROW()-1&lt;=$L$2+$M$2+$N$2,IFERROR(INDEX(CLOZE_LIST!$A:$K,ROW()-1-$L$2-$M$2+1,5),""),IF(ROW()-1&lt;=$L$2+$M$2+$N$2+$O$2,IFERROR(INDEX(PROFORMA!$A:$K,ROW()-1-$L$2-$M$2-$N$2+1,5),""),"")))))</f>
        <v>cloze_list</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t="str">
        <f>IF(ROW()-1&lt;=0,"",IF(ROW()-1&lt;=$L$2,IFERROR(INDEX(MCQ!$A:$K,ROW()-1+1,5),""),IF(ROW()-1&lt;=$L$2+$M$2,IFERROR(INDEX(CLOZE_AB!$A:$K,ROW()-1-$L$2+1,5),""),IF(ROW()-1&lt;=$L$2+$M$2+$N$2,IFERROR(INDEX(CLOZE_LIST!$A:$K,ROW()-1-$L$2-$M$2+1,5),""),IF(ROW()-1&lt;=$L$2+$M$2+$N$2+$O$2,IFERROR(INDEX(PROFORMA!$A:$K,ROW()-1-$L$2-$M$2-$N$2+1,5),""),"")))))</f>
        <v>cloze_list</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t="str">
        <f>IF(ROW()-1&lt;=0,"",IF(ROW()-1&lt;=$L$2,IFERROR(INDEX(MCQ!$A:$K,ROW()-1+1,5),""),IF(ROW()-1&lt;=$L$2+$M$2,IFERROR(INDEX(CLOZE_AB!$A:$K,ROW()-1-$L$2+1,5),""),IF(ROW()-1&lt;=$L$2+$M$2+$N$2,IFERROR(INDEX(CLOZE_LIST!$A:$K,ROW()-1-$L$2-$M$2+1,5),""),IF(ROW()-1&lt;=$L$2+$M$2+$N$2+$O$2,IFERROR(INDEX(PROFORMA!$A:$K,ROW()-1-$L$2-$M$2-$N$2+1,5),""),"")))))</f>
        <v>cloze_list</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t="str">
        <f>IF(ROW()-1&lt;=0,"",IF(ROW()-1&lt;=$L$2,IFERROR(INDEX(MCQ!$A:$K,ROW()-1+1,5),""),IF(ROW()-1&lt;=$L$2+$M$2,IFERROR(INDEX(CLOZE_AB!$A:$K,ROW()-1-$L$2+1,5),""),IF(ROW()-1&lt;=$L$2+$M$2+$N$2,IFERROR(INDEX(CLOZE_LIST!$A:$K,ROW()-1-$L$2-$M$2+1,5),""),IF(ROW()-1&lt;=$L$2+$M$2+$N$2+$O$2,IFERROR(INDEX(PROFORMA!$A:$K,ROW()-1-$L$2-$M$2-$N$2+1,5),""),"")))))</f>
        <v>cloze_list</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t="str">
        <f>IF(ROW()-1&lt;=0,"",IF(ROW()-1&lt;=$L$2,IFERROR(INDEX(MCQ!$A:$K,ROW()-1+1,5),""),IF(ROW()-1&lt;=$L$2+$M$2,IFERROR(INDEX(CLOZE_AB!$A:$K,ROW()-1-$L$2+1,5),""),IF(ROW()-1&lt;=$L$2+$M$2+$N$2,IFERROR(INDEX(CLOZE_LIST!$A:$K,ROW()-1-$L$2-$M$2+1,5),""),IF(ROW()-1&lt;=$L$2+$M$2+$N$2+$O$2,IFERROR(INDEX(PROFORMA!$A:$K,ROW()-1-$L$2-$M$2-$N$2+1,5),""),"")))))</f>
        <v>cloze_list</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t="str">
        <f>IF(ROW()-1&lt;=0,"",IF(ROW()-1&lt;=$L$2,IFERROR(INDEX(MCQ!$A:$K,ROW()-1+1,5),""),IF(ROW()-1&lt;=$L$2+$M$2,IFERROR(INDEX(CLOZE_AB!$A:$K,ROW()-1-$L$2+1,5),""),IF(ROW()-1&lt;=$L$2+$M$2+$N$2,IFERROR(INDEX(CLOZE_LIST!$A:$K,ROW()-1-$L$2-$M$2+1,5),""),IF(ROW()-1&lt;=$L$2+$M$2+$N$2+$O$2,IFERROR(INDEX(PROFORMA!$A:$K,ROW()-1-$L$2-$M$2-$N$2+1,5),""),"")))))</f>
        <v>cloze_list</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t="str">
        <f>IF(ROW()-1&lt;=0,"",IF(ROW()-1&lt;=$L$2,IFERROR(INDEX(MCQ!$A:$K,ROW()-1+1,5),""),IF(ROW()-1&lt;=$L$2+$M$2,IFERROR(INDEX(CLOZE_AB!$A:$K,ROW()-1-$L$2+1,5),""),IF(ROW()-1&lt;=$L$2+$M$2+$N$2,IFERROR(INDEX(CLOZE_LIST!$A:$K,ROW()-1-$L$2-$M$2+1,5),""),IF(ROW()-1&lt;=$L$2+$M$2+$N$2+$O$2,IFERROR(INDEX(PROFORMA!$A:$K,ROW()-1-$L$2-$M$2-$N$2+1,5),""),"")))))</f>
        <v>cloze_list</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t="str">
        <f>IF(ROW()-1&lt;=0,"",IF(ROW()-1&lt;=$L$2,IFERROR(INDEX(MCQ!$A:$K,ROW()-1+1,5),""),IF(ROW()-1&lt;=$L$2+$M$2,IFERROR(INDEX(CLOZE_AB!$A:$K,ROW()-1-$L$2+1,5),""),IF(ROW()-1&lt;=$L$2+$M$2+$N$2,IFERROR(INDEX(CLOZE_LIST!$A:$K,ROW()-1-$L$2-$M$2+1,5),""),IF(ROW()-1&lt;=$L$2+$M$2+$N$2+$O$2,IFERROR(INDEX(PROFORMA!$A:$K,ROW()-1-$L$2-$M$2-$N$2+1,5),""),"")))))</f>
        <v>cloze_list</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t="str">
        <f>IF(ROW()-1&lt;=0,"",IF(ROW()-1&lt;=$L$2,IFERROR(INDEX(MCQ!$A:$K,ROW()-1+1,5),""),IF(ROW()-1&lt;=$L$2+$M$2,IFERROR(INDEX(CLOZE_AB!$A:$K,ROW()-1-$L$2+1,5),""),IF(ROW()-1&lt;=$L$2+$M$2+$N$2,IFERROR(INDEX(CLOZE_LIST!$A:$K,ROW()-1-$L$2-$M$2+1,5),""),IF(ROW()-1&lt;=$L$2+$M$2+$N$2+$O$2,IFERROR(INDEX(PROFORMA!$A:$K,ROW()-1-$L$2-$M$2-$N$2+1,5),""),"")))))</f>
        <v>cloze_list</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t="str">
        <f>IF(ROW()-1&lt;=0,"",IF(ROW()-1&lt;=$L$2,IFERROR(INDEX(MCQ!$A:$K,ROW()-1+1,5),""),IF(ROW()-1&lt;=$L$2+$M$2,IFERROR(INDEX(CLOZE_AB!$A:$K,ROW()-1-$L$2+1,5),""),IF(ROW()-1&lt;=$L$2+$M$2+$N$2,IFERROR(INDEX(CLOZE_LIST!$A:$K,ROW()-1-$L$2-$M$2+1,5),""),IF(ROW()-1&lt;=$L$2+$M$2+$N$2+$O$2,IFERROR(INDEX(PROFORMA!$A:$K,ROW()-1-$L$2-$M$2-$N$2+1,5),""),"")))))</f>
        <v>cloze_list</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t="str">
        <f>IF(ROW()-1&lt;=0,"",IF(ROW()-1&lt;=$L$2,IFERROR(INDEX(MCQ!$A:$K,ROW()-1+1,5),""),IF(ROW()-1&lt;=$L$2+$M$2,IFERROR(INDEX(CLOZE_AB!$A:$K,ROW()-1-$L$2+1,5),""),IF(ROW()-1&lt;=$L$2+$M$2+$N$2,IFERROR(INDEX(CLOZE_LIST!$A:$K,ROW()-1-$L$2-$M$2+1,5),""),IF(ROW()-1&lt;=$L$2+$M$2+$N$2+$O$2,IFERROR(INDEX(PROFORMA!$A:$K,ROW()-1-$L$2-$M$2-$N$2+1,5),""),"")))))</f>
        <v>cloze_list</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t="str">
        <f>IF(ROW()-1&lt;=0,"",IF(ROW()-1&lt;=$L$2,IFERROR(INDEX(MCQ!$A:$K,ROW()-1+1,5),""),IF(ROW()-1&lt;=$L$2+$M$2,IFERROR(INDEX(CLOZE_AB!$A:$K,ROW()-1-$L$2+1,5),""),IF(ROW()-1&lt;=$L$2+$M$2+$N$2,IFERROR(INDEX(CLOZE_LIST!$A:$K,ROW()-1-$L$2-$M$2+1,5),""),IF(ROW()-1&lt;=$L$2+$M$2+$N$2+$O$2,IFERROR(INDEX(PROFORMA!$A:$K,ROW()-1-$L$2-$M$2-$N$2+1,5),""),"")))))</f>
        <v>cloze_list</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t="str">
        <f>IF(ROW()-1&lt;=0,"",IF(ROW()-1&lt;=$L$2,IFERROR(INDEX(MCQ!$A:$K,ROW()-1+1,5),""),IF(ROW()-1&lt;=$L$2+$M$2,IFERROR(INDEX(CLOZE_AB!$A:$K,ROW()-1-$L$2+1,5),""),IF(ROW()-1&lt;=$L$2+$M$2+$N$2,IFERROR(INDEX(CLOZE_LIST!$A:$K,ROW()-1-$L$2-$M$2+1,5),""),IF(ROW()-1&lt;=$L$2+$M$2+$N$2+$O$2,IFERROR(INDEX(PROFORMA!$A:$K,ROW()-1-$L$2-$M$2-$N$2+1,5),""),"")))))</f>
        <v>cloze_list</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t="str">
        <f>IF(ROW()-1&lt;=0,"",IF(ROW()-1&lt;=$L$2,IFERROR(INDEX(MCQ!$A:$K,ROW()-1+1,5),""),IF(ROW()-1&lt;=$L$2+$M$2,IFERROR(INDEX(CLOZE_AB!$A:$K,ROW()-1-$L$2+1,5),""),IF(ROW()-1&lt;=$L$2+$M$2+$N$2,IFERROR(INDEX(CLOZE_LIST!$A:$K,ROW()-1-$L$2-$M$2+1,5),""),IF(ROW()-1&lt;=$L$2+$M$2+$N$2+$O$2,IFERROR(INDEX(PROFORMA!$A:$K,ROW()-1-$L$2-$M$2-$N$2+1,5),""),"")))))</f>
        <v>cloze_list</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t="str">
        <f>IF(ROW()-1&lt;=0,"",IF(ROW()-1&lt;=$L$2,IFERROR(INDEX(MCQ!$A:$K,ROW()-1+1,5),""),IF(ROW()-1&lt;=$L$2+$M$2,IFERROR(INDEX(CLOZE_AB!$A:$K,ROW()-1-$L$2+1,5),""),IF(ROW()-1&lt;=$L$2+$M$2+$N$2,IFERROR(INDEX(CLOZE_LIST!$A:$K,ROW()-1-$L$2-$M$2+1,5),""),IF(ROW()-1&lt;=$L$2+$M$2+$N$2+$O$2,IFERROR(INDEX(PROFORMA!$A:$K,ROW()-1-$L$2-$M$2-$N$2+1,5),""),"")))))</f>
        <v>cloze_list</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t="str">
        <f>IF(ROW()-1&lt;=0,"",IF(ROW()-1&lt;=$L$2,IFERROR(INDEX(MCQ!$A:$K,ROW()-1+1,5),""),IF(ROW()-1&lt;=$L$2+$M$2,IFERROR(INDEX(CLOZE_AB!$A:$K,ROW()-1-$L$2+1,5),""),IF(ROW()-1&lt;=$L$2+$M$2+$N$2,IFERROR(INDEX(CLOZE_LIST!$A:$K,ROW()-1-$L$2-$M$2+1,5),""),IF(ROW()-1&lt;=$L$2+$M$2+$N$2+$O$2,IFERROR(INDEX(PROFORMA!$A:$K,ROW()-1-$L$2-$M$2-$N$2+1,5),""),"")))))</f>
        <v>cloze_list</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t="str">
        <f>IF(ROW()-1&lt;=0,"",IF(ROW()-1&lt;=$L$2,IFERROR(INDEX(MCQ!$A:$K,ROW()-1+1,5),""),IF(ROW()-1&lt;=$L$2+$M$2,IFERROR(INDEX(CLOZE_AB!$A:$K,ROW()-1-$L$2+1,5),""),IF(ROW()-1&lt;=$L$2+$M$2+$N$2,IFERROR(INDEX(CLOZE_LIST!$A:$K,ROW()-1-$L$2-$M$2+1,5),""),IF(ROW()-1&lt;=$L$2+$M$2+$N$2+$O$2,IFERROR(INDEX(PROFORMA!$A:$K,ROW()-1-$L$2-$M$2-$N$2+1,5),""),"")))))</f>
        <v>cloze_list</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t="str">
        <f>IF(ROW()-1&lt;=0,"",IF(ROW()-1&lt;=$L$2,IFERROR(INDEX(MCQ!$A:$K,ROW()-1+1,5),""),IF(ROW()-1&lt;=$L$2+$M$2,IFERROR(INDEX(CLOZE_AB!$A:$K,ROW()-1-$L$2+1,5),""),IF(ROW()-1&lt;=$L$2+$M$2+$N$2,IFERROR(INDEX(CLOZE_LIST!$A:$K,ROW()-1-$L$2-$M$2+1,5),""),IF(ROW()-1&lt;=$L$2+$M$2+$N$2+$O$2,IFERROR(INDEX(PROFORMA!$A:$K,ROW()-1-$L$2-$M$2-$N$2+1,5),""),"")))))</f>
        <v>cloze_list</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t="str">
        <f>IF(ROW()-1&lt;=0,"",IF(ROW()-1&lt;=$L$2,IFERROR(INDEX(MCQ!$A:$K,ROW()-1+1,5),""),IF(ROW()-1&lt;=$L$2+$M$2,IFERROR(INDEX(CLOZE_AB!$A:$K,ROW()-1-$L$2+1,5),""),IF(ROW()-1&lt;=$L$2+$M$2+$N$2,IFERROR(INDEX(CLOZE_LIST!$A:$K,ROW()-1-$L$2-$M$2+1,5),""),IF(ROW()-1&lt;=$L$2+$M$2+$N$2+$O$2,IFERROR(INDEX(PROFORMA!$A:$K,ROW()-1-$L$2-$M$2-$N$2+1,5),""),"")))))</f>
        <v>cloze_list</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t="str">
        <f>IF(ROW()-1&lt;=0,"",IF(ROW()-1&lt;=$L$2,IFERROR(INDEX(MCQ!$A:$K,ROW()-1+1,5),""),IF(ROW()-1&lt;=$L$2+$M$2,IFERROR(INDEX(CLOZE_AB!$A:$K,ROW()-1-$L$2+1,5),""),IF(ROW()-1&lt;=$L$2+$M$2+$N$2,IFERROR(INDEX(CLOZE_LIST!$A:$K,ROW()-1-$L$2-$M$2+1,5),""),IF(ROW()-1&lt;=$L$2+$M$2+$N$2+$O$2,IFERROR(INDEX(PROFORMA!$A:$K,ROW()-1-$L$2-$M$2-$N$2+1,5),""),"")))))</f>
        <v>cloze_list</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t="str">
        <f>IF(ROW()-1&lt;=0,"",IF(ROW()-1&lt;=$L$2,IFERROR(INDEX(MCQ!$A:$K,ROW()-1+1,5),""),IF(ROW()-1&lt;=$L$2+$M$2,IFERROR(INDEX(CLOZE_AB!$A:$K,ROW()-1-$L$2+1,5),""),IF(ROW()-1&lt;=$L$2+$M$2+$N$2,IFERROR(INDEX(CLOZE_LIST!$A:$K,ROW()-1-$L$2-$M$2+1,5),""),IF(ROW()-1&lt;=$L$2+$M$2+$N$2+$O$2,IFERROR(INDEX(PROFORMA!$A:$K,ROW()-1-$L$2-$M$2-$N$2+1,5),""),"")))))</f>
        <v>cloze_list</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t="str">
        <f>IF(ROW()-1&lt;=0,"",IF(ROW()-1&lt;=$L$2,IFERROR(INDEX(MCQ!$A:$K,ROW()-1+1,5),""),IF(ROW()-1&lt;=$L$2+$M$2,IFERROR(INDEX(CLOZE_AB!$A:$K,ROW()-1-$L$2+1,5),""),IF(ROW()-1&lt;=$L$2+$M$2+$N$2,IFERROR(INDEX(CLOZE_LIST!$A:$K,ROW()-1-$L$2-$M$2+1,5),""),IF(ROW()-1&lt;=$L$2+$M$2+$N$2+$O$2,IFERROR(INDEX(PROFORMA!$A:$K,ROW()-1-$L$2-$M$2-$N$2+1,5),""),"")))))</f>
        <v>cloze_list</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t="str">
        <f>IF(ROW()-1&lt;=0,"",IF(ROW()-1&lt;=$L$2,IFERROR(INDEX(MCQ!$A:$K,ROW()-1+1,5),""),IF(ROW()-1&lt;=$L$2+$M$2,IFERROR(INDEX(CLOZE_AB!$A:$K,ROW()-1-$L$2+1,5),""),IF(ROW()-1&lt;=$L$2+$M$2+$N$2,IFERROR(INDEX(CLOZE_LIST!$A:$K,ROW()-1-$L$2-$M$2+1,5),""),IF(ROW()-1&lt;=$L$2+$M$2+$N$2+$O$2,IFERROR(INDEX(PROFORMA!$A:$K,ROW()-1-$L$2-$M$2-$N$2+1,5),""),"")))))</f>
        <v>cloze_list</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t="str">
        <f>IF(ROW()-1&lt;=0,"",IF(ROW()-1&lt;=$L$2,IFERROR(INDEX(MCQ!$A:$K,ROW()-1+1,5),""),IF(ROW()-1&lt;=$L$2+$M$2,IFERROR(INDEX(CLOZE_AB!$A:$K,ROW()-1-$L$2+1,5),""),IF(ROW()-1&lt;=$L$2+$M$2+$N$2,IFERROR(INDEX(CLOZE_LIST!$A:$K,ROW()-1-$L$2-$M$2+1,5),""),IF(ROW()-1&lt;=$L$2+$M$2+$N$2+$O$2,IFERROR(INDEX(PROFORMA!$A:$K,ROW()-1-$L$2-$M$2-$N$2+1,5),""),"")))))</f>
        <v>cloze_list</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t="str">
        <f>IF(ROW()-1&lt;=0,"",IF(ROW()-1&lt;=$L$2,IFERROR(INDEX(MCQ!$A:$K,ROW()-1+1,5),""),IF(ROW()-1&lt;=$L$2+$M$2,IFERROR(INDEX(CLOZE_AB!$A:$K,ROW()-1-$L$2+1,5),""),IF(ROW()-1&lt;=$L$2+$M$2+$N$2,IFERROR(INDEX(CLOZE_LIST!$A:$K,ROW()-1-$L$2-$M$2+1,5),""),IF(ROW()-1&lt;=$L$2+$M$2+$N$2+$O$2,IFERROR(INDEX(PROFORMA!$A:$K,ROW()-1-$L$2-$M$2-$N$2+1,5),""),"")))))</f>
        <v>cloze_list</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t="str">
        <f>IF(ROW()-1&lt;=0,"",IF(ROW()-1&lt;=$L$2,IFERROR(INDEX(MCQ!$A:$K,ROW()-1+1,5),""),IF(ROW()-1&lt;=$L$2+$M$2,IFERROR(INDEX(CLOZE_AB!$A:$K,ROW()-1-$L$2+1,5),""),IF(ROW()-1&lt;=$L$2+$M$2+$N$2,IFERROR(INDEX(CLOZE_LIST!$A:$K,ROW()-1-$L$2-$M$2+1,5),""),IF(ROW()-1&lt;=$L$2+$M$2+$N$2+$O$2,IFERROR(INDEX(PROFORMA!$A:$K,ROW()-1-$L$2-$M$2-$N$2+1,5),""),"")))))</f>
        <v>cloze_list</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t="str">
        <f>IF(ROW()-1&lt;=0,"",IF(ROW()-1&lt;=$L$2,IFERROR(INDEX(MCQ!$A:$K,ROW()-1+1,5),""),IF(ROW()-1&lt;=$L$2+$M$2,IFERROR(INDEX(CLOZE_AB!$A:$K,ROW()-1-$L$2+1,5),""),IF(ROW()-1&lt;=$L$2+$M$2+$N$2,IFERROR(INDEX(CLOZE_LIST!$A:$K,ROW()-1-$L$2-$M$2+1,5),""),IF(ROW()-1&lt;=$L$2+$M$2+$N$2+$O$2,IFERROR(INDEX(PROFORMA!$A:$K,ROW()-1-$L$2-$M$2-$N$2+1,5),""),"")))))</f>
        <v>cloze_list</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t="str">
        <f>IF(ROW()-1&lt;=0,"",IF(ROW()-1&lt;=$L$2,IFERROR(INDEX(MCQ!$A:$K,ROW()-1+1,5),""),IF(ROW()-1&lt;=$L$2+$M$2,IFERROR(INDEX(CLOZE_AB!$A:$K,ROW()-1-$L$2+1,5),""),IF(ROW()-1&lt;=$L$2+$M$2+$N$2,IFERROR(INDEX(CLOZE_LIST!$A:$K,ROW()-1-$L$2-$M$2+1,5),""),IF(ROW()-1&lt;=$L$2+$M$2+$N$2+$O$2,IFERROR(INDEX(PROFORMA!$A:$K,ROW()-1-$L$2-$M$2-$N$2+1,5),""),"")))))</f>
        <v>cloze_list</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t="str">
        <f>IF(ROW()-1&lt;=0,"",IF(ROW()-1&lt;=$L$2,IFERROR(INDEX(MCQ!$A:$K,ROW()-1+1,5),""),IF(ROW()-1&lt;=$L$2+$M$2,IFERROR(INDEX(CLOZE_AB!$A:$K,ROW()-1-$L$2+1,5),""),IF(ROW()-1&lt;=$L$2+$M$2+$N$2,IFERROR(INDEX(CLOZE_LIST!$A:$K,ROW()-1-$L$2-$M$2+1,5),""),IF(ROW()-1&lt;=$L$2+$M$2+$N$2+$O$2,IFERROR(INDEX(PROFORMA!$A:$K,ROW()-1-$L$2-$M$2-$N$2+1,5),""),"")))))</f>
        <v>cloze_list</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t="str">
        <f>IF(ROW()-1&lt;=0,"",IF(ROW()-1&lt;=$L$2,IFERROR(INDEX(MCQ!$A:$K,ROW()-1+1,5),""),IF(ROW()-1&lt;=$L$2+$M$2,IFERROR(INDEX(CLOZE_AB!$A:$K,ROW()-1-$L$2+1,5),""),IF(ROW()-1&lt;=$L$2+$M$2+$N$2,IFERROR(INDEX(CLOZE_LIST!$A:$K,ROW()-1-$L$2-$M$2+1,5),""),IF(ROW()-1&lt;=$L$2+$M$2+$N$2+$O$2,IFERROR(INDEX(PROFORMA!$A:$K,ROW()-1-$L$2-$M$2-$N$2+1,5),""),"")))))</f>
        <v>cloze_list</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t="str">
        <f>IF(ROW()-1&lt;=0,"",IF(ROW()-1&lt;=$L$2,IFERROR(INDEX(MCQ!$A:$K,ROW()-1+1,5),""),IF(ROW()-1&lt;=$L$2+$M$2,IFERROR(INDEX(CLOZE_AB!$A:$K,ROW()-1-$L$2+1,5),""),IF(ROW()-1&lt;=$L$2+$M$2+$N$2,IFERROR(INDEX(CLOZE_LIST!$A:$K,ROW()-1-$L$2-$M$2+1,5),""),IF(ROW()-1&lt;=$L$2+$M$2+$N$2+$O$2,IFERROR(INDEX(PROFORMA!$A:$K,ROW()-1-$L$2-$M$2-$N$2+1,5),""),"")))))</f>
        <v>cloze_list</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t="str">
        <f>IF(ROW()-1&lt;=0,"",IF(ROW()-1&lt;=$L$2,IFERROR(INDEX(MCQ!$A:$K,ROW()-1+1,5),""),IF(ROW()-1&lt;=$L$2+$M$2,IFERROR(INDEX(CLOZE_AB!$A:$K,ROW()-1-$L$2+1,5),""),IF(ROW()-1&lt;=$L$2+$M$2+$N$2,IFERROR(INDEX(CLOZE_LIST!$A:$K,ROW()-1-$L$2-$M$2+1,5),""),IF(ROW()-1&lt;=$L$2+$M$2+$N$2+$O$2,IFERROR(INDEX(PROFORMA!$A:$K,ROW()-1-$L$2-$M$2-$N$2+1,5),""),"")))))</f>
        <v>cloze_list</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t="str">
        <f>IF(ROW()-1&lt;=0,"",IF(ROW()-1&lt;=$L$2,IFERROR(INDEX(MCQ!$A:$K,ROW()-1+1,5),""),IF(ROW()-1&lt;=$L$2+$M$2,IFERROR(INDEX(CLOZE_AB!$A:$K,ROW()-1-$L$2+1,5),""),IF(ROW()-1&lt;=$L$2+$M$2+$N$2,IFERROR(INDEX(CLOZE_LIST!$A:$K,ROW()-1-$L$2-$M$2+1,5),""),IF(ROW()-1&lt;=$L$2+$M$2+$N$2+$O$2,IFERROR(INDEX(PROFORMA!$A:$K,ROW()-1-$L$2-$M$2-$N$2+1,5),""),"")))))</f>
        <v>cloze_list</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t="str">
        <f>IF(ROW()-1&lt;=0,"",IF(ROW()-1&lt;=$L$2,IFERROR(INDEX(MCQ!$A:$K,ROW()-1+1,5),""),IF(ROW()-1&lt;=$L$2+$M$2,IFERROR(INDEX(CLOZE_AB!$A:$K,ROW()-1-$L$2+1,5),""),IF(ROW()-1&lt;=$L$2+$M$2+$N$2,IFERROR(INDEX(CLOZE_LIST!$A:$K,ROW()-1-$L$2-$M$2+1,5),""),IF(ROW()-1&lt;=$L$2+$M$2+$N$2+$O$2,IFERROR(INDEX(PROFORMA!$A:$K,ROW()-1-$L$2-$M$2-$N$2+1,5),""),"")))))</f>
        <v>cloze_list</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t="str">
        <f>IF(ROW()-1&lt;=0,"",IF(ROW()-1&lt;=$L$2,IFERROR(INDEX(MCQ!$A:$K,ROW()-1+1,5),""),IF(ROW()-1&lt;=$L$2+$M$2,IFERROR(INDEX(CLOZE_AB!$A:$K,ROW()-1-$L$2+1,5),""),IF(ROW()-1&lt;=$L$2+$M$2+$N$2,IFERROR(INDEX(CLOZE_LIST!$A:$K,ROW()-1-$L$2-$M$2+1,5),""),IF(ROW()-1&lt;=$L$2+$M$2+$N$2+$O$2,IFERROR(INDEX(PROFORMA!$A:$K,ROW()-1-$L$2-$M$2-$N$2+1,5),""),"")))))</f>
        <v>cloze_list</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t="str">
        <f>IF(ROW()-1&lt;=0,"",IF(ROW()-1&lt;=$L$2,IFERROR(INDEX(MCQ!$A:$K,ROW()-1+1,5),""),IF(ROW()-1&lt;=$L$2+$M$2,IFERROR(INDEX(CLOZE_AB!$A:$K,ROW()-1-$L$2+1,5),""),IF(ROW()-1&lt;=$L$2+$M$2+$N$2,IFERROR(INDEX(CLOZE_LIST!$A:$K,ROW()-1-$L$2-$M$2+1,5),""),IF(ROW()-1&lt;=$L$2+$M$2+$N$2+$O$2,IFERROR(INDEX(PROFORMA!$A:$K,ROW()-1-$L$2-$M$2-$N$2+1,5),""),"")))))</f>
        <v>cloze_list</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t="str">
        <f>IF(ROW()-1&lt;=0,"",IF(ROW()-1&lt;=$L$2,IFERROR(INDEX(MCQ!$A:$K,ROW()-1+1,5),""),IF(ROW()-1&lt;=$L$2+$M$2,IFERROR(INDEX(CLOZE_AB!$A:$K,ROW()-1-$L$2+1,5),""),IF(ROW()-1&lt;=$L$2+$M$2+$N$2,IFERROR(INDEX(CLOZE_LIST!$A:$K,ROW()-1-$L$2-$M$2+1,5),""),IF(ROW()-1&lt;=$L$2+$M$2+$N$2+$O$2,IFERROR(INDEX(PROFORMA!$A:$K,ROW()-1-$L$2-$M$2-$N$2+1,5),""),"")))))</f>
        <v>cloze_list</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t="str">
        <f>IF(ROW()-1&lt;=0,"",IF(ROW()-1&lt;=$L$2,IFERROR(INDEX(MCQ!$A:$K,ROW()-1+1,5),""),IF(ROW()-1&lt;=$L$2+$M$2,IFERROR(INDEX(CLOZE_AB!$A:$K,ROW()-1-$L$2+1,5),""),IF(ROW()-1&lt;=$L$2+$M$2+$N$2,IFERROR(INDEX(CLOZE_LIST!$A:$K,ROW()-1-$L$2-$M$2+1,5),""),IF(ROW()-1&lt;=$L$2+$M$2+$N$2+$O$2,IFERROR(INDEX(PROFORMA!$A:$K,ROW()-1-$L$2-$M$2-$N$2+1,5),""),"")))))</f>
        <v>cloze_list</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t="str">
        <f>IF(ROW()-1&lt;=0,"",IF(ROW()-1&lt;=$L$2,IFERROR(INDEX(MCQ!$A:$K,ROW()-1+1,5),""),IF(ROW()-1&lt;=$L$2+$M$2,IFERROR(INDEX(CLOZE_AB!$A:$K,ROW()-1-$L$2+1,5),""),IF(ROW()-1&lt;=$L$2+$M$2+$N$2,IFERROR(INDEX(CLOZE_LIST!$A:$K,ROW()-1-$L$2-$M$2+1,5),""),IF(ROW()-1&lt;=$L$2+$M$2+$N$2+$O$2,IFERROR(INDEX(PROFORMA!$A:$K,ROW()-1-$L$2-$M$2-$N$2+1,5),""),"")))))</f>
        <v>cloze_list</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t="str">
        <f>IF(ROW()-1&lt;=0,"",IF(ROW()-1&lt;=$L$2,IFERROR(INDEX(MCQ!$A:$K,ROW()-1+1,5),""),IF(ROW()-1&lt;=$L$2+$M$2,IFERROR(INDEX(CLOZE_AB!$A:$K,ROW()-1-$L$2+1,5),""),IF(ROW()-1&lt;=$L$2+$M$2+$N$2,IFERROR(INDEX(CLOZE_LIST!$A:$K,ROW()-1-$L$2-$M$2+1,5),""),IF(ROW()-1&lt;=$L$2+$M$2+$N$2+$O$2,IFERROR(INDEX(PROFORMA!$A:$K,ROW()-1-$L$2-$M$2-$N$2+1,5),""),"")))))</f>
        <v>cloze_list</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t="str">
        <f>IF(ROW()-1&lt;=0,"",IF(ROW()-1&lt;=$L$2,IFERROR(INDEX(MCQ!$A:$K,ROW()-1+1,5),""),IF(ROW()-1&lt;=$L$2+$M$2,IFERROR(INDEX(CLOZE_AB!$A:$K,ROW()-1-$L$2+1,5),""),IF(ROW()-1&lt;=$L$2+$M$2+$N$2,IFERROR(INDEX(CLOZE_LIST!$A:$K,ROW()-1-$L$2-$M$2+1,5),""),IF(ROW()-1&lt;=$L$2+$M$2+$N$2+$O$2,IFERROR(INDEX(PROFORMA!$A:$K,ROW()-1-$L$2-$M$2-$N$2+1,5),""),"")))))</f>
        <v>cloze_list</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t="str">
        <f>IF(ROW()-1&lt;=0,"",IF(ROW()-1&lt;=$L$2,IFERROR(INDEX(MCQ!$A:$K,ROW()-1+1,5),""),IF(ROW()-1&lt;=$L$2+$M$2,IFERROR(INDEX(CLOZE_AB!$A:$K,ROW()-1-$L$2+1,5),""),IF(ROW()-1&lt;=$L$2+$M$2+$N$2,IFERROR(INDEX(CLOZE_LIST!$A:$K,ROW()-1-$L$2-$M$2+1,5),""),IF(ROW()-1&lt;=$L$2+$M$2+$N$2+$O$2,IFERROR(INDEX(PROFORMA!$A:$K,ROW()-1-$L$2-$M$2-$N$2+1,5),""),"")))))</f>
        <v>cloze_list</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t="str">
        <f>IF(ROW()-1&lt;=0,"",IF(ROW()-1&lt;=$L$2,IFERROR(INDEX(MCQ!$A:$K,ROW()-1+1,5),""),IF(ROW()-1&lt;=$L$2+$M$2,IFERROR(INDEX(CLOZE_AB!$A:$K,ROW()-1-$L$2+1,5),""),IF(ROW()-1&lt;=$L$2+$M$2+$N$2,IFERROR(INDEX(CLOZE_LIST!$A:$K,ROW()-1-$L$2-$M$2+1,5),""),IF(ROW()-1&lt;=$L$2+$M$2+$N$2+$O$2,IFERROR(INDEX(PROFORMA!$A:$K,ROW()-1-$L$2-$M$2-$N$2+1,5),""),"")))))</f>
        <v>cloze_list</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t="str">
        <f>IF(ROW()-1&lt;=0,"",IF(ROW()-1&lt;=$L$2,IFERROR(INDEX(MCQ!$A:$K,ROW()-1+1,5),""),IF(ROW()-1&lt;=$L$2+$M$2,IFERROR(INDEX(CLOZE_AB!$A:$K,ROW()-1-$L$2+1,5),""),IF(ROW()-1&lt;=$L$2+$M$2+$N$2,IFERROR(INDEX(CLOZE_LIST!$A:$K,ROW()-1-$L$2-$M$2+1,5),""),IF(ROW()-1&lt;=$L$2+$M$2+$N$2+$O$2,IFERROR(INDEX(PROFORMA!$A:$K,ROW()-1-$L$2-$M$2-$N$2+1,5),""),"")))))</f>
        <v>cloze_list</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t="str">
        <f>IF(ROW()-1&lt;=0,"",IF(ROW()-1&lt;=$L$2,IFERROR(INDEX(MCQ!$A:$K,ROW()-1+1,5),""),IF(ROW()-1&lt;=$L$2+$M$2,IFERROR(INDEX(CLOZE_AB!$A:$K,ROW()-1-$L$2+1,5),""),IF(ROW()-1&lt;=$L$2+$M$2+$N$2,IFERROR(INDEX(CLOZE_LIST!$A:$K,ROW()-1-$L$2-$M$2+1,5),""),IF(ROW()-1&lt;=$L$2+$M$2+$N$2+$O$2,IFERROR(INDEX(PROFORMA!$A:$K,ROW()-1-$L$2-$M$2-$N$2+1,5),""),"")))))</f>
        <v>cloze_list</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t="str">
        <f>IF(ROW()-1&lt;=0,"",IF(ROW()-1&lt;=$L$2,IFERROR(INDEX(MCQ!$A:$K,ROW()-1+1,5),""),IF(ROW()-1&lt;=$L$2+$M$2,IFERROR(INDEX(CLOZE_AB!$A:$K,ROW()-1-$L$2+1,5),""),IF(ROW()-1&lt;=$L$2+$M$2+$N$2,IFERROR(INDEX(CLOZE_LIST!$A:$K,ROW()-1-$L$2-$M$2+1,5),""),IF(ROW()-1&lt;=$L$2+$M$2+$N$2+$O$2,IFERROR(INDEX(PROFORMA!$A:$K,ROW()-1-$L$2-$M$2-$N$2+1,5),""),"")))))</f>
        <v>cloze_list</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t="str">
        <f>IF(ROW()-1&lt;=0,"",IF(ROW()-1&lt;=$L$2,IFERROR(INDEX(MCQ!$A:$K,ROW()-1+1,5),""),IF(ROW()-1&lt;=$L$2+$M$2,IFERROR(INDEX(CLOZE_AB!$A:$K,ROW()-1-$L$2+1,5),""),IF(ROW()-1&lt;=$L$2+$M$2+$N$2,IFERROR(INDEX(CLOZE_LIST!$A:$K,ROW()-1-$L$2-$M$2+1,5),""),IF(ROW()-1&lt;=$L$2+$M$2+$N$2+$O$2,IFERROR(INDEX(PROFORMA!$A:$K,ROW()-1-$L$2-$M$2-$N$2+1,5),""),"")))))</f>
        <v>cloze_list</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t="str">
        <f>IF(ROW()-1&lt;=0,"",IF(ROW()-1&lt;=$L$2,IFERROR(INDEX(MCQ!$A:$K,ROW()-1+1,5),""),IF(ROW()-1&lt;=$L$2+$M$2,IFERROR(INDEX(CLOZE_AB!$A:$K,ROW()-1-$L$2+1,5),""),IF(ROW()-1&lt;=$L$2+$M$2+$N$2,IFERROR(INDEX(CLOZE_LIST!$A:$K,ROW()-1-$L$2-$M$2+1,5),""),IF(ROW()-1&lt;=$L$2+$M$2+$N$2+$O$2,IFERROR(INDEX(PROFORMA!$A:$K,ROW()-1-$L$2-$M$2-$N$2+1,5),""),"")))))</f>
        <v>cloze_list</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t="str">
        <f>IF(ROW()-1&lt;=0,"",IF(ROW()-1&lt;=$L$2,IFERROR(INDEX(MCQ!$A:$K,ROW()-1+1,5),""),IF(ROW()-1&lt;=$L$2+$M$2,IFERROR(INDEX(CLOZE_AB!$A:$K,ROW()-1-$L$2+1,5),""),IF(ROW()-1&lt;=$L$2+$M$2+$N$2,IFERROR(INDEX(CLOZE_LIST!$A:$K,ROW()-1-$L$2-$M$2+1,5),""),IF(ROW()-1&lt;=$L$2+$M$2+$N$2+$O$2,IFERROR(INDEX(PROFORMA!$A:$K,ROW()-1-$L$2-$M$2-$N$2+1,5),""),"")))))</f>
        <v>cloze_list</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t="str">
        <f>IF(ROW()-1&lt;=0,"",IF(ROW()-1&lt;=$L$2,IFERROR(INDEX(MCQ!$A:$K,ROW()-1+1,5),""),IF(ROW()-1&lt;=$L$2+$M$2,IFERROR(INDEX(CLOZE_AB!$A:$K,ROW()-1-$L$2+1,5),""),IF(ROW()-1&lt;=$L$2+$M$2+$N$2,IFERROR(INDEX(CLOZE_LIST!$A:$K,ROW()-1-$L$2-$M$2+1,5),""),IF(ROW()-1&lt;=$L$2+$M$2+$N$2+$O$2,IFERROR(INDEX(PROFORMA!$A:$K,ROW()-1-$L$2-$M$2-$N$2+1,5),""),"")))))</f>
        <v>cloze_list</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t="str">
        <f>IF(ROW()-1&lt;=0,"",IF(ROW()-1&lt;=$L$2,IFERROR(INDEX(MCQ!$A:$K,ROW()-1+1,5),""),IF(ROW()-1&lt;=$L$2+$M$2,IFERROR(INDEX(CLOZE_AB!$A:$K,ROW()-1-$L$2+1,5),""),IF(ROW()-1&lt;=$L$2+$M$2+$N$2,IFERROR(INDEX(CLOZE_LIST!$A:$K,ROW()-1-$L$2-$M$2+1,5),""),IF(ROW()-1&lt;=$L$2+$M$2+$N$2+$O$2,IFERROR(INDEX(PROFORMA!$A:$K,ROW()-1-$L$2-$M$2-$N$2+1,5),""),"")))))</f>
        <v>cloze_list</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t="str">
        <f>IF(ROW()-1&lt;=0,"",IF(ROW()-1&lt;=$L$2,IFERROR(INDEX(MCQ!$A:$K,ROW()-1+1,5),""),IF(ROW()-1&lt;=$L$2+$M$2,IFERROR(INDEX(CLOZE_AB!$A:$K,ROW()-1-$L$2+1,5),""),IF(ROW()-1&lt;=$L$2+$M$2+$N$2,IFERROR(INDEX(CLOZE_LIST!$A:$K,ROW()-1-$L$2-$M$2+1,5),""),IF(ROW()-1&lt;=$L$2+$M$2+$N$2+$O$2,IFERROR(INDEX(PROFORMA!$A:$K,ROW()-1-$L$2-$M$2-$N$2+1,5),""),"")))))</f>
        <v>cloze_list</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t="str">
        <f>IF(ROW()-1&lt;=0,"",IF(ROW()-1&lt;=$L$2,IFERROR(INDEX(MCQ!$A:$K,ROW()-1+1,5),""),IF(ROW()-1&lt;=$L$2+$M$2,IFERROR(INDEX(CLOZE_AB!$A:$K,ROW()-1-$L$2+1,5),""),IF(ROW()-1&lt;=$L$2+$M$2+$N$2,IFERROR(INDEX(CLOZE_LIST!$A:$K,ROW()-1-$L$2-$M$2+1,5),""),IF(ROW()-1&lt;=$L$2+$M$2+$N$2+$O$2,IFERROR(INDEX(PROFORMA!$A:$K,ROW()-1-$L$2-$M$2-$N$2+1,5),""),"")))))</f>
        <v>cloze_list</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t="str">
        <f>IF(ROW()-1&lt;=0,"",IF(ROW()-1&lt;=$L$2,IFERROR(INDEX(MCQ!$A:$K,ROW()-1+1,5),""),IF(ROW()-1&lt;=$L$2+$M$2,IFERROR(INDEX(CLOZE_AB!$A:$K,ROW()-1-$L$2+1,5),""),IF(ROW()-1&lt;=$L$2+$M$2+$N$2,IFERROR(INDEX(CLOZE_LIST!$A:$K,ROW()-1-$L$2-$M$2+1,5),""),IF(ROW()-1&lt;=$L$2+$M$2+$N$2+$O$2,IFERROR(INDEX(PROFORMA!$A:$K,ROW()-1-$L$2-$M$2-$N$2+1,5),""),"")))))</f>
        <v>cloze_list</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t="str">
        <f>IF(ROW()-1&lt;=0,"",IF(ROW()-1&lt;=$L$2,IFERROR(INDEX(MCQ!$A:$K,ROW()-1+1,5),""),IF(ROW()-1&lt;=$L$2+$M$2,IFERROR(INDEX(CLOZE_AB!$A:$K,ROW()-1-$L$2+1,5),""),IF(ROW()-1&lt;=$L$2+$M$2+$N$2,IFERROR(INDEX(CLOZE_LIST!$A:$K,ROW()-1-$L$2-$M$2+1,5),""),IF(ROW()-1&lt;=$L$2+$M$2+$N$2+$O$2,IFERROR(INDEX(PROFORMA!$A:$K,ROW()-1-$L$2-$M$2-$N$2+1,5),""),"")))))</f>
        <v>cloze_list</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t="str">
        <f>IF(ROW()-1&lt;=0,"",IF(ROW()-1&lt;=$L$2,IFERROR(INDEX(MCQ!$A:$K,ROW()-1+1,5),""),IF(ROW()-1&lt;=$L$2+$M$2,IFERROR(INDEX(CLOZE_AB!$A:$K,ROW()-1-$L$2+1,5),""),IF(ROW()-1&lt;=$L$2+$M$2+$N$2,IFERROR(INDEX(CLOZE_LIST!$A:$K,ROW()-1-$L$2-$M$2+1,5),""),IF(ROW()-1&lt;=$L$2+$M$2+$N$2+$O$2,IFERROR(INDEX(PROFORMA!$A:$K,ROW()-1-$L$2-$M$2-$N$2+1,5),""),"")))))</f>
        <v>cloze_list</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t="str">
        <f>IF(ROW()-1&lt;=0,"",IF(ROW()-1&lt;=$L$2,IFERROR(INDEX(MCQ!$A:$K,ROW()-1+1,5),""),IF(ROW()-1&lt;=$L$2+$M$2,IFERROR(INDEX(CLOZE_AB!$A:$K,ROW()-1-$L$2+1,5),""),IF(ROW()-1&lt;=$L$2+$M$2+$N$2,IFERROR(INDEX(CLOZE_LIST!$A:$K,ROW()-1-$L$2-$M$2+1,5),""),IF(ROW()-1&lt;=$L$2+$M$2+$N$2+$O$2,IFERROR(INDEX(PROFORMA!$A:$K,ROW()-1-$L$2-$M$2-$N$2+1,5),""),"")))))</f>
        <v>cloze_list</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t="str">
        <f>IF(ROW()-1&lt;=0,"",IF(ROW()-1&lt;=$L$2,IFERROR(INDEX(MCQ!$A:$K,ROW()-1+1,5),""),IF(ROW()-1&lt;=$L$2+$M$2,IFERROR(INDEX(CLOZE_AB!$A:$K,ROW()-1-$L$2+1,5),""),IF(ROW()-1&lt;=$L$2+$M$2+$N$2,IFERROR(INDEX(CLOZE_LIST!$A:$K,ROW()-1-$L$2-$M$2+1,5),""),IF(ROW()-1&lt;=$L$2+$M$2+$N$2+$O$2,IFERROR(INDEX(PROFORMA!$A:$K,ROW()-1-$L$2-$M$2-$N$2+1,5),""),"")))))</f>
        <v>cloze_list</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t="str">
        <f>IF(ROW()-1&lt;=0,"",IF(ROW()-1&lt;=$L$2,IFERROR(INDEX(MCQ!$A:$K,ROW()-1+1,5),""),IF(ROW()-1&lt;=$L$2+$M$2,IFERROR(INDEX(CLOZE_AB!$A:$K,ROW()-1-$L$2+1,5),""),IF(ROW()-1&lt;=$L$2+$M$2+$N$2,IFERROR(INDEX(CLOZE_LIST!$A:$K,ROW()-1-$L$2-$M$2+1,5),""),IF(ROW()-1&lt;=$L$2+$M$2+$N$2+$O$2,IFERROR(INDEX(PROFORMA!$A:$K,ROW()-1-$L$2-$M$2-$N$2+1,5),""),"")))))</f>
        <v>cloze_list</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t="str">
        <f>IF(ROW()-1&lt;=0,"",IF(ROW()-1&lt;=$L$2,IFERROR(INDEX(MCQ!$A:$K,ROW()-1+1,5),""),IF(ROW()-1&lt;=$L$2+$M$2,IFERROR(INDEX(CLOZE_AB!$A:$K,ROW()-1-$L$2+1,5),""),IF(ROW()-1&lt;=$L$2+$M$2+$N$2,IFERROR(INDEX(CLOZE_LIST!$A:$K,ROW()-1-$L$2-$M$2+1,5),""),IF(ROW()-1&lt;=$L$2+$M$2+$N$2+$O$2,IFERROR(INDEX(PROFORMA!$A:$K,ROW()-1-$L$2-$M$2-$N$2+1,5),""),"")))))</f>
        <v>cloze_list</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t="str">
        <f>IF(ROW()-1&lt;=0,"",IF(ROW()-1&lt;=$L$2,IFERROR(INDEX(MCQ!$A:$K,ROW()-1+1,5),""),IF(ROW()-1&lt;=$L$2+$M$2,IFERROR(INDEX(CLOZE_AB!$A:$K,ROW()-1-$L$2+1,5),""),IF(ROW()-1&lt;=$L$2+$M$2+$N$2,IFERROR(INDEX(CLOZE_LIST!$A:$K,ROW()-1-$L$2-$M$2+1,5),""),IF(ROW()-1&lt;=$L$2+$M$2+$N$2+$O$2,IFERROR(INDEX(PROFORMA!$A:$K,ROW()-1-$L$2-$M$2-$N$2+1,5),""),"")))))</f>
        <v>cloze_list</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t="str">
        <f>IF(ROW()-1&lt;=0,"",IF(ROW()-1&lt;=$L$2,IFERROR(INDEX(MCQ!$A:$K,ROW()-1+1,5),""),IF(ROW()-1&lt;=$L$2+$M$2,IFERROR(INDEX(CLOZE_AB!$A:$K,ROW()-1-$L$2+1,5),""),IF(ROW()-1&lt;=$L$2+$M$2+$N$2,IFERROR(INDEX(CLOZE_LIST!$A:$K,ROW()-1-$L$2-$M$2+1,5),""),IF(ROW()-1&lt;=$L$2+$M$2+$N$2+$O$2,IFERROR(INDEX(PROFORMA!$A:$K,ROW()-1-$L$2-$M$2-$N$2+1,5),""),"")))))</f>
        <v>cloze_list</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t="str">
        <f>IF(ROW()-1&lt;=0,"",IF(ROW()-1&lt;=$L$2,IFERROR(INDEX(MCQ!$A:$K,ROW()-1+1,5),""),IF(ROW()-1&lt;=$L$2+$M$2,IFERROR(INDEX(CLOZE_AB!$A:$K,ROW()-1-$L$2+1,5),""),IF(ROW()-1&lt;=$L$2+$M$2+$N$2,IFERROR(INDEX(CLOZE_LIST!$A:$K,ROW()-1-$L$2-$M$2+1,5),""),IF(ROW()-1&lt;=$L$2+$M$2+$N$2+$O$2,IFERROR(INDEX(PROFORMA!$A:$K,ROW()-1-$L$2-$M$2-$N$2+1,5),""),"")))))</f>
        <v>cloze_list</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t="str">
        <f>IF(ROW()-1&lt;=0,"",IF(ROW()-1&lt;=$L$2,IFERROR(INDEX(MCQ!$A:$K,ROW()-1+1,5),""),IF(ROW()-1&lt;=$L$2+$M$2,IFERROR(INDEX(CLOZE_AB!$A:$K,ROW()-1-$L$2+1,5),""),IF(ROW()-1&lt;=$L$2+$M$2+$N$2,IFERROR(INDEX(CLOZE_LIST!$A:$K,ROW()-1-$L$2-$M$2+1,5),""),IF(ROW()-1&lt;=$L$2+$M$2+$N$2+$O$2,IFERROR(INDEX(PROFORMA!$A:$K,ROW()-1-$L$2-$M$2-$N$2+1,5),""),"")))))</f>
        <v>cloze_list</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t="str">
        <f>IF(ROW()-1&lt;=0,"",IF(ROW()-1&lt;=$L$2,IFERROR(INDEX(MCQ!$A:$K,ROW()-1+1,5),""),IF(ROW()-1&lt;=$L$2+$M$2,IFERROR(INDEX(CLOZE_AB!$A:$K,ROW()-1-$L$2+1,5),""),IF(ROW()-1&lt;=$L$2+$M$2+$N$2,IFERROR(INDEX(CLOZE_LIST!$A:$K,ROW()-1-$L$2-$M$2+1,5),""),IF(ROW()-1&lt;=$L$2+$M$2+$N$2+$O$2,IFERROR(INDEX(PROFORMA!$A:$K,ROW()-1-$L$2-$M$2-$N$2+1,5),""),"")))))</f>
        <v>cloze_list</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t="str">
        <f>IF(ROW()-1&lt;=0,"",IF(ROW()-1&lt;=$L$2,IFERROR(INDEX(MCQ!$A:$K,ROW()-1+1,5),""),IF(ROW()-1&lt;=$L$2+$M$2,IFERROR(INDEX(CLOZE_AB!$A:$K,ROW()-1-$L$2+1,5),""),IF(ROW()-1&lt;=$L$2+$M$2+$N$2,IFERROR(INDEX(CLOZE_LIST!$A:$K,ROW()-1-$L$2-$M$2+1,5),""),IF(ROW()-1&lt;=$L$2+$M$2+$N$2+$O$2,IFERROR(INDEX(PROFORMA!$A:$K,ROW()-1-$L$2-$M$2-$N$2+1,5),""),"")))))</f>
        <v>cloze_list</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t="str">
        <f>IF(ROW()-1&lt;=0,"",IF(ROW()-1&lt;=$L$2,IFERROR(INDEX(MCQ!$A:$K,ROW()-1+1,5),""),IF(ROW()-1&lt;=$L$2+$M$2,IFERROR(INDEX(CLOZE_AB!$A:$K,ROW()-1-$L$2+1,5),""),IF(ROW()-1&lt;=$L$2+$M$2+$N$2,IFERROR(INDEX(CLOZE_LIST!$A:$K,ROW()-1-$L$2-$M$2+1,5),""),IF(ROW()-1&lt;=$L$2+$M$2+$N$2+$O$2,IFERROR(INDEX(PROFORMA!$A:$K,ROW()-1-$L$2-$M$2-$N$2+1,5),""),"")))))</f>
        <v>cloze_list</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t="str">
        <f>IF(ROW()-1&lt;=0,"",IF(ROW()-1&lt;=$L$2,IFERROR(INDEX(MCQ!$A:$K,ROW()-1+1,5),""),IF(ROW()-1&lt;=$L$2+$M$2,IFERROR(INDEX(CLOZE_AB!$A:$K,ROW()-1-$L$2+1,5),""),IF(ROW()-1&lt;=$L$2+$M$2+$N$2,IFERROR(INDEX(CLOZE_LIST!$A:$K,ROW()-1-$L$2-$M$2+1,5),""),IF(ROW()-1&lt;=$L$2+$M$2+$N$2+$O$2,IFERROR(INDEX(PROFORMA!$A:$K,ROW()-1-$L$2-$M$2-$N$2+1,5),""),"")))))</f>
        <v>cloze_list</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t="str">
        <f>IF(ROW()-1&lt;=0,"",IF(ROW()-1&lt;=$L$2,IFERROR(INDEX(MCQ!$A:$K,ROW()-1+1,5),""),IF(ROW()-1&lt;=$L$2+$M$2,IFERROR(INDEX(CLOZE_AB!$A:$K,ROW()-1-$L$2+1,5),""),IF(ROW()-1&lt;=$L$2+$M$2+$N$2,IFERROR(INDEX(CLOZE_LIST!$A:$K,ROW()-1-$L$2-$M$2+1,5),""),IF(ROW()-1&lt;=$L$2+$M$2+$N$2+$O$2,IFERROR(INDEX(PROFORMA!$A:$K,ROW()-1-$L$2-$M$2-$N$2+1,5),""),"")))))</f>
        <v>proforma_drag</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t="str">
        <f>IF(ROW()-1&lt;=0,"",IF(ROW()-1&lt;=$L$2,IFERROR(INDEX(MCQ!$A:$K,ROW()-1+1,5),""),IF(ROW()-1&lt;=$L$2+$M$2,IFERROR(INDEX(CLOZE_AB!$A:$K,ROW()-1-$L$2+1,5),""),IF(ROW()-1&lt;=$L$2+$M$2+$N$2,IFERROR(INDEX(CLOZE_LIST!$A:$K,ROW()-1-$L$2-$M$2+1,5),""),IF(ROW()-1&lt;=$L$2+$M$2+$N$2+$O$2,IFERROR(INDEX(PROFORMA!$A:$K,ROW()-1-$L$2-$M$2-$N$2+1,5),""),"")))))</f>
        <v>proforma_drag</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t="str">
        <f>IF(ROW()-1&lt;=0,"",IF(ROW()-1&lt;=$L$2,IFERROR(INDEX(MCQ!$A:$K,ROW()-1+1,5),""),IF(ROW()-1&lt;=$L$2+$M$2,IFERROR(INDEX(CLOZE_AB!$A:$K,ROW()-1-$L$2+1,5),""),IF(ROW()-1&lt;=$L$2+$M$2+$N$2,IFERROR(INDEX(CLOZE_LIST!$A:$K,ROW()-1-$L$2-$M$2+1,5),""),IF(ROW()-1&lt;=$L$2+$M$2+$N$2+$O$2,IFERROR(INDEX(PROFORMA!$A:$K,ROW()-1-$L$2-$M$2-$N$2+1,5),""),"")))))</f>
        <v>proforma_drag</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t="str">
        <f>IF(ROW()-1&lt;=0,"",IF(ROW()-1&lt;=$L$2,IFERROR(INDEX(MCQ!$A:$K,ROW()-1+1,5),""),IF(ROW()-1&lt;=$L$2+$M$2,IFERROR(INDEX(CLOZE_AB!$A:$K,ROW()-1-$L$2+1,5),""),IF(ROW()-1&lt;=$L$2+$M$2+$N$2,IFERROR(INDEX(CLOZE_LIST!$A:$K,ROW()-1-$L$2-$M$2+1,5),""),IF(ROW()-1&lt;=$L$2+$M$2+$N$2+$O$2,IFERROR(INDEX(PROFORMA!$A:$K,ROW()-1-$L$2-$M$2-$N$2+1,5),""),"")))))</f>
        <v>proforma_drag</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t="str">
        <f>IF(ROW()-1&lt;=0,"",IF(ROW()-1&lt;=$L$2,IFERROR(INDEX(MCQ!$A:$K,ROW()-1+1,5),""),IF(ROW()-1&lt;=$L$2+$M$2,IFERROR(INDEX(CLOZE_AB!$A:$K,ROW()-1-$L$2+1,5),""),IF(ROW()-1&lt;=$L$2+$M$2+$N$2,IFERROR(INDEX(CLOZE_LIST!$A:$K,ROW()-1-$L$2-$M$2+1,5),""),IF(ROW()-1&lt;=$L$2+$M$2+$N$2+$O$2,IFERROR(INDEX(PROFORMA!$A:$K,ROW()-1-$L$2-$M$2-$N$2+1,5),""),"")))))</f>
        <v>proforma_drag</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t="str">
        <f>IF(ROW()-1&lt;=0,"",IF(ROW()-1&lt;=$L$2,IFERROR(INDEX(MCQ!$A:$K,ROW()-1+1,5),""),IF(ROW()-1&lt;=$L$2+$M$2,IFERROR(INDEX(CLOZE_AB!$A:$K,ROW()-1-$L$2+1,5),""),IF(ROW()-1&lt;=$L$2+$M$2+$N$2,IFERROR(INDEX(CLOZE_LIST!$A:$K,ROW()-1-$L$2-$M$2+1,5),""),IF(ROW()-1&lt;=$L$2+$M$2+$N$2+$O$2,IFERROR(INDEX(PROFORMA!$A:$K,ROW()-1-$L$2-$M$2-$N$2+1,5),""),"")))))</f>
        <v>proforma_drag</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t="str">
        <f>IF(ROW()-1&lt;=0,"",IF(ROW()-1&lt;=$L$2,IFERROR(INDEX(MCQ!$A:$K,ROW()-1+1,5),""),IF(ROW()-1&lt;=$L$2+$M$2,IFERROR(INDEX(CLOZE_AB!$A:$K,ROW()-1-$L$2+1,5),""),IF(ROW()-1&lt;=$L$2+$M$2+$N$2,IFERROR(INDEX(CLOZE_LIST!$A:$K,ROW()-1-$L$2-$M$2+1,5),""),IF(ROW()-1&lt;=$L$2+$M$2+$N$2+$O$2,IFERROR(INDEX(PROFORMA!$A:$K,ROW()-1-$L$2-$M$2-$N$2+1,5),""),"")))))</f>
        <v>proforma_drag</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t="str">
        <f>IF(ROW()-1&lt;=0,"",IF(ROW()-1&lt;=$L$2,IFERROR(INDEX(MCQ!$A:$K,ROW()-1+1,5),""),IF(ROW()-1&lt;=$L$2+$M$2,IFERROR(INDEX(CLOZE_AB!$A:$K,ROW()-1-$L$2+1,5),""),IF(ROW()-1&lt;=$L$2+$M$2+$N$2,IFERROR(INDEX(CLOZE_LIST!$A:$K,ROW()-1-$L$2-$M$2+1,5),""),IF(ROW()-1&lt;=$L$2+$M$2+$N$2+$O$2,IFERROR(INDEX(PROFORMA!$A:$K,ROW()-1-$L$2-$M$2-$N$2+1,5),""),"")))))</f>
        <v>proforma_drag</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t="str">
        <f>IF(ROW()-1&lt;=0,"",IF(ROW()-1&lt;=$L$2,IFERROR(INDEX(MCQ!$A:$K,ROW()-1+1,5),""),IF(ROW()-1&lt;=$L$2+$M$2,IFERROR(INDEX(CLOZE_AB!$A:$K,ROW()-1-$L$2+1,5),""),IF(ROW()-1&lt;=$L$2+$M$2+$N$2,IFERROR(INDEX(CLOZE_LIST!$A:$K,ROW()-1-$L$2-$M$2+1,5),""),IF(ROW()-1&lt;=$L$2+$M$2+$N$2+$O$2,IFERROR(INDEX(PROFORMA!$A:$K,ROW()-1-$L$2-$M$2-$N$2+1,5),""),"")))))</f>
        <v>proforma_drag</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t="str">
        <f>IF(ROW()-1&lt;=0,"",IF(ROW()-1&lt;=$L$2,IFERROR(INDEX(MCQ!$A:$K,ROW()-1+1,5),""),IF(ROW()-1&lt;=$L$2+$M$2,IFERROR(INDEX(CLOZE_AB!$A:$K,ROW()-1-$L$2+1,5),""),IF(ROW()-1&lt;=$L$2+$M$2+$N$2,IFERROR(INDEX(CLOZE_LIST!$A:$K,ROW()-1-$L$2-$M$2+1,5),""),IF(ROW()-1&lt;=$L$2+$M$2+$N$2+$O$2,IFERROR(INDEX(PROFORMA!$A:$K,ROW()-1-$L$2-$M$2-$N$2+1,5),""),"")))))</f>
        <v>proforma_drag</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t="str">
        <f>IF(ROW()-1&lt;=0,"",IF(ROW()-1&lt;=$L$2,IFERROR(INDEX(MCQ!$A:$K,ROW()-1+1,5),""),IF(ROW()-1&lt;=$L$2+$M$2,IFERROR(INDEX(CLOZE_AB!$A:$K,ROW()-1-$L$2+1,5),""),IF(ROW()-1&lt;=$L$2+$M$2+$N$2,IFERROR(INDEX(CLOZE_LIST!$A:$K,ROW()-1-$L$2-$M$2+1,5),""),IF(ROW()-1&lt;=$L$2+$M$2+$N$2+$O$2,IFERROR(INDEX(PROFORMA!$A:$K,ROW()-1-$L$2-$M$2-$N$2+1,5),""),"")))))</f>
        <v>proforma_drag</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t="str">
        <f>IF(ROW()-1&lt;=0,"",IF(ROW()-1&lt;=$L$2,IFERROR(INDEX(MCQ!$A:$K,ROW()-1+1,5),""),IF(ROW()-1&lt;=$L$2+$M$2,IFERROR(INDEX(CLOZE_AB!$A:$K,ROW()-1-$L$2+1,5),""),IF(ROW()-1&lt;=$L$2+$M$2+$N$2,IFERROR(INDEX(CLOZE_LIST!$A:$K,ROW()-1-$L$2-$M$2+1,5),""),IF(ROW()-1&lt;=$L$2+$M$2+$N$2+$O$2,IFERROR(INDEX(PROFORMA!$A:$K,ROW()-1-$L$2-$M$2-$N$2+1,5),""),"")))))</f>
        <v>proforma_drag</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t="str">
        <f>IF(ROW()-1&lt;=0,"",IF(ROW()-1&lt;=$L$2,IFERROR(INDEX(MCQ!$A:$K,ROW()-1+1,5),""),IF(ROW()-1&lt;=$L$2+$M$2,IFERROR(INDEX(CLOZE_AB!$A:$K,ROW()-1-$L$2+1,5),""),IF(ROW()-1&lt;=$L$2+$M$2+$N$2,IFERROR(INDEX(CLOZE_LIST!$A:$K,ROW()-1-$L$2-$M$2+1,5),""),IF(ROW()-1&lt;=$L$2+$M$2+$N$2+$O$2,IFERROR(INDEX(PROFORMA!$A:$K,ROW()-1-$L$2-$M$2-$N$2+1,5),""),"")))))</f>
        <v>proforma_drag</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t="str">
        <f>IF(ROW()-1&lt;=0,"",IF(ROW()-1&lt;=$L$2,IFERROR(INDEX(MCQ!$A:$K,ROW()-1+1,5),""),IF(ROW()-1&lt;=$L$2+$M$2,IFERROR(INDEX(CLOZE_AB!$A:$K,ROW()-1-$L$2+1,5),""),IF(ROW()-1&lt;=$L$2+$M$2+$N$2,IFERROR(INDEX(CLOZE_LIST!$A:$K,ROW()-1-$L$2-$M$2+1,5),""),IF(ROW()-1&lt;=$L$2+$M$2+$N$2+$O$2,IFERROR(INDEX(PROFORMA!$A:$K,ROW()-1-$L$2-$M$2-$N$2+1,5),""),"")))))</f>
        <v>proforma_drag</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t="str">
        <f>IF(ROW()-1&lt;=0,"",IF(ROW()-1&lt;=$L$2,IFERROR(INDEX(MCQ!$A:$K,ROW()-1+1,5),""),IF(ROW()-1&lt;=$L$2+$M$2,IFERROR(INDEX(CLOZE_AB!$A:$K,ROW()-1-$L$2+1,5),""),IF(ROW()-1&lt;=$L$2+$M$2+$N$2,IFERROR(INDEX(CLOZE_LIST!$A:$K,ROW()-1-$L$2-$M$2+1,5),""),IF(ROW()-1&lt;=$L$2+$M$2+$N$2+$O$2,IFERROR(INDEX(PROFORMA!$A:$K,ROW()-1-$L$2-$M$2-$N$2+1,5),""),"")))))</f>
        <v>proforma_drag</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t="str">
        <f>IF(ROW()-1&lt;=0,"",IF(ROW()-1&lt;=$L$2,IFERROR(INDEX(MCQ!$A:$K,ROW()-1+1,5),""),IF(ROW()-1&lt;=$L$2+$M$2,IFERROR(INDEX(CLOZE_AB!$A:$K,ROW()-1-$L$2+1,5),""),IF(ROW()-1&lt;=$L$2+$M$2+$N$2,IFERROR(INDEX(CLOZE_LIST!$A:$K,ROW()-1-$L$2-$M$2+1,5),""),IF(ROW()-1&lt;=$L$2+$M$2+$N$2+$O$2,IFERROR(INDEX(PROFORMA!$A:$K,ROW()-1-$L$2-$M$2-$N$2+1,5),""),"")))))</f>
        <v>proforma_drag</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t="str">
        <f>IF(ROW()-1&lt;=0,"",IF(ROW()-1&lt;=$L$2,IFERROR(INDEX(MCQ!$A:$K,ROW()-1+1,5),""),IF(ROW()-1&lt;=$L$2+$M$2,IFERROR(INDEX(CLOZE_AB!$A:$K,ROW()-1-$L$2+1,5),""),IF(ROW()-1&lt;=$L$2+$M$2+$N$2,IFERROR(INDEX(CLOZE_LIST!$A:$K,ROW()-1-$L$2-$M$2+1,5),""),IF(ROW()-1&lt;=$L$2+$M$2+$N$2+$O$2,IFERROR(INDEX(PROFORMA!$A:$K,ROW()-1-$L$2-$M$2-$N$2+1,5),""),"")))))</f>
        <v>proforma_drag</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t="str">
        <f>IF(ROW()-1&lt;=0,"",IF(ROW()-1&lt;=$L$2,IFERROR(INDEX(MCQ!$A:$K,ROW()-1+1,5),""),IF(ROW()-1&lt;=$L$2+$M$2,IFERROR(INDEX(CLOZE_AB!$A:$K,ROW()-1-$L$2+1,5),""),IF(ROW()-1&lt;=$L$2+$M$2+$N$2,IFERROR(INDEX(CLOZE_LIST!$A:$K,ROW()-1-$L$2-$M$2+1,5),""),IF(ROW()-1&lt;=$L$2+$M$2+$N$2+$O$2,IFERROR(INDEX(PROFORMA!$A:$K,ROW()-1-$L$2-$M$2-$N$2+1,5),""),"")))))</f>
        <v>proforma_drag</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t="str">
        <f>IF(ROW()-1&lt;=0,"",IF(ROW()-1&lt;=$L$2,IFERROR(INDEX(MCQ!$A:$K,ROW()-1+1,5),""),IF(ROW()-1&lt;=$L$2+$M$2,IFERROR(INDEX(CLOZE_AB!$A:$K,ROW()-1-$L$2+1,5),""),IF(ROW()-1&lt;=$L$2+$M$2+$N$2,IFERROR(INDEX(CLOZE_LIST!$A:$K,ROW()-1-$L$2-$M$2+1,5),""),IF(ROW()-1&lt;=$L$2+$M$2+$N$2+$O$2,IFERROR(INDEX(PROFORMA!$A:$K,ROW()-1-$L$2-$M$2-$N$2+1,5),""),"")))))</f>
        <v>proforma_drag</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t="str">
        <f>IF(ROW()-1&lt;=0,"",IF(ROW()-1&lt;=$L$2,IFERROR(INDEX(MCQ!$A:$K,ROW()-1+1,5),""),IF(ROW()-1&lt;=$L$2+$M$2,IFERROR(INDEX(CLOZE_AB!$A:$K,ROW()-1-$L$2+1,5),""),IF(ROW()-1&lt;=$L$2+$M$2+$N$2,IFERROR(INDEX(CLOZE_LIST!$A:$K,ROW()-1-$L$2-$M$2+1,5),""),IF(ROW()-1&lt;=$L$2+$M$2+$N$2+$O$2,IFERROR(INDEX(PROFORMA!$A:$K,ROW()-1-$L$2-$M$2-$N$2+1,5),""),"")))))</f>
        <v>proforma_drag</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t="str">
        <f>IF(ROW()-1&lt;=0,"",IF(ROW()-1&lt;=$L$2,IFERROR(INDEX(MCQ!$A:$K,ROW()-1+1,5),""),IF(ROW()-1&lt;=$L$2+$M$2,IFERROR(INDEX(CLOZE_AB!$A:$K,ROW()-1-$L$2+1,5),""),IF(ROW()-1&lt;=$L$2+$M$2+$N$2,IFERROR(INDEX(CLOZE_LIST!$A:$K,ROW()-1-$L$2-$M$2+1,5),""),IF(ROW()-1&lt;=$L$2+$M$2+$N$2+$O$2,IFERROR(INDEX(PROFORMA!$A:$K,ROW()-1-$L$2-$M$2-$N$2+1,5),""),"")))))</f>
        <v>proforma_drag</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t="str">
        <f>IF(ROW()-1&lt;=0,"",IF(ROW()-1&lt;=$L$2,IFERROR(INDEX(MCQ!$A:$K,ROW()-1+1,5),""),IF(ROW()-1&lt;=$L$2+$M$2,IFERROR(INDEX(CLOZE_AB!$A:$K,ROW()-1-$L$2+1,5),""),IF(ROW()-1&lt;=$L$2+$M$2+$N$2,IFERROR(INDEX(CLOZE_LIST!$A:$K,ROW()-1-$L$2-$M$2+1,5),""),IF(ROW()-1&lt;=$L$2+$M$2+$N$2+$O$2,IFERROR(INDEX(PROFORMA!$A:$K,ROW()-1-$L$2-$M$2-$N$2+1,5),""),"")))))</f>
        <v>proforma_drag</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t="str">
        <f>IF(ROW()-1&lt;=0,"",IF(ROW()-1&lt;=$L$2,IFERROR(INDEX(MCQ!$A:$K,ROW()-1+1,5),""),IF(ROW()-1&lt;=$L$2+$M$2,IFERROR(INDEX(CLOZE_AB!$A:$K,ROW()-1-$L$2+1,5),""),IF(ROW()-1&lt;=$L$2+$M$2+$N$2,IFERROR(INDEX(CLOZE_LIST!$A:$K,ROW()-1-$L$2-$M$2+1,5),""),IF(ROW()-1&lt;=$L$2+$M$2+$N$2+$O$2,IFERROR(INDEX(PROFORMA!$A:$K,ROW()-1-$L$2-$M$2-$N$2+1,5),""),"")))))</f>
        <v>proforma_drag</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t="str">
        <f>IF(ROW()-1&lt;=0,"",IF(ROW()-1&lt;=$L$2,IFERROR(INDEX(MCQ!$A:$K,ROW()-1+1,5),""),IF(ROW()-1&lt;=$L$2+$M$2,IFERROR(INDEX(CLOZE_AB!$A:$K,ROW()-1-$L$2+1,5),""),IF(ROW()-1&lt;=$L$2+$M$2+$N$2,IFERROR(INDEX(CLOZE_LIST!$A:$K,ROW()-1-$L$2-$M$2+1,5),""),IF(ROW()-1&lt;=$L$2+$M$2+$N$2+$O$2,IFERROR(INDEX(PROFORMA!$A:$K,ROW()-1-$L$2-$M$2-$N$2+1,5),""),"")))))</f>
        <v>proforma_drag</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t="str">
        <f>IF(ROW()-1&lt;=0,"",IF(ROW()-1&lt;=$L$2,IFERROR(INDEX(MCQ!$A:$K,ROW()-1+1,5),""),IF(ROW()-1&lt;=$L$2+$M$2,IFERROR(INDEX(CLOZE_AB!$A:$K,ROW()-1-$L$2+1,5),""),IF(ROW()-1&lt;=$L$2+$M$2+$N$2,IFERROR(INDEX(CLOZE_LIST!$A:$K,ROW()-1-$L$2-$M$2+1,5),""),IF(ROW()-1&lt;=$L$2+$M$2+$N$2+$O$2,IFERROR(INDEX(PROFORMA!$A:$K,ROW()-1-$L$2-$M$2-$N$2+1,5),""),"")))))</f>
        <v>proforma_drag</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t="str">
        <f>IF(ROW()-1&lt;=0,"",IF(ROW()-1&lt;=$L$2,IFERROR(INDEX(MCQ!$A:$K,ROW()-1+1,5),""),IF(ROW()-1&lt;=$L$2+$M$2,IFERROR(INDEX(CLOZE_AB!$A:$K,ROW()-1-$L$2+1,5),""),IF(ROW()-1&lt;=$L$2+$M$2+$N$2,IFERROR(INDEX(CLOZE_LIST!$A:$K,ROW()-1-$L$2-$M$2+1,5),""),IF(ROW()-1&lt;=$L$2+$M$2+$N$2+$O$2,IFERROR(INDEX(PROFORMA!$A:$K,ROW()-1-$L$2-$M$2-$N$2+1,5),""),"")))))</f>
        <v>proforma_drag</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t="str">
        <f>IF(ROW()-1&lt;=0,"",IF(ROW()-1&lt;=$L$2,IFERROR(INDEX(MCQ!$A:$K,ROW()-1+1,5),""),IF(ROW()-1&lt;=$L$2+$M$2,IFERROR(INDEX(CLOZE_AB!$A:$K,ROW()-1-$L$2+1,5),""),IF(ROW()-1&lt;=$L$2+$M$2+$N$2,IFERROR(INDEX(CLOZE_LIST!$A:$K,ROW()-1-$L$2-$M$2+1,5),""),IF(ROW()-1&lt;=$L$2+$M$2+$N$2+$O$2,IFERROR(INDEX(PROFORMA!$A:$K,ROW()-1-$L$2-$M$2-$N$2+1,5),""),"")))))</f>
        <v>proforma_drag</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t="str">
        <f>IF(ROW()-1&lt;=0,"",IF(ROW()-1&lt;=$L$2,IFERROR(INDEX(MCQ!$A:$K,ROW()-1+1,5),""),IF(ROW()-1&lt;=$L$2+$M$2,IFERROR(INDEX(CLOZE_AB!$A:$K,ROW()-1-$L$2+1,5),""),IF(ROW()-1&lt;=$L$2+$M$2+$N$2,IFERROR(INDEX(CLOZE_LIST!$A:$K,ROW()-1-$L$2-$M$2+1,5),""),IF(ROW()-1&lt;=$L$2+$M$2+$N$2+$O$2,IFERROR(INDEX(PROFORMA!$A:$K,ROW()-1-$L$2-$M$2-$N$2+1,5),""),"")))))</f>
        <v>proforma_drag</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t="str">
        <f>IF(ROW()-1&lt;=0,"",IF(ROW()-1&lt;=$L$2,IFERROR(INDEX(MCQ!$A:$K,ROW()-1+1,5),""),IF(ROW()-1&lt;=$L$2+$M$2,IFERROR(INDEX(CLOZE_AB!$A:$K,ROW()-1-$L$2+1,5),""),IF(ROW()-1&lt;=$L$2+$M$2+$N$2,IFERROR(INDEX(CLOZE_LIST!$A:$K,ROW()-1-$L$2-$M$2+1,5),""),IF(ROW()-1&lt;=$L$2+$M$2+$N$2+$O$2,IFERROR(INDEX(PROFORMA!$A:$K,ROW()-1-$L$2-$M$2-$N$2+1,5),""),"")))))</f>
        <v>proforma_drag</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t="str">
        <f>IF(ROW()-1&lt;=0,"",IF(ROW()-1&lt;=$L$2,IFERROR(INDEX(MCQ!$A:$K,ROW()-1+1,5),""),IF(ROW()-1&lt;=$L$2+$M$2,IFERROR(INDEX(CLOZE_AB!$A:$K,ROW()-1-$L$2+1,5),""),IF(ROW()-1&lt;=$L$2+$M$2+$N$2,IFERROR(INDEX(CLOZE_LIST!$A:$K,ROW()-1-$L$2-$M$2+1,5),""),IF(ROW()-1&lt;=$L$2+$M$2+$N$2+$O$2,IFERROR(INDEX(PROFORMA!$A:$K,ROW()-1-$L$2-$M$2-$N$2+1,5),""),"")))))</f>
        <v>proforma_drag</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t="str">
        <f>IF(ROW()-1&lt;=0,"",IF(ROW()-1&lt;=$L$2,IFERROR(INDEX(MCQ!$A:$K,ROW()-1+1,5),""),IF(ROW()-1&lt;=$L$2+$M$2,IFERROR(INDEX(CLOZE_AB!$A:$K,ROW()-1-$L$2+1,5),""),IF(ROW()-1&lt;=$L$2+$M$2+$N$2,IFERROR(INDEX(CLOZE_LIST!$A:$K,ROW()-1-$L$2-$M$2+1,5),""),IF(ROW()-1&lt;=$L$2+$M$2+$N$2+$O$2,IFERROR(INDEX(PROFORMA!$A:$K,ROW()-1-$L$2-$M$2-$N$2+1,5),""),"")))))</f>
        <v>proforma_drag</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t="str">
        <f>IF(ROW()-1&lt;=0,"",IF(ROW()-1&lt;=$L$2,IFERROR(INDEX(MCQ!$A:$K,ROW()-1+1,5),""),IF(ROW()-1&lt;=$L$2+$M$2,IFERROR(INDEX(CLOZE_AB!$A:$K,ROW()-1-$L$2+1,5),""),IF(ROW()-1&lt;=$L$2+$M$2+$N$2,IFERROR(INDEX(CLOZE_LIST!$A:$K,ROW()-1-$L$2-$M$2+1,5),""),IF(ROW()-1&lt;=$L$2+$M$2+$N$2+$O$2,IFERROR(INDEX(PROFORMA!$A:$K,ROW()-1-$L$2-$M$2-$N$2+1,5),""),"")))))</f>
        <v>proforma_drag</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t="str">
        <f>IF(ROW()-1&lt;=0,"",IF(ROW()-1&lt;=$L$2,IFERROR(INDEX(MCQ!$A:$K,ROW()-1+1,5),""),IF(ROW()-1&lt;=$L$2+$M$2,IFERROR(INDEX(CLOZE_AB!$A:$K,ROW()-1-$L$2+1,5),""),IF(ROW()-1&lt;=$L$2+$M$2+$N$2,IFERROR(INDEX(CLOZE_LIST!$A:$K,ROW()-1-$L$2-$M$2+1,5),""),IF(ROW()-1&lt;=$L$2+$M$2+$N$2+$O$2,IFERROR(INDEX(PROFORMA!$A:$K,ROW()-1-$L$2-$M$2-$N$2+1,5),""),"")))))</f>
        <v>proforma_drag</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t="str">
        <f>IF(ROW()-1&lt;=0,"",IF(ROW()-1&lt;=$L$2,IFERROR(INDEX(MCQ!$A:$K,ROW()-1+1,5),""),IF(ROW()-1&lt;=$L$2+$M$2,IFERROR(INDEX(CLOZE_AB!$A:$K,ROW()-1-$L$2+1,5),""),IF(ROW()-1&lt;=$L$2+$M$2+$N$2,IFERROR(INDEX(CLOZE_LIST!$A:$K,ROW()-1-$L$2-$M$2+1,5),""),IF(ROW()-1&lt;=$L$2+$M$2+$N$2+$O$2,IFERROR(INDEX(PROFORMA!$A:$K,ROW()-1-$L$2-$M$2-$N$2+1,5),""),"")))))</f>
        <v>proforma_drag</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t="str">
        <f>IF(ROW()-1&lt;=0,"",IF(ROW()-1&lt;=$L$2,IFERROR(INDEX(MCQ!$A:$K,ROW()-1+1,5),""),IF(ROW()-1&lt;=$L$2+$M$2,IFERROR(INDEX(CLOZE_AB!$A:$K,ROW()-1-$L$2+1,5),""),IF(ROW()-1&lt;=$L$2+$M$2+$N$2,IFERROR(INDEX(CLOZE_LIST!$A:$K,ROW()-1-$L$2-$M$2+1,5),""),IF(ROW()-1&lt;=$L$2+$M$2+$N$2+$O$2,IFERROR(INDEX(PROFORMA!$A:$K,ROW()-1-$L$2-$M$2-$N$2+1,5),""),"")))))</f>
        <v>proforma_drag</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t="str">
        <f>IF(ROW()-1&lt;=0,"",IF(ROW()-1&lt;=$L$2,IFERROR(INDEX(MCQ!$A:$K,ROW()-1+1,5),""),IF(ROW()-1&lt;=$L$2+$M$2,IFERROR(INDEX(CLOZE_AB!$A:$K,ROW()-1-$L$2+1,5),""),IF(ROW()-1&lt;=$L$2+$M$2+$N$2,IFERROR(INDEX(CLOZE_LIST!$A:$K,ROW()-1-$L$2-$M$2+1,5),""),IF(ROW()-1&lt;=$L$2+$M$2+$N$2+$O$2,IFERROR(INDEX(PROFORMA!$A:$K,ROW()-1-$L$2-$M$2-$N$2+1,5),""),"")))))</f>
        <v>proforma_drag</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t="str">
        <f>IF(ROW()-1&lt;=0,"",IF(ROW()-1&lt;=$L$2,IFERROR(INDEX(MCQ!$A:$K,ROW()-1+1,5),""),IF(ROW()-1&lt;=$L$2+$M$2,IFERROR(INDEX(CLOZE_AB!$A:$K,ROW()-1-$L$2+1,5),""),IF(ROW()-1&lt;=$L$2+$M$2+$N$2,IFERROR(INDEX(CLOZE_LIST!$A:$K,ROW()-1-$L$2-$M$2+1,5),""),IF(ROW()-1&lt;=$L$2+$M$2+$N$2+$O$2,IFERROR(INDEX(PROFORMA!$A:$K,ROW()-1-$L$2-$M$2-$N$2+1,5),""),"")))))</f>
        <v>proforma_drag</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t="str">
        <f>IF(ROW()-1&lt;=0,"",IF(ROW()-1&lt;=$L$2,IFERROR(INDEX(MCQ!$A:$K,ROW()-1+1,5),""),IF(ROW()-1&lt;=$L$2+$M$2,IFERROR(INDEX(CLOZE_AB!$A:$K,ROW()-1-$L$2+1,5),""),IF(ROW()-1&lt;=$L$2+$M$2+$N$2,IFERROR(INDEX(CLOZE_LIST!$A:$K,ROW()-1-$L$2-$M$2+1,5),""),IF(ROW()-1&lt;=$L$2+$M$2+$N$2+$O$2,IFERROR(INDEX(PROFORMA!$A:$K,ROW()-1-$L$2-$M$2-$N$2+1,5),""),"")))))</f>
        <v>proforma_drag</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t="str">
        <f>IF(ROW()-1&lt;=0,"",IF(ROW()-1&lt;=$L$2,IFERROR(INDEX(MCQ!$A:$K,ROW()-1+1,5),""),IF(ROW()-1&lt;=$L$2+$M$2,IFERROR(INDEX(CLOZE_AB!$A:$K,ROW()-1-$L$2+1,5),""),IF(ROW()-1&lt;=$L$2+$M$2+$N$2,IFERROR(INDEX(CLOZE_LIST!$A:$K,ROW()-1-$L$2-$M$2+1,5),""),IF(ROW()-1&lt;=$L$2+$M$2+$N$2+$O$2,IFERROR(INDEX(PROFORMA!$A:$K,ROW()-1-$L$2-$M$2-$N$2+1,5),""),"")))))</f>
        <v>proforma_drag</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t="str">
        <f>IF(ROW()-1&lt;=0,"",IF(ROW()-1&lt;=$L$2,IFERROR(INDEX(MCQ!$A:$K,ROW()-1+1,5),""),IF(ROW()-1&lt;=$L$2+$M$2,IFERROR(INDEX(CLOZE_AB!$A:$K,ROW()-1-$L$2+1,5),""),IF(ROW()-1&lt;=$L$2+$M$2+$N$2,IFERROR(INDEX(CLOZE_LIST!$A:$K,ROW()-1-$L$2-$M$2+1,5),""),IF(ROW()-1&lt;=$L$2+$M$2+$N$2+$O$2,IFERROR(INDEX(PROFORMA!$A:$K,ROW()-1-$L$2-$M$2-$N$2+1,5),""),"")))))</f>
        <v>proforma_drag</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t="str">
        <f>IF(ROW()-1&lt;=0,"",IF(ROW()-1&lt;=$L$2,IFERROR(INDEX(MCQ!$A:$K,ROW()-1+1,5),""),IF(ROW()-1&lt;=$L$2+$M$2,IFERROR(INDEX(CLOZE_AB!$A:$K,ROW()-1-$L$2+1,5),""),IF(ROW()-1&lt;=$L$2+$M$2+$N$2,IFERROR(INDEX(CLOZE_LIST!$A:$K,ROW()-1-$L$2-$M$2+1,5),""),IF(ROW()-1&lt;=$L$2+$M$2+$N$2+$O$2,IFERROR(INDEX(PROFORMA!$A:$K,ROW()-1-$L$2-$M$2-$N$2+1,5),""),"")))))</f>
        <v>proforma_drag</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t="str">
        <f>IF(ROW()-1&lt;=0,"",IF(ROW()-1&lt;=$L$2,IFERROR(INDEX(MCQ!$A:$K,ROW()-1+1,5),""),IF(ROW()-1&lt;=$L$2+$M$2,IFERROR(INDEX(CLOZE_AB!$A:$K,ROW()-1-$L$2+1,5),""),IF(ROW()-1&lt;=$L$2+$M$2+$N$2,IFERROR(INDEX(CLOZE_LIST!$A:$K,ROW()-1-$L$2-$M$2+1,5),""),IF(ROW()-1&lt;=$L$2+$M$2+$N$2+$O$2,IFERROR(INDEX(PROFORMA!$A:$K,ROW()-1-$L$2-$M$2-$N$2+1,5),""),"")))))</f>
        <v>proforma_drag</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t="str">
        <f>IF(ROW()-1&lt;=0,"",IF(ROW()-1&lt;=$L$2,IFERROR(INDEX(MCQ!$A:$K,ROW()-1+1,5),""),IF(ROW()-1&lt;=$L$2+$M$2,IFERROR(INDEX(CLOZE_AB!$A:$K,ROW()-1-$L$2+1,5),""),IF(ROW()-1&lt;=$L$2+$M$2+$N$2,IFERROR(INDEX(CLOZE_LIST!$A:$K,ROW()-1-$L$2-$M$2+1,5),""),IF(ROW()-1&lt;=$L$2+$M$2+$N$2+$O$2,IFERROR(INDEX(PROFORMA!$A:$K,ROW()-1-$L$2-$M$2-$N$2+1,5),""),"")))))</f>
        <v>proforma_drag</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t="str">
        <f>IF(ROW()-1&lt;=0,"",IF(ROW()-1&lt;=$L$2,IFERROR(INDEX(MCQ!$A:$K,ROW()-1+1,5),""),IF(ROW()-1&lt;=$L$2+$M$2,IFERROR(INDEX(CLOZE_AB!$A:$K,ROW()-1-$L$2+1,5),""),IF(ROW()-1&lt;=$L$2+$M$2+$N$2,IFERROR(INDEX(CLOZE_LIST!$A:$K,ROW()-1-$L$2-$M$2+1,5),""),IF(ROW()-1&lt;=$L$2+$M$2+$N$2+$O$2,IFERROR(INDEX(PROFORMA!$A:$K,ROW()-1-$L$2-$M$2-$N$2+1,5),""),"")))))</f>
        <v>proforma_drag</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t="str">
        <f>IF(ROW()-1&lt;=0,"",IF(ROW()-1&lt;=$L$2,IFERROR(INDEX(MCQ!$A:$K,ROW()-1+1,5),""),IF(ROW()-1&lt;=$L$2+$M$2,IFERROR(INDEX(CLOZE_AB!$A:$K,ROW()-1-$L$2+1,5),""),IF(ROW()-1&lt;=$L$2+$M$2+$N$2,IFERROR(INDEX(CLOZE_LIST!$A:$K,ROW()-1-$L$2-$M$2+1,5),""),IF(ROW()-1&lt;=$L$2+$M$2+$N$2+$O$2,IFERROR(INDEX(PROFORMA!$A:$K,ROW()-1-$L$2-$M$2-$N$2+1,5),""),"")))))</f>
        <v>proforma_drag</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t="str">
        <f>IF(ROW()-1&lt;=0,"",IF(ROW()-1&lt;=$L$2,IFERROR(INDEX(MCQ!$A:$K,ROW()-1+1,5),""),IF(ROW()-1&lt;=$L$2+$M$2,IFERROR(INDEX(CLOZE_AB!$A:$K,ROW()-1-$L$2+1,5),""),IF(ROW()-1&lt;=$L$2+$M$2+$N$2,IFERROR(INDEX(CLOZE_LIST!$A:$K,ROW()-1-$L$2-$M$2+1,5),""),IF(ROW()-1&lt;=$L$2+$M$2+$N$2+$O$2,IFERROR(INDEX(PROFORMA!$A:$K,ROW()-1-$L$2-$M$2-$N$2+1,5),""),"")))))</f>
        <v>proforma_drag</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t="str">
        <f>IF(ROW()-1&lt;=0,"",IF(ROW()-1&lt;=$L$2,IFERROR(INDEX(MCQ!$A:$K,ROW()-1+1,5),""),IF(ROW()-1&lt;=$L$2+$M$2,IFERROR(INDEX(CLOZE_AB!$A:$K,ROW()-1-$L$2+1,5),""),IF(ROW()-1&lt;=$L$2+$M$2+$N$2,IFERROR(INDEX(CLOZE_LIST!$A:$K,ROW()-1-$L$2-$M$2+1,5),""),IF(ROW()-1&lt;=$L$2+$M$2+$N$2+$O$2,IFERROR(INDEX(PROFORMA!$A:$K,ROW()-1-$L$2-$M$2-$N$2+1,5),""),"")))))</f>
        <v>proforma_drag</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t="str">
        <f>IF(ROW()-1&lt;=0,"",IF(ROW()-1&lt;=$L$2,IFERROR(INDEX(MCQ!$A:$K,ROW()-1+1,5),""),IF(ROW()-1&lt;=$L$2+$M$2,IFERROR(INDEX(CLOZE_AB!$A:$K,ROW()-1-$L$2+1,5),""),IF(ROW()-1&lt;=$L$2+$M$2+$N$2,IFERROR(INDEX(CLOZE_LIST!$A:$K,ROW()-1-$L$2-$M$2+1,5),""),IF(ROW()-1&lt;=$L$2+$M$2+$N$2+$O$2,IFERROR(INDEX(PROFORMA!$A:$K,ROW()-1-$L$2-$M$2-$N$2+1,5),""),"")))))</f>
        <v>proforma_drag</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t="str">
        <f>IF(ROW()-1&lt;=0,"",IF(ROW()-1&lt;=$L$2,IFERROR(INDEX(MCQ!$A:$K,ROW()-1+1,5),""),IF(ROW()-1&lt;=$L$2+$M$2,IFERROR(INDEX(CLOZE_AB!$A:$K,ROW()-1-$L$2+1,5),""),IF(ROW()-1&lt;=$L$2+$M$2+$N$2,IFERROR(INDEX(CLOZE_LIST!$A:$K,ROW()-1-$L$2-$M$2+1,5),""),IF(ROW()-1&lt;=$L$2+$M$2+$N$2+$O$2,IFERROR(INDEX(PROFORMA!$A:$K,ROW()-1-$L$2-$M$2-$N$2+1,5),""),"")))))</f>
        <v>proforma_drag</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t="str">
        <f>IF(ROW()-1&lt;=0,"",IF(ROW()-1&lt;=$L$2,IFERROR(INDEX(MCQ!$A:$K,ROW()-1+1,5),""),IF(ROW()-1&lt;=$L$2+$M$2,IFERROR(INDEX(CLOZE_AB!$A:$K,ROW()-1-$L$2+1,5),""),IF(ROW()-1&lt;=$L$2+$M$2+$N$2,IFERROR(INDEX(CLOZE_LIST!$A:$K,ROW()-1-$L$2-$M$2+1,5),""),IF(ROW()-1&lt;=$L$2+$M$2+$N$2+$O$2,IFERROR(INDEX(PROFORMA!$A:$K,ROW()-1-$L$2-$M$2-$N$2+1,5),""),"")))))</f>
        <v>proforma_drag</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t="str">
        <f>IF(ROW()-1&lt;=0,"",IF(ROW()-1&lt;=$L$2,IFERROR(INDEX(MCQ!$A:$K,ROW()-1+1,5),""),IF(ROW()-1&lt;=$L$2+$M$2,IFERROR(INDEX(CLOZE_AB!$A:$K,ROW()-1-$L$2+1,5),""),IF(ROW()-1&lt;=$L$2+$M$2+$N$2,IFERROR(INDEX(CLOZE_LIST!$A:$K,ROW()-1-$L$2-$M$2+1,5),""),IF(ROW()-1&lt;=$L$2+$M$2+$N$2+$O$2,IFERROR(INDEX(PROFORMA!$A:$K,ROW()-1-$L$2-$M$2-$N$2+1,5),""),"")))))</f>
        <v>proforma_drag</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t="str">
        <f>IF(ROW()-1&lt;=0,"",IF(ROW()-1&lt;=$L$2,IFERROR(INDEX(MCQ!$A:$K,ROW()-1+1,5),""),IF(ROW()-1&lt;=$L$2+$M$2,IFERROR(INDEX(CLOZE_AB!$A:$K,ROW()-1-$L$2+1,5),""),IF(ROW()-1&lt;=$L$2+$M$2+$N$2,IFERROR(INDEX(CLOZE_LIST!$A:$K,ROW()-1-$L$2-$M$2+1,5),""),IF(ROW()-1&lt;=$L$2+$M$2+$N$2+$O$2,IFERROR(INDEX(PROFORMA!$A:$K,ROW()-1-$L$2-$M$2-$N$2+1,5),""),"")))))</f>
        <v>proforma_drag</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t="str">
        <f>IF(ROW()-1&lt;=0,"",IF(ROW()-1&lt;=$L$2,IFERROR(INDEX(MCQ!$A:$K,ROW()-1+1,5),""),IF(ROW()-1&lt;=$L$2+$M$2,IFERROR(INDEX(CLOZE_AB!$A:$K,ROW()-1-$L$2+1,5),""),IF(ROW()-1&lt;=$L$2+$M$2+$N$2,IFERROR(INDEX(CLOZE_LIST!$A:$K,ROW()-1-$L$2-$M$2+1,5),""),IF(ROW()-1&lt;=$L$2+$M$2+$N$2+$O$2,IFERROR(INDEX(PROFORMA!$A:$K,ROW()-1-$L$2-$M$2-$N$2+1,5),""),"")))))</f>
        <v>proforma_drag</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t="str">
        <f>IF(ROW()-1&lt;=0,"",IF(ROW()-1&lt;=$L$2,IFERROR(INDEX(MCQ!$A:$K,ROW()-1+1,5),""),IF(ROW()-1&lt;=$L$2+$M$2,IFERROR(INDEX(CLOZE_AB!$A:$K,ROW()-1-$L$2+1,5),""),IF(ROW()-1&lt;=$L$2+$M$2+$N$2,IFERROR(INDEX(CLOZE_LIST!$A:$K,ROW()-1-$L$2-$M$2+1,5),""),IF(ROW()-1&lt;=$L$2+$M$2+$N$2+$O$2,IFERROR(INDEX(PROFORMA!$A:$K,ROW()-1-$L$2-$M$2-$N$2+1,5),""),"")))))</f>
        <v>proforma_drag</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t="str">
        <f>IF(ROW()-1&lt;=0,"",IF(ROW()-1&lt;=$L$2,IFERROR(INDEX(MCQ!$A:$K,ROW()-1+1,5),""),IF(ROW()-1&lt;=$L$2+$M$2,IFERROR(INDEX(CLOZE_AB!$A:$K,ROW()-1-$L$2+1,5),""),IF(ROW()-1&lt;=$L$2+$M$2+$N$2,IFERROR(INDEX(CLOZE_LIST!$A:$K,ROW()-1-$L$2-$M$2+1,5),""),IF(ROW()-1&lt;=$L$2+$M$2+$N$2+$O$2,IFERROR(INDEX(PROFORMA!$A:$K,ROW()-1-$L$2-$M$2-$N$2+1,5),""),"")))))</f>
        <v>proforma_drag</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t="str">
        <f>IF(ROW()-1&lt;=0,"",IF(ROW()-1&lt;=$L$2,IFERROR(INDEX(MCQ!$A:$K,ROW()-1+1,5),""),IF(ROW()-1&lt;=$L$2+$M$2,IFERROR(INDEX(CLOZE_AB!$A:$K,ROW()-1-$L$2+1,5),""),IF(ROW()-1&lt;=$L$2+$M$2+$N$2,IFERROR(INDEX(CLOZE_LIST!$A:$K,ROW()-1-$L$2-$M$2+1,5),""),IF(ROW()-1&lt;=$L$2+$M$2+$N$2+$O$2,IFERROR(INDEX(PROFORMA!$A:$K,ROW()-1-$L$2-$M$2-$N$2+1,5),""),"")))))</f>
        <v>proforma_drag</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t="str">
        <f>IF(ROW()-1&lt;=0,"",IF(ROW()-1&lt;=$L$2,IFERROR(INDEX(MCQ!$A:$K,ROW()-1+1,5),""),IF(ROW()-1&lt;=$L$2+$M$2,IFERROR(INDEX(CLOZE_AB!$A:$K,ROW()-1-$L$2+1,5),""),IF(ROW()-1&lt;=$L$2+$M$2+$N$2,IFERROR(INDEX(CLOZE_LIST!$A:$K,ROW()-1-$L$2-$M$2+1,5),""),IF(ROW()-1&lt;=$L$2+$M$2+$N$2+$O$2,IFERROR(INDEX(PROFORMA!$A:$K,ROW()-1-$L$2-$M$2-$N$2+1,5),""),"")))))</f>
        <v>proforma_drag</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t="str">
        <f>IF(ROW()-1&lt;=0,"",IF(ROW()-1&lt;=$L$2,IFERROR(INDEX(MCQ!$A:$K,ROW()-1+1,5),""),IF(ROW()-1&lt;=$L$2+$M$2,IFERROR(INDEX(CLOZE_AB!$A:$K,ROW()-1-$L$2+1,5),""),IF(ROW()-1&lt;=$L$2+$M$2+$N$2,IFERROR(INDEX(CLOZE_LIST!$A:$K,ROW()-1-$L$2-$M$2+1,5),""),IF(ROW()-1&lt;=$L$2+$M$2+$N$2+$O$2,IFERROR(INDEX(PROFORMA!$A:$K,ROW()-1-$L$2-$M$2-$N$2+1,5),""),"")))))</f>
        <v>proforma_drag</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t="str">
        <f>IF(ROW()-1&lt;=0,"",IF(ROW()-1&lt;=$L$2,IFERROR(INDEX(MCQ!$A:$K,ROW()-1+1,5),""),IF(ROW()-1&lt;=$L$2+$M$2,IFERROR(INDEX(CLOZE_AB!$A:$K,ROW()-1-$L$2+1,5),""),IF(ROW()-1&lt;=$L$2+$M$2+$N$2,IFERROR(INDEX(CLOZE_LIST!$A:$K,ROW()-1-$L$2-$M$2+1,5),""),IF(ROW()-1&lt;=$L$2+$M$2+$N$2+$O$2,IFERROR(INDEX(PROFORMA!$A:$K,ROW()-1-$L$2-$M$2-$N$2+1,5),""),"")))))</f>
        <v>proforma_drag</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t="str">
        <f>IF(ROW()-1&lt;=0,"",IF(ROW()-1&lt;=$L$2,IFERROR(INDEX(MCQ!$A:$K,ROW()-1+1,5),""),IF(ROW()-1&lt;=$L$2+$M$2,IFERROR(INDEX(CLOZE_AB!$A:$K,ROW()-1-$L$2+1,5),""),IF(ROW()-1&lt;=$L$2+$M$2+$N$2,IFERROR(INDEX(CLOZE_LIST!$A:$K,ROW()-1-$L$2-$M$2+1,5),""),IF(ROW()-1&lt;=$L$2+$M$2+$N$2+$O$2,IFERROR(INDEX(PROFORMA!$A:$K,ROW()-1-$L$2-$M$2-$N$2+1,5),""),"")))))</f>
        <v>proforma_drag</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t="str">
        <f>IF(ROW()-1&lt;=0,"",IF(ROW()-1&lt;=$L$2,IFERROR(INDEX(MCQ!$A:$K,ROW()-1+1,5),""),IF(ROW()-1&lt;=$L$2+$M$2,IFERROR(INDEX(CLOZE_AB!$A:$K,ROW()-1-$L$2+1,5),""),IF(ROW()-1&lt;=$L$2+$M$2+$N$2,IFERROR(INDEX(CLOZE_LIST!$A:$K,ROW()-1-$L$2-$M$2+1,5),""),IF(ROW()-1&lt;=$L$2+$M$2+$N$2+$O$2,IFERROR(INDEX(PROFORMA!$A:$K,ROW()-1-$L$2-$M$2-$N$2+1,5),""),"")))))</f>
        <v>proforma_drag</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t="str">
        <f>IF(ROW()-1&lt;=0,"",IF(ROW()-1&lt;=$L$2,IFERROR(INDEX(MCQ!$A:$K,ROW()-1+1,5),""),IF(ROW()-1&lt;=$L$2+$M$2,IFERROR(INDEX(CLOZE_AB!$A:$K,ROW()-1-$L$2+1,5),""),IF(ROW()-1&lt;=$L$2+$M$2+$N$2,IFERROR(INDEX(CLOZE_LIST!$A:$K,ROW()-1-$L$2-$M$2+1,5),""),IF(ROW()-1&lt;=$L$2+$M$2+$N$2+$O$2,IFERROR(INDEX(PROFORMA!$A:$K,ROW()-1-$L$2-$M$2-$N$2+1,5),""),"")))))</f>
        <v>proforma_drag</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t="str">
        <f>IF(ROW()-1&lt;=0,"",IF(ROW()-1&lt;=$L$2,IFERROR(INDEX(MCQ!$A:$K,ROW()-1+1,5),""),IF(ROW()-1&lt;=$L$2+$M$2,IFERROR(INDEX(CLOZE_AB!$A:$K,ROW()-1-$L$2+1,5),""),IF(ROW()-1&lt;=$L$2+$M$2+$N$2,IFERROR(INDEX(CLOZE_LIST!$A:$K,ROW()-1-$L$2-$M$2+1,5),""),IF(ROW()-1&lt;=$L$2+$M$2+$N$2+$O$2,IFERROR(INDEX(PROFORMA!$A:$K,ROW()-1-$L$2-$M$2-$N$2+1,5),""),"")))))</f>
        <v>proforma_drag</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t="str">
        <f>IF(ROW()-1&lt;=0,"",IF(ROW()-1&lt;=$L$2,IFERROR(INDEX(MCQ!$A:$K,ROW()-1+1,5),""),IF(ROW()-1&lt;=$L$2+$M$2,IFERROR(INDEX(CLOZE_AB!$A:$K,ROW()-1-$L$2+1,5),""),IF(ROW()-1&lt;=$L$2+$M$2+$N$2,IFERROR(INDEX(CLOZE_LIST!$A:$K,ROW()-1-$L$2-$M$2+1,5),""),IF(ROW()-1&lt;=$L$2+$M$2+$N$2+$O$2,IFERROR(INDEX(PROFORMA!$A:$K,ROW()-1-$L$2-$M$2-$N$2+1,5),""),"")))))</f>
        <v>proforma_drag</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t="str">
        <f>IF(ROW()-1&lt;=0,"",IF(ROW()-1&lt;=$L$2,IFERROR(INDEX(MCQ!$A:$K,ROW()-1+1,5),""),IF(ROW()-1&lt;=$L$2+$M$2,IFERROR(INDEX(CLOZE_AB!$A:$K,ROW()-1-$L$2+1,5),""),IF(ROW()-1&lt;=$L$2+$M$2+$N$2,IFERROR(INDEX(CLOZE_LIST!$A:$K,ROW()-1-$L$2-$M$2+1,5),""),IF(ROW()-1&lt;=$L$2+$M$2+$N$2+$O$2,IFERROR(INDEX(PROFORMA!$A:$K,ROW()-1-$L$2-$M$2-$N$2+1,5),""),"")))))</f>
        <v>proforma_drag</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t="str">
        <f>IF(ROW()-1&lt;=0,"",IF(ROW()-1&lt;=$L$2,IFERROR(INDEX(MCQ!$A:$K,ROW()-1+1,5),""),IF(ROW()-1&lt;=$L$2+$M$2,IFERROR(INDEX(CLOZE_AB!$A:$K,ROW()-1-$L$2+1,5),""),IF(ROW()-1&lt;=$L$2+$M$2+$N$2,IFERROR(INDEX(CLOZE_LIST!$A:$K,ROW()-1-$L$2-$M$2+1,5),""),IF(ROW()-1&lt;=$L$2+$M$2+$N$2+$O$2,IFERROR(INDEX(PROFORMA!$A:$K,ROW()-1-$L$2-$M$2-$N$2+1,5),""),"")))))</f>
        <v>proforma_drag</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t="str">
        <f>IF(ROW()-1&lt;=0,"",IF(ROW()-1&lt;=$L$2,IFERROR(INDEX(MCQ!$A:$K,ROW()-1+1,5),""),IF(ROW()-1&lt;=$L$2+$M$2,IFERROR(INDEX(CLOZE_AB!$A:$K,ROW()-1-$L$2+1,5),""),IF(ROW()-1&lt;=$L$2+$M$2+$N$2,IFERROR(INDEX(CLOZE_LIST!$A:$K,ROW()-1-$L$2-$M$2+1,5),""),IF(ROW()-1&lt;=$L$2+$M$2+$N$2+$O$2,IFERROR(INDEX(PROFORMA!$A:$K,ROW()-1-$L$2-$M$2-$N$2+1,5),""),"")))))</f>
        <v>proforma_drag</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t="str">
        <f>IF(ROW()-1&lt;=0,"",IF(ROW()-1&lt;=$L$2,IFERROR(INDEX(MCQ!$A:$K,ROW()-1+1,5),""),IF(ROW()-1&lt;=$L$2+$M$2,IFERROR(INDEX(CLOZE_AB!$A:$K,ROW()-1-$L$2+1,5),""),IF(ROW()-1&lt;=$L$2+$M$2+$N$2,IFERROR(INDEX(CLOZE_LIST!$A:$K,ROW()-1-$L$2-$M$2+1,5),""),IF(ROW()-1&lt;=$L$2+$M$2+$N$2+$O$2,IFERROR(INDEX(PROFORMA!$A:$K,ROW()-1-$L$2-$M$2-$N$2+1,5),""),"")))))</f>
        <v>proforma_drag</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t="str">
        <f>IF(ROW()-1&lt;=0,"",IF(ROW()-1&lt;=$L$2,IFERROR(INDEX(MCQ!$A:$K,ROW()-1+1,5),""),IF(ROW()-1&lt;=$L$2+$M$2,IFERROR(INDEX(CLOZE_AB!$A:$K,ROW()-1-$L$2+1,5),""),IF(ROW()-1&lt;=$L$2+$M$2+$N$2,IFERROR(INDEX(CLOZE_LIST!$A:$K,ROW()-1-$L$2-$M$2+1,5),""),IF(ROW()-1&lt;=$L$2+$M$2+$N$2+$O$2,IFERROR(INDEX(PROFORMA!$A:$K,ROW()-1-$L$2-$M$2-$N$2+1,5),""),"")))))</f>
        <v>proforma_drag</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t="str">
        <f>IF(ROW()-1&lt;=0,"",IF(ROW()-1&lt;=$L$2,IFERROR(INDEX(MCQ!$A:$K,ROW()-1+1,5),""),IF(ROW()-1&lt;=$L$2+$M$2,IFERROR(INDEX(CLOZE_AB!$A:$K,ROW()-1-$L$2+1,5),""),IF(ROW()-1&lt;=$L$2+$M$2+$N$2,IFERROR(INDEX(CLOZE_LIST!$A:$K,ROW()-1-$L$2-$M$2+1,5),""),IF(ROW()-1&lt;=$L$2+$M$2+$N$2+$O$2,IFERROR(INDEX(PROFORMA!$A:$K,ROW()-1-$L$2-$M$2-$N$2+1,5),""),"")))))</f>
        <v>proforma_drag</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t="str">
        <f>IF(ROW()-1&lt;=0,"",IF(ROW()-1&lt;=$L$2,IFERROR(INDEX(MCQ!$A:$K,ROW()-1+1,5),""),IF(ROW()-1&lt;=$L$2+$M$2,IFERROR(INDEX(CLOZE_AB!$A:$K,ROW()-1-$L$2+1,5),""),IF(ROW()-1&lt;=$L$2+$M$2+$N$2,IFERROR(INDEX(CLOZE_LIST!$A:$K,ROW()-1-$L$2-$M$2+1,5),""),IF(ROW()-1&lt;=$L$2+$M$2+$N$2+$O$2,IFERROR(INDEX(PROFORMA!$A:$K,ROW()-1-$L$2-$M$2-$N$2+1,5),""),"")))))</f>
        <v>proforma_drag</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t="str">
        <f>IF(ROW()-1&lt;=0,"",IF(ROW()-1&lt;=$L$2,IFERROR(INDEX(MCQ!$A:$K,ROW()-1+1,5),""),IF(ROW()-1&lt;=$L$2+$M$2,IFERROR(INDEX(CLOZE_AB!$A:$K,ROW()-1-$L$2+1,5),""),IF(ROW()-1&lt;=$L$2+$M$2+$N$2,IFERROR(INDEX(CLOZE_LIST!$A:$K,ROW()-1-$L$2-$M$2+1,5),""),IF(ROW()-1&lt;=$L$2+$M$2+$N$2+$O$2,IFERROR(INDEX(PROFORMA!$A:$K,ROW()-1-$L$2-$M$2-$N$2+1,5),""),"")))))</f>
        <v>proforma_drag</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t="str">
        <f>IF(ROW()-1&lt;=0,"",IF(ROW()-1&lt;=$L$2,IFERROR(INDEX(MCQ!$A:$K,ROW()-1+1,5),""),IF(ROW()-1&lt;=$L$2+$M$2,IFERROR(INDEX(CLOZE_AB!$A:$K,ROW()-1-$L$2+1,5),""),IF(ROW()-1&lt;=$L$2+$M$2+$N$2,IFERROR(INDEX(CLOZE_LIST!$A:$K,ROW()-1-$L$2-$M$2+1,5),""),IF(ROW()-1&lt;=$L$2+$M$2+$N$2+$O$2,IFERROR(INDEX(PROFORMA!$A:$K,ROW()-1-$L$2-$M$2-$N$2+1,5),""),"")))))</f>
        <v>proforma_drag</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t="str">
        <f>IF(ROW()-1&lt;=0,"",IF(ROW()-1&lt;=$L$2,IFERROR(INDEX(MCQ!$A:$K,ROW()-1+1,5),""),IF(ROW()-1&lt;=$L$2+$M$2,IFERROR(INDEX(CLOZE_AB!$A:$K,ROW()-1-$L$2+1,5),""),IF(ROW()-1&lt;=$L$2+$M$2+$N$2,IFERROR(INDEX(CLOZE_LIST!$A:$K,ROW()-1-$L$2-$M$2+1,5),""),IF(ROW()-1&lt;=$L$2+$M$2+$N$2+$O$2,IFERROR(INDEX(PROFORMA!$A:$K,ROW()-1-$L$2-$M$2-$N$2+1,5),""),"")))))</f>
        <v>proforma_drag</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t="str">
        <f>IF(ROW()-1&lt;=0,"",IF(ROW()-1&lt;=$L$2,IFERROR(INDEX(MCQ!$A:$K,ROW()-1+1,5),""),IF(ROW()-1&lt;=$L$2+$M$2,IFERROR(INDEX(CLOZE_AB!$A:$K,ROW()-1-$L$2+1,5),""),IF(ROW()-1&lt;=$L$2+$M$2+$N$2,IFERROR(INDEX(CLOZE_LIST!$A:$K,ROW()-1-$L$2-$M$2+1,5),""),IF(ROW()-1&lt;=$L$2+$M$2+$N$2+$O$2,IFERROR(INDEX(PROFORMA!$A:$K,ROW()-1-$L$2-$M$2-$N$2+1,5),""),"")))))</f>
        <v>proforma_drag</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t="str">
        <f>IF(ROW()-1&lt;=0,"",IF(ROW()-1&lt;=$L$2,IFERROR(INDEX(MCQ!$A:$K,ROW()-1+1,5),""),IF(ROW()-1&lt;=$L$2+$M$2,IFERROR(INDEX(CLOZE_AB!$A:$K,ROW()-1-$L$2+1,5),""),IF(ROW()-1&lt;=$L$2+$M$2+$N$2,IFERROR(INDEX(CLOZE_LIST!$A:$K,ROW()-1-$L$2-$M$2+1,5),""),IF(ROW()-1&lt;=$L$2+$M$2+$N$2+$O$2,IFERROR(INDEX(PROFORMA!$A:$K,ROW()-1-$L$2-$M$2-$N$2+1,5),""),"")))))</f>
        <v>proforma_drag</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t="str">
        <f>IF(ROW()-1&lt;=0,"",IF(ROW()-1&lt;=$L$2,IFERROR(INDEX(MCQ!$A:$K,ROW()-1+1,5),""),IF(ROW()-1&lt;=$L$2+$M$2,IFERROR(INDEX(CLOZE_AB!$A:$K,ROW()-1-$L$2+1,5),""),IF(ROW()-1&lt;=$L$2+$M$2+$N$2,IFERROR(INDEX(CLOZE_LIST!$A:$K,ROW()-1-$L$2-$M$2+1,5),""),IF(ROW()-1&lt;=$L$2+$M$2+$N$2+$O$2,IFERROR(INDEX(PROFORMA!$A:$K,ROW()-1-$L$2-$M$2-$N$2+1,5),""),"")))))</f>
        <v>proforma_drag</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t="str">
        <f>IF(ROW()-1&lt;=0,"",IF(ROW()-1&lt;=$L$2,IFERROR(INDEX(MCQ!$A:$K,ROW()-1+1,5),""),IF(ROW()-1&lt;=$L$2+$M$2,IFERROR(INDEX(CLOZE_AB!$A:$K,ROW()-1-$L$2+1,5),""),IF(ROW()-1&lt;=$L$2+$M$2+$N$2,IFERROR(INDEX(CLOZE_LIST!$A:$K,ROW()-1-$L$2-$M$2+1,5),""),IF(ROW()-1&lt;=$L$2+$M$2+$N$2+$O$2,IFERROR(INDEX(PROFORMA!$A:$K,ROW()-1-$L$2-$M$2-$N$2+1,5),""),"")))))</f>
        <v>proforma_drag</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t="str">
        <f>IF(ROW()-1&lt;=0,"",IF(ROW()-1&lt;=$L$2,IFERROR(INDEX(MCQ!$A:$K,ROW()-1+1,5),""),IF(ROW()-1&lt;=$L$2+$M$2,IFERROR(INDEX(CLOZE_AB!$A:$K,ROW()-1-$L$2+1,5),""),IF(ROW()-1&lt;=$L$2+$M$2+$N$2,IFERROR(INDEX(CLOZE_LIST!$A:$K,ROW()-1-$L$2-$M$2+1,5),""),IF(ROW()-1&lt;=$L$2+$M$2+$N$2+$O$2,IFERROR(INDEX(PROFORMA!$A:$K,ROW()-1-$L$2-$M$2-$N$2+1,5),""),"")))))</f>
        <v>proforma_drag</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t="str">
        <f>IF(ROW()-1&lt;=0,"",IF(ROW()-1&lt;=$L$2,IFERROR(INDEX(MCQ!$A:$K,ROW()-1+1,5),""),IF(ROW()-1&lt;=$L$2+$M$2,IFERROR(INDEX(CLOZE_AB!$A:$K,ROW()-1-$L$2+1,5),""),IF(ROW()-1&lt;=$L$2+$M$2+$N$2,IFERROR(INDEX(CLOZE_LIST!$A:$K,ROW()-1-$L$2-$M$2+1,5),""),IF(ROW()-1&lt;=$L$2+$M$2+$N$2+$O$2,IFERROR(INDEX(PROFORMA!$A:$K,ROW()-1-$L$2-$M$2-$N$2+1,5),""),"")))))</f>
        <v>proforma_drag</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t="str">
        <f>IF(ROW()-1&lt;=0,"",IF(ROW()-1&lt;=$L$2,IFERROR(INDEX(MCQ!$A:$K,ROW()-1+1,5),""),IF(ROW()-1&lt;=$L$2+$M$2,IFERROR(INDEX(CLOZE_AB!$A:$K,ROW()-1-$L$2+1,5),""),IF(ROW()-1&lt;=$L$2+$M$2+$N$2,IFERROR(INDEX(CLOZE_LIST!$A:$K,ROW()-1-$L$2-$M$2+1,5),""),IF(ROW()-1&lt;=$L$2+$M$2+$N$2+$O$2,IFERROR(INDEX(PROFORMA!$A:$K,ROW()-1-$L$2-$M$2-$N$2+1,5),""),"")))))</f>
        <v>proforma_drag</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t="str">
        <f>IF(ROW()-1&lt;=0,"",IF(ROW()-1&lt;=$L$2,IFERROR(INDEX(MCQ!$A:$K,ROW()-1+1,5),""),IF(ROW()-1&lt;=$L$2+$M$2,IFERROR(INDEX(CLOZE_AB!$A:$K,ROW()-1-$L$2+1,5),""),IF(ROW()-1&lt;=$L$2+$M$2+$N$2,IFERROR(INDEX(CLOZE_LIST!$A:$K,ROW()-1-$L$2-$M$2+1,5),""),IF(ROW()-1&lt;=$L$2+$M$2+$N$2+$O$2,IFERROR(INDEX(PROFORMA!$A:$K,ROW()-1-$L$2-$M$2-$N$2+1,5),""),"")))))</f>
        <v>proforma_drag</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t="str">
        <f>IF(ROW()-1&lt;=0,"",IF(ROW()-1&lt;=$L$2,IFERROR(INDEX(MCQ!$A:$K,ROW()-1+1,5),""),IF(ROW()-1&lt;=$L$2+$M$2,IFERROR(INDEX(CLOZE_AB!$A:$K,ROW()-1-$L$2+1,5),""),IF(ROW()-1&lt;=$L$2+$M$2+$N$2,IFERROR(INDEX(CLOZE_LIST!$A:$K,ROW()-1-$L$2-$M$2+1,5),""),IF(ROW()-1&lt;=$L$2+$M$2+$N$2+$O$2,IFERROR(INDEX(PROFORMA!$A:$K,ROW()-1-$L$2-$M$2-$N$2+1,5),""),"")))))</f>
        <v>proforma_drag</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t="str">
        <f>IF(ROW()-1&lt;=0,"",IF(ROW()-1&lt;=$L$2,IFERROR(INDEX(MCQ!$A:$K,ROW()-1+1,5),""),IF(ROW()-1&lt;=$L$2+$M$2,IFERROR(INDEX(CLOZE_AB!$A:$K,ROW()-1-$L$2+1,5),""),IF(ROW()-1&lt;=$L$2+$M$2+$N$2,IFERROR(INDEX(CLOZE_LIST!$A:$K,ROW()-1-$L$2-$M$2+1,5),""),IF(ROW()-1&lt;=$L$2+$M$2+$N$2+$O$2,IFERROR(INDEX(PROFORMA!$A:$K,ROW()-1-$L$2-$M$2-$N$2+1,5),""),"")))))</f>
        <v>proforma_drag</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t="str">
        <f>IF(ROW()-1&lt;=0,"",IF(ROW()-1&lt;=$L$2,IFERROR(INDEX(MCQ!$A:$K,ROW()-1+1,5),""),IF(ROW()-1&lt;=$L$2+$M$2,IFERROR(INDEX(CLOZE_AB!$A:$K,ROW()-1-$L$2+1,5),""),IF(ROW()-1&lt;=$L$2+$M$2+$N$2,IFERROR(INDEX(CLOZE_LIST!$A:$K,ROW()-1-$L$2-$M$2+1,5),""),IF(ROW()-1&lt;=$L$2+$M$2+$N$2+$O$2,IFERROR(INDEX(PROFORMA!$A:$K,ROW()-1-$L$2-$M$2-$N$2+1,5),""),"")))))</f>
        <v>proforma_drag</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t="str">
        <f>IF(ROW()-1&lt;=0,"",IF(ROW()-1&lt;=$L$2,IFERROR(INDEX(MCQ!$A:$K,ROW()-1+1,5),""),IF(ROW()-1&lt;=$L$2+$M$2,IFERROR(INDEX(CLOZE_AB!$A:$K,ROW()-1-$L$2+1,5),""),IF(ROW()-1&lt;=$L$2+$M$2+$N$2,IFERROR(INDEX(CLOZE_LIST!$A:$K,ROW()-1-$L$2-$M$2+1,5),""),IF(ROW()-1&lt;=$L$2+$M$2+$N$2+$O$2,IFERROR(INDEX(PROFORMA!$A:$K,ROW()-1-$L$2-$M$2-$N$2+1,5),""),"")))))</f>
        <v>proforma_drag</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t="str">
        <f>IF(ROW()-1&lt;=0,"",IF(ROW()-1&lt;=$L$2,IFERROR(INDEX(MCQ!$A:$K,ROW()-1+1,5),""),IF(ROW()-1&lt;=$L$2+$M$2,IFERROR(INDEX(CLOZE_AB!$A:$K,ROW()-1-$L$2+1,5),""),IF(ROW()-1&lt;=$L$2+$M$2+$N$2,IFERROR(INDEX(CLOZE_LIST!$A:$K,ROW()-1-$L$2-$M$2+1,5),""),IF(ROW()-1&lt;=$L$2+$M$2+$N$2+$O$2,IFERROR(INDEX(PROFORMA!$A:$K,ROW()-1-$L$2-$M$2-$N$2+1,5),""),"")))))</f>
        <v>proforma_drag</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t="str">
        <f>IF(ROW()-1&lt;=0,"",IF(ROW()-1&lt;=$L$2,IFERROR(INDEX(MCQ!$A:$K,ROW()-1+1,5),""),IF(ROW()-1&lt;=$L$2+$M$2,IFERROR(INDEX(CLOZE_AB!$A:$K,ROW()-1-$L$2+1,5),""),IF(ROW()-1&lt;=$L$2+$M$2+$N$2,IFERROR(INDEX(CLOZE_LIST!$A:$K,ROW()-1-$L$2-$M$2+1,5),""),IF(ROW()-1&lt;=$L$2+$M$2+$N$2+$O$2,IFERROR(INDEX(PROFORMA!$A:$K,ROW()-1-$L$2-$M$2-$N$2+1,5),""),"")))))</f>
        <v>proforma_drag</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t="str">
        <f>IF(ROW()-1&lt;=0,"",IF(ROW()-1&lt;=$L$2,IFERROR(INDEX(MCQ!$A:$K,ROW()-1+1,5),""),IF(ROW()-1&lt;=$L$2+$M$2,IFERROR(INDEX(CLOZE_AB!$A:$K,ROW()-1-$L$2+1,5),""),IF(ROW()-1&lt;=$L$2+$M$2+$N$2,IFERROR(INDEX(CLOZE_LIST!$A:$K,ROW()-1-$L$2-$M$2+1,5),""),IF(ROW()-1&lt;=$L$2+$M$2+$N$2+$O$2,IFERROR(INDEX(PROFORMA!$A:$K,ROW()-1-$L$2-$M$2-$N$2+1,5),""),"")))))</f>
        <v>proforma_drag</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t="str">
        <f>IF(ROW()-1&lt;=0,"",IF(ROW()-1&lt;=$L$2,IFERROR(INDEX(MCQ!$A:$K,ROW()-1+1,5),""),IF(ROW()-1&lt;=$L$2+$M$2,IFERROR(INDEX(CLOZE_AB!$A:$K,ROW()-1-$L$2+1,5),""),IF(ROW()-1&lt;=$L$2+$M$2+$N$2,IFERROR(INDEX(CLOZE_LIST!$A:$K,ROW()-1-$L$2-$M$2+1,5),""),IF(ROW()-1&lt;=$L$2+$M$2+$N$2+$O$2,IFERROR(INDEX(PROFORMA!$A:$K,ROW()-1-$L$2-$M$2-$N$2+1,5),""),"")))))</f>
        <v>proforma_drag</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t="str">
        <f>IF(ROW()-1&lt;=0,"",IF(ROW()-1&lt;=$L$2,IFERROR(INDEX(MCQ!$A:$K,ROW()-1+1,5),""),IF(ROW()-1&lt;=$L$2+$M$2,IFERROR(INDEX(CLOZE_AB!$A:$K,ROW()-1-$L$2+1,5),""),IF(ROW()-1&lt;=$L$2+$M$2+$N$2,IFERROR(INDEX(CLOZE_LIST!$A:$K,ROW()-1-$L$2-$M$2+1,5),""),IF(ROW()-1&lt;=$L$2+$M$2+$N$2+$O$2,IFERROR(INDEX(PROFORMA!$A:$K,ROW()-1-$L$2-$M$2-$N$2+1,5),""),"")))))</f>
        <v>proforma_drag</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t="str">
        <f>IF(ROW()-1&lt;=0,"",IF(ROW()-1&lt;=$L$2,IFERROR(INDEX(MCQ!$A:$K,ROW()-1+1,5),""),IF(ROW()-1&lt;=$L$2+$M$2,IFERROR(INDEX(CLOZE_AB!$A:$K,ROW()-1-$L$2+1,5),""),IF(ROW()-1&lt;=$L$2+$M$2+$N$2,IFERROR(INDEX(CLOZE_LIST!$A:$K,ROW()-1-$L$2-$M$2+1,5),""),IF(ROW()-1&lt;=$L$2+$M$2+$N$2+$O$2,IFERROR(INDEX(PROFORMA!$A:$K,ROW()-1-$L$2-$M$2-$N$2+1,5),""),"")))))</f>
        <v>proforma_drag</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t="str">
        <f>IF(ROW()-1&lt;=0,"",IF(ROW()-1&lt;=$L$2,IFERROR(INDEX(MCQ!$A:$K,ROW()-1+1,5),""),IF(ROW()-1&lt;=$L$2+$M$2,IFERROR(INDEX(CLOZE_AB!$A:$K,ROW()-1-$L$2+1,5),""),IF(ROW()-1&lt;=$L$2+$M$2+$N$2,IFERROR(INDEX(CLOZE_LIST!$A:$K,ROW()-1-$L$2-$M$2+1,5),""),IF(ROW()-1&lt;=$L$2+$M$2+$N$2+$O$2,IFERROR(INDEX(PROFORMA!$A:$K,ROW()-1-$L$2-$M$2-$N$2+1,5),""),"")))))</f>
        <v>proforma_drag</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t="str">
        <f>IF(ROW()-1&lt;=0,"",IF(ROW()-1&lt;=$L$2,IFERROR(INDEX(MCQ!$A:$K,ROW()-1+1,5),""),IF(ROW()-1&lt;=$L$2+$M$2,IFERROR(INDEX(CLOZE_AB!$A:$K,ROW()-1-$L$2+1,5),""),IF(ROW()-1&lt;=$L$2+$M$2+$N$2,IFERROR(INDEX(CLOZE_LIST!$A:$K,ROW()-1-$L$2-$M$2+1,5),""),IF(ROW()-1&lt;=$L$2+$M$2+$N$2+$O$2,IFERROR(INDEX(PROFORMA!$A:$K,ROW()-1-$L$2-$M$2-$N$2+1,5),""),"")))))</f>
        <v>proforma_drag</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t="str">
        <f>IF(ROW()-1&lt;=0,"",IF(ROW()-1&lt;=$L$2,IFERROR(INDEX(MCQ!$A:$K,ROW()-1+1,5),""),IF(ROW()-1&lt;=$L$2+$M$2,IFERROR(INDEX(CLOZE_AB!$A:$K,ROW()-1-$L$2+1,5),""),IF(ROW()-1&lt;=$L$2+$M$2+$N$2,IFERROR(INDEX(CLOZE_LIST!$A:$K,ROW()-1-$L$2-$M$2+1,5),""),IF(ROW()-1&lt;=$L$2+$M$2+$N$2+$O$2,IFERROR(INDEX(PROFORMA!$A:$K,ROW()-1-$L$2-$M$2-$N$2+1,5),""),"")))))</f>
        <v>proforma_drag</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t="str">
        <f>IF(ROW()-1&lt;=0,"",IF(ROW()-1&lt;=$L$2,IFERROR(INDEX(MCQ!$A:$K,ROW()-1+1,5),""),IF(ROW()-1&lt;=$L$2+$M$2,IFERROR(INDEX(CLOZE_AB!$A:$K,ROW()-1-$L$2+1,5),""),IF(ROW()-1&lt;=$L$2+$M$2+$N$2,IFERROR(INDEX(CLOZE_LIST!$A:$K,ROW()-1-$L$2-$M$2+1,5),""),IF(ROW()-1&lt;=$L$2+$M$2+$N$2+$O$2,IFERROR(INDEX(PROFORMA!$A:$K,ROW()-1-$L$2-$M$2-$N$2+1,5),""),"")))))</f>
        <v>proforma_drag</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t="str">
        <f>IF(ROW()-1&lt;=0,"",IF(ROW()-1&lt;=$L$2,IFERROR(INDEX(MCQ!$A:$K,ROW()-1+1,5),""),IF(ROW()-1&lt;=$L$2+$M$2,IFERROR(INDEX(CLOZE_AB!$A:$K,ROW()-1-$L$2+1,5),""),IF(ROW()-1&lt;=$L$2+$M$2+$N$2,IFERROR(INDEX(CLOZE_LIST!$A:$K,ROW()-1-$L$2-$M$2+1,5),""),IF(ROW()-1&lt;=$L$2+$M$2+$N$2+$O$2,IFERROR(INDEX(PROFORMA!$A:$K,ROW()-1-$L$2-$M$2-$N$2+1,5),""),"")))))</f>
        <v>proforma_drag</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t="str">
        <f>IF(ROW()-1&lt;=0,"",IF(ROW()-1&lt;=$L$2,IFERROR(INDEX(MCQ!$A:$K,ROW()-1+1,5),""),IF(ROW()-1&lt;=$L$2+$M$2,IFERROR(INDEX(CLOZE_AB!$A:$K,ROW()-1-$L$2+1,5),""),IF(ROW()-1&lt;=$L$2+$M$2+$N$2,IFERROR(INDEX(CLOZE_LIST!$A:$K,ROW()-1-$L$2-$M$2+1,5),""),IF(ROW()-1&lt;=$L$2+$M$2+$N$2+$O$2,IFERROR(INDEX(PROFORMA!$A:$K,ROW()-1-$L$2-$M$2-$N$2+1,5),""),"")))))</f>
        <v>proforma_drag</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t="str">
        <f>IF(ROW()-1&lt;=0,"",IF(ROW()-1&lt;=$L$2,IFERROR(INDEX(MCQ!$A:$K,ROW()-1+1,5),""),IF(ROW()-1&lt;=$L$2+$M$2,IFERROR(INDEX(CLOZE_AB!$A:$K,ROW()-1-$L$2+1,5),""),IF(ROW()-1&lt;=$L$2+$M$2+$N$2,IFERROR(INDEX(CLOZE_LIST!$A:$K,ROW()-1-$L$2-$M$2+1,5),""),IF(ROW()-1&lt;=$L$2+$M$2+$N$2+$O$2,IFERROR(INDEX(PROFORMA!$A:$K,ROW()-1-$L$2-$M$2-$N$2+1,5),""),"")))))</f>
        <v>proforma_drag</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t="str">
        <f>IF(ROW()-1&lt;=0,"",IF(ROW()-1&lt;=$L$2,IFERROR(INDEX(MCQ!$A:$K,ROW()-1+1,5),""),IF(ROW()-1&lt;=$L$2+$M$2,IFERROR(INDEX(CLOZE_AB!$A:$K,ROW()-1-$L$2+1,5),""),IF(ROW()-1&lt;=$L$2+$M$2+$N$2,IFERROR(INDEX(CLOZE_LIST!$A:$K,ROW()-1-$L$2-$M$2+1,5),""),IF(ROW()-1&lt;=$L$2+$M$2+$N$2+$O$2,IFERROR(INDEX(PROFORMA!$A:$K,ROW()-1-$L$2-$M$2-$N$2+1,5),""),"")))))</f>
        <v>proforma_drag</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t="str">
        <f>IF(ROW()-1&lt;=0,"",IF(ROW()-1&lt;=$L$2,IFERROR(INDEX(MCQ!$A:$K,ROW()-1+1,5),""),IF(ROW()-1&lt;=$L$2+$M$2,IFERROR(INDEX(CLOZE_AB!$A:$K,ROW()-1-$L$2+1,5),""),IF(ROW()-1&lt;=$L$2+$M$2+$N$2,IFERROR(INDEX(CLOZE_LIST!$A:$K,ROW()-1-$L$2-$M$2+1,5),""),IF(ROW()-1&lt;=$L$2+$M$2+$N$2+$O$2,IFERROR(INDEX(PROFORMA!$A:$K,ROW()-1-$L$2-$M$2-$N$2+1,5),""),"")))))</f>
        <v>proforma_drag</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t="str">
        <f>IF(ROW()-1&lt;=0,"",IF(ROW()-1&lt;=$L$2,IFERROR(INDEX(MCQ!$A:$K,ROW()-1+1,5),""),IF(ROW()-1&lt;=$L$2+$M$2,IFERROR(INDEX(CLOZE_AB!$A:$K,ROW()-1-$L$2+1,5),""),IF(ROW()-1&lt;=$L$2+$M$2+$N$2,IFERROR(INDEX(CLOZE_LIST!$A:$K,ROW()-1-$L$2-$M$2+1,5),""),IF(ROW()-1&lt;=$L$2+$M$2+$N$2+$O$2,IFERROR(INDEX(PROFORMA!$A:$K,ROW()-1-$L$2-$M$2-$N$2+1,5),""),"")))))</f>
        <v>proforma_drag</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t="str">
        <f>IF(ROW()-1&lt;=0,"",IF(ROW()-1&lt;=$L$2,IFERROR(INDEX(MCQ!$A:$K,ROW()-1+1,5),""),IF(ROW()-1&lt;=$L$2+$M$2,IFERROR(INDEX(CLOZE_AB!$A:$K,ROW()-1-$L$2+1,5),""),IF(ROW()-1&lt;=$L$2+$M$2+$N$2,IFERROR(INDEX(CLOZE_LIST!$A:$K,ROW()-1-$L$2-$M$2+1,5),""),IF(ROW()-1&lt;=$L$2+$M$2+$N$2+$O$2,IFERROR(INDEX(PROFORMA!$A:$K,ROW()-1-$L$2-$M$2-$N$2+1,5),""),"")))))</f>
        <v>proforma_drag</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t="str">
        <f>IF(ROW()-1&lt;=0,"",IF(ROW()-1&lt;=$L$2,IFERROR(INDEX(MCQ!$A:$K,ROW()-1+1,5),""),IF(ROW()-1&lt;=$L$2+$M$2,IFERROR(INDEX(CLOZE_AB!$A:$K,ROW()-1-$L$2+1,5),""),IF(ROW()-1&lt;=$L$2+$M$2+$N$2,IFERROR(INDEX(CLOZE_LIST!$A:$K,ROW()-1-$L$2-$M$2+1,5),""),IF(ROW()-1&lt;=$L$2+$M$2+$N$2+$O$2,IFERROR(INDEX(PROFORMA!$A:$K,ROW()-1-$L$2-$M$2-$N$2+1,5),""),"")))))</f>
        <v>proforma_drag</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t="str">
        <f>IF(ROW()-1&lt;=0,"",IF(ROW()-1&lt;=$L$2,IFERROR(INDEX(MCQ!$A:$K,ROW()-1+1,5),""),IF(ROW()-1&lt;=$L$2+$M$2,IFERROR(INDEX(CLOZE_AB!$A:$K,ROW()-1-$L$2+1,5),""),IF(ROW()-1&lt;=$L$2+$M$2+$N$2,IFERROR(INDEX(CLOZE_LIST!$A:$K,ROW()-1-$L$2-$M$2+1,5),""),IF(ROW()-1&lt;=$L$2+$M$2+$N$2+$O$2,IFERROR(INDEX(PROFORMA!$A:$K,ROW()-1-$L$2-$M$2-$N$2+1,5),""),"")))))</f>
        <v>proforma_drag</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t="str">
        <f>IF(ROW()-1&lt;=0,"",IF(ROW()-1&lt;=$L$2,IFERROR(INDEX(MCQ!$A:$K,ROW()-1+1,5),""),IF(ROW()-1&lt;=$L$2+$M$2,IFERROR(INDEX(CLOZE_AB!$A:$K,ROW()-1-$L$2+1,5),""),IF(ROW()-1&lt;=$L$2+$M$2+$N$2,IFERROR(INDEX(CLOZE_LIST!$A:$K,ROW()-1-$L$2-$M$2+1,5),""),IF(ROW()-1&lt;=$L$2+$M$2+$N$2+$O$2,IFERROR(INDEX(PROFORMA!$A:$K,ROW()-1-$L$2-$M$2-$N$2+1,5),""),"")))))</f>
        <v>proforma_drag</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t="str">
        <f>IF(ROW()-1&lt;=0,"",IF(ROW()-1&lt;=$L$2,IFERROR(INDEX(MCQ!$A:$K,ROW()-1+1,5),""),IF(ROW()-1&lt;=$L$2+$M$2,IFERROR(INDEX(CLOZE_AB!$A:$K,ROW()-1-$L$2+1,5),""),IF(ROW()-1&lt;=$L$2+$M$2+$N$2,IFERROR(INDEX(CLOZE_LIST!$A:$K,ROW()-1-$L$2-$M$2+1,5),""),IF(ROW()-1&lt;=$L$2+$M$2+$N$2+$O$2,IFERROR(INDEX(PROFORMA!$A:$K,ROW()-1-$L$2-$M$2-$N$2+1,5),""),"")))))</f>
        <v>proforma_drag</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t="str">
        <f>IF(ROW()-1&lt;=0,"",IF(ROW()-1&lt;=$L$2,IFERROR(INDEX(MCQ!$A:$K,ROW()-1+1,5),""),IF(ROW()-1&lt;=$L$2+$M$2,IFERROR(INDEX(CLOZE_AB!$A:$K,ROW()-1-$L$2+1,5),""),IF(ROW()-1&lt;=$L$2+$M$2+$N$2,IFERROR(INDEX(CLOZE_LIST!$A:$K,ROW()-1-$L$2-$M$2+1,5),""),IF(ROW()-1&lt;=$L$2+$M$2+$N$2+$O$2,IFERROR(INDEX(PROFORMA!$A:$K,ROW()-1-$L$2-$M$2-$N$2+1,5),""),"")))))</f>
        <v>proforma_drag</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t="str">
        <f>IF(ROW()-1&lt;=0,"",IF(ROW()-1&lt;=$L$2,IFERROR(INDEX(MCQ!$A:$K,ROW()-1+1,5),""),IF(ROW()-1&lt;=$L$2+$M$2,IFERROR(INDEX(CLOZE_AB!$A:$K,ROW()-1-$L$2+1,5),""),IF(ROW()-1&lt;=$L$2+$M$2+$N$2,IFERROR(INDEX(CLOZE_LIST!$A:$K,ROW()-1-$L$2-$M$2+1,5),""),IF(ROW()-1&lt;=$L$2+$M$2+$N$2+$O$2,IFERROR(INDEX(PROFORMA!$A:$K,ROW()-1-$L$2-$M$2-$N$2+1,5),""),"")))))</f>
        <v>proforma_drag</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t="str">
        <f>IF(ROW()-1&lt;=0,"",IF(ROW()-1&lt;=$L$2,IFERROR(INDEX(MCQ!$A:$K,ROW()-1+1,5),""),IF(ROW()-1&lt;=$L$2+$M$2,IFERROR(INDEX(CLOZE_AB!$A:$K,ROW()-1-$L$2+1,5),""),IF(ROW()-1&lt;=$L$2+$M$2+$N$2,IFERROR(INDEX(CLOZE_LIST!$A:$K,ROW()-1-$L$2-$M$2+1,5),""),IF(ROW()-1&lt;=$L$2+$M$2+$N$2+$O$2,IFERROR(INDEX(PROFORMA!$A:$K,ROW()-1-$L$2-$M$2-$N$2+1,5),""),"")))))</f>
        <v>proforma_drag</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t="str">
        <f>IF(ROW()-1&lt;=0,"",IF(ROW()-1&lt;=$L$2,IFERROR(INDEX(MCQ!$A:$K,ROW()-1+1,5),""),IF(ROW()-1&lt;=$L$2+$M$2,IFERROR(INDEX(CLOZE_AB!$A:$K,ROW()-1-$L$2+1,5),""),IF(ROW()-1&lt;=$L$2+$M$2+$N$2,IFERROR(INDEX(CLOZE_LIST!$A:$K,ROW()-1-$L$2-$M$2+1,5),""),IF(ROW()-1&lt;=$L$2+$M$2+$N$2+$O$2,IFERROR(INDEX(PROFORMA!$A:$K,ROW()-1-$L$2-$M$2-$N$2+1,5),""),"")))))</f>
        <v>proforma_drag</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t="str">
        <f>IF(ROW()-1&lt;=0,"",IF(ROW()-1&lt;=$L$2,IFERROR(INDEX(MCQ!$A:$K,ROW()-1+1,5),""),IF(ROW()-1&lt;=$L$2+$M$2,IFERROR(INDEX(CLOZE_AB!$A:$K,ROW()-1-$L$2+1,5),""),IF(ROW()-1&lt;=$L$2+$M$2+$N$2,IFERROR(INDEX(CLOZE_LIST!$A:$K,ROW()-1-$L$2-$M$2+1,5),""),IF(ROW()-1&lt;=$L$2+$M$2+$N$2+$O$2,IFERROR(INDEX(PROFORMA!$A:$K,ROW()-1-$L$2-$M$2-$N$2+1,5),""),"")))))</f>
        <v>proforma_drag</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t="str">
        <f>IF(ROW()-1&lt;=0,"",IF(ROW()-1&lt;=$L$2,IFERROR(INDEX(MCQ!$A:$K,ROW()-1+1,5),""),IF(ROW()-1&lt;=$L$2+$M$2,IFERROR(INDEX(CLOZE_AB!$A:$K,ROW()-1-$L$2+1,5),""),IF(ROW()-1&lt;=$L$2+$M$2+$N$2,IFERROR(INDEX(CLOZE_LIST!$A:$K,ROW()-1-$L$2-$M$2+1,5),""),IF(ROW()-1&lt;=$L$2+$M$2+$N$2+$O$2,IFERROR(INDEX(PROFORMA!$A:$K,ROW()-1-$L$2-$M$2-$N$2+1,5),""),"")))))</f>
        <v>proforma_drag</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t="str">
        <f>IF(ROW()-1&lt;=0,"",IF(ROW()-1&lt;=$L$2,IFERROR(INDEX(MCQ!$A:$K,ROW()-1+1,5),""),IF(ROW()-1&lt;=$L$2+$M$2,IFERROR(INDEX(CLOZE_AB!$A:$K,ROW()-1-$L$2+1,5),""),IF(ROW()-1&lt;=$L$2+$M$2+$N$2,IFERROR(INDEX(CLOZE_LIST!$A:$K,ROW()-1-$L$2-$M$2+1,5),""),IF(ROW()-1&lt;=$L$2+$M$2+$N$2+$O$2,IFERROR(INDEX(PROFORMA!$A:$K,ROW()-1-$L$2-$M$2-$N$2+1,5),""),"")))))</f>
        <v>proforma_drag</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t="str">
        <f>IF(ROW()-1&lt;=0,"",IF(ROW()-1&lt;=$L$2,IFERROR(INDEX(MCQ!$A:$K,ROW()-1+1,5),""),IF(ROW()-1&lt;=$L$2+$M$2,IFERROR(INDEX(CLOZE_AB!$A:$K,ROW()-1-$L$2+1,5),""),IF(ROW()-1&lt;=$L$2+$M$2+$N$2,IFERROR(INDEX(CLOZE_LIST!$A:$K,ROW()-1-$L$2-$M$2+1,5),""),IF(ROW()-1&lt;=$L$2+$M$2+$N$2+$O$2,IFERROR(INDEX(PROFORMA!$A:$K,ROW()-1-$L$2-$M$2-$N$2+1,5),""),"")))))</f>
        <v>proforma_drag</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t="str">
        <f>IF(ROW()-1&lt;=0,"",IF(ROW()-1&lt;=$L$2,IFERROR(INDEX(MCQ!$A:$K,ROW()-1+1,5),""),IF(ROW()-1&lt;=$L$2+$M$2,IFERROR(INDEX(CLOZE_AB!$A:$K,ROW()-1-$L$2+1,5),""),IF(ROW()-1&lt;=$L$2+$M$2+$N$2,IFERROR(INDEX(CLOZE_LIST!$A:$K,ROW()-1-$L$2-$M$2+1,5),""),IF(ROW()-1&lt;=$L$2+$M$2+$N$2+$O$2,IFERROR(INDEX(PROFORMA!$A:$K,ROW()-1-$L$2-$M$2-$N$2+1,5),""),"")))))</f>
        <v>proforma_drag</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t="str">
        <f>IF(ROW()-1&lt;=0,"",IF(ROW()-1&lt;=$L$2,IFERROR(INDEX(MCQ!$A:$K,ROW()-1+1,5),""),IF(ROW()-1&lt;=$L$2+$M$2,IFERROR(INDEX(CLOZE_AB!$A:$K,ROW()-1-$L$2+1,5),""),IF(ROW()-1&lt;=$L$2+$M$2+$N$2,IFERROR(INDEX(CLOZE_LIST!$A:$K,ROW()-1-$L$2-$M$2+1,5),""),IF(ROW()-1&lt;=$L$2+$M$2+$N$2+$O$2,IFERROR(INDEX(PROFORMA!$A:$K,ROW()-1-$L$2-$M$2-$N$2+1,5),""),"")))))</f>
        <v>proforma_drag</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t="str">
        <f>IF(ROW()-1&lt;=0,"",IF(ROW()-1&lt;=$L$2,IFERROR(INDEX(MCQ!$A:$K,ROW()-1+1,5),""),IF(ROW()-1&lt;=$L$2+$M$2,IFERROR(INDEX(CLOZE_AB!$A:$K,ROW()-1-$L$2+1,5),""),IF(ROW()-1&lt;=$L$2+$M$2+$N$2,IFERROR(INDEX(CLOZE_LIST!$A:$K,ROW()-1-$L$2-$M$2+1,5),""),IF(ROW()-1&lt;=$L$2+$M$2+$N$2+$O$2,IFERROR(INDEX(PROFORMA!$A:$K,ROW()-1-$L$2-$M$2-$N$2+1,5),""),"")))))</f>
        <v>proforma_drag</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t="str">
        <f>IF(ROW()-1&lt;=0,"",IF(ROW()-1&lt;=$L$2,IFERROR(INDEX(MCQ!$A:$K,ROW()-1+1,5),""),IF(ROW()-1&lt;=$L$2+$M$2,IFERROR(INDEX(CLOZE_AB!$A:$K,ROW()-1-$L$2+1,5),""),IF(ROW()-1&lt;=$L$2+$M$2+$N$2,IFERROR(INDEX(CLOZE_LIST!$A:$K,ROW()-1-$L$2-$M$2+1,5),""),IF(ROW()-1&lt;=$L$2+$M$2+$N$2+$O$2,IFERROR(INDEX(PROFORMA!$A:$K,ROW()-1-$L$2-$M$2-$N$2+1,5),""),"")))))</f>
        <v>proforma_drag</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t="str">
        <f>IF(ROW()-1&lt;=0,"",IF(ROW()-1&lt;=$L$2,IFERROR(INDEX(MCQ!$A:$K,ROW()-1+1,5),""),IF(ROW()-1&lt;=$L$2+$M$2,IFERROR(INDEX(CLOZE_AB!$A:$K,ROW()-1-$L$2+1,5),""),IF(ROW()-1&lt;=$L$2+$M$2+$N$2,IFERROR(INDEX(CLOZE_LIST!$A:$K,ROW()-1-$L$2-$M$2+1,5),""),IF(ROW()-1&lt;=$L$2+$M$2+$N$2+$O$2,IFERROR(INDEX(PROFORMA!$A:$K,ROW()-1-$L$2-$M$2-$N$2+1,5),""),"")))))</f>
        <v>proforma_drag</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t="str">
        <f>IF(ROW()-1&lt;=0,"",IF(ROW()-1&lt;=$L$2,IFERROR(INDEX(MCQ!$A:$K,ROW()-1+1,5),""),IF(ROW()-1&lt;=$L$2+$M$2,IFERROR(INDEX(CLOZE_AB!$A:$K,ROW()-1-$L$2+1,5),""),IF(ROW()-1&lt;=$L$2+$M$2+$N$2,IFERROR(INDEX(CLOZE_LIST!$A:$K,ROW()-1-$L$2-$M$2+1,5),""),IF(ROW()-1&lt;=$L$2+$M$2+$N$2+$O$2,IFERROR(INDEX(PROFORMA!$A:$K,ROW()-1-$L$2-$M$2-$N$2+1,5),""),"")))))</f>
        <v>proforma_drag</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t="str">
        <f>IF(ROW()-1&lt;=0,"",IF(ROW()-1&lt;=$L$2,IFERROR(INDEX(MCQ!$A:$K,ROW()-1+1,5),""),IF(ROW()-1&lt;=$L$2+$M$2,IFERROR(INDEX(CLOZE_AB!$A:$K,ROW()-1-$L$2+1,5),""),IF(ROW()-1&lt;=$L$2+$M$2+$N$2,IFERROR(INDEX(CLOZE_LIST!$A:$K,ROW()-1-$L$2-$M$2+1,5),""),IF(ROW()-1&lt;=$L$2+$M$2+$N$2+$O$2,IFERROR(INDEX(PROFORMA!$A:$K,ROW()-1-$L$2-$M$2-$N$2+1,5),""),"")))))</f>
        <v>proforma_drag</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t="str">
        <f>IF(ROW()-1&lt;=0,"",IF(ROW()-1&lt;=$L$2,IFERROR(INDEX(MCQ!$A:$K,ROW()-1+1,5),""),IF(ROW()-1&lt;=$L$2+$M$2,IFERROR(INDEX(CLOZE_AB!$A:$K,ROW()-1-$L$2+1,5),""),IF(ROW()-1&lt;=$L$2+$M$2+$N$2,IFERROR(INDEX(CLOZE_LIST!$A:$K,ROW()-1-$L$2-$M$2+1,5),""),IF(ROW()-1&lt;=$L$2+$M$2+$N$2+$O$2,IFERROR(INDEX(PROFORMA!$A:$K,ROW()-1-$L$2-$M$2-$N$2+1,5),""),"")))))</f>
        <v>proforma_drag</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t="str">
        <f>IF(ROW()-1&lt;=0,"",IF(ROW()-1&lt;=$L$2,IFERROR(INDEX(MCQ!$A:$K,ROW()-1+1,5),""),IF(ROW()-1&lt;=$L$2+$M$2,IFERROR(INDEX(CLOZE_AB!$A:$K,ROW()-1-$L$2+1,5),""),IF(ROW()-1&lt;=$L$2+$M$2+$N$2,IFERROR(INDEX(CLOZE_LIST!$A:$K,ROW()-1-$L$2-$M$2+1,5),""),IF(ROW()-1&lt;=$L$2+$M$2+$N$2+$O$2,IFERROR(INDEX(PROFORMA!$A:$K,ROW()-1-$L$2-$M$2-$N$2+1,5),""),"")))))</f>
        <v>proforma_drag</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t="str">
        <f>IF(ROW()-1&lt;=0,"",IF(ROW()-1&lt;=$L$2,IFERROR(INDEX(MCQ!$A:$K,ROW()-1+1,5),""),IF(ROW()-1&lt;=$L$2+$M$2,IFERROR(INDEX(CLOZE_AB!$A:$K,ROW()-1-$L$2+1,5),""),IF(ROW()-1&lt;=$L$2+$M$2+$N$2,IFERROR(INDEX(CLOZE_LIST!$A:$K,ROW()-1-$L$2-$M$2+1,5),""),IF(ROW()-1&lt;=$L$2+$M$2+$N$2+$O$2,IFERROR(INDEX(PROFORMA!$A:$K,ROW()-1-$L$2-$M$2-$N$2+1,5),""),"")))))</f>
        <v>proforma_drag</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t="str">
        <f>IF(ROW()-1&lt;=0,"",IF(ROW()-1&lt;=$L$2,IFERROR(INDEX(MCQ!$A:$K,ROW()-1+1,5),""),IF(ROW()-1&lt;=$L$2+$M$2,IFERROR(INDEX(CLOZE_AB!$A:$K,ROW()-1-$L$2+1,5),""),IF(ROW()-1&lt;=$L$2+$M$2+$N$2,IFERROR(INDEX(CLOZE_LIST!$A:$K,ROW()-1-$L$2-$M$2+1,5),""),IF(ROW()-1&lt;=$L$2+$M$2+$N$2+$O$2,IFERROR(INDEX(PROFORMA!$A:$K,ROW()-1-$L$2-$M$2-$N$2+1,5),""),"")))))</f>
        <v>proforma_drag</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t="str">
        <f>IF(ROW()-1&lt;=0,"",IF(ROW()-1&lt;=$L$2,IFERROR(INDEX(MCQ!$A:$K,ROW()-1+1,5),""),IF(ROW()-1&lt;=$L$2+$M$2,IFERROR(INDEX(CLOZE_AB!$A:$K,ROW()-1-$L$2+1,5),""),IF(ROW()-1&lt;=$L$2+$M$2+$N$2,IFERROR(INDEX(CLOZE_LIST!$A:$K,ROW()-1-$L$2-$M$2+1,5),""),IF(ROW()-1&lt;=$L$2+$M$2+$N$2+$O$2,IFERROR(INDEX(PROFORMA!$A:$K,ROW()-1-$L$2-$M$2-$N$2+1,5),""),"")))))</f>
        <v>proforma_drag</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t="str">
        <f>IF(ROW()-1&lt;=0,"",IF(ROW()-1&lt;=$L$2,IFERROR(INDEX(MCQ!$A:$K,ROW()-1+1,5),""),IF(ROW()-1&lt;=$L$2+$M$2,IFERROR(INDEX(CLOZE_AB!$A:$K,ROW()-1-$L$2+1,5),""),IF(ROW()-1&lt;=$L$2+$M$2+$N$2,IFERROR(INDEX(CLOZE_LIST!$A:$K,ROW()-1-$L$2-$M$2+1,5),""),IF(ROW()-1&lt;=$L$2+$M$2+$N$2+$O$2,IFERROR(INDEX(PROFORMA!$A:$K,ROW()-1-$L$2-$M$2-$N$2+1,5),""),"")))))</f>
        <v>proforma_drag</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t="str">
        <f>IF(ROW()-1&lt;=0,"",IF(ROW()-1&lt;=$L$2,IFERROR(INDEX(MCQ!$A:$K,ROW()-1+1,5),""),IF(ROW()-1&lt;=$L$2+$M$2,IFERROR(INDEX(CLOZE_AB!$A:$K,ROW()-1-$L$2+1,5),""),IF(ROW()-1&lt;=$L$2+$M$2+$N$2,IFERROR(INDEX(CLOZE_LIST!$A:$K,ROW()-1-$L$2-$M$2+1,5),""),IF(ROW()-1&lt;=$L$2+$M$2+$N$2+$O$2,IFERROR(INDEX(PROFORMA!$A:$K,ROW()-1-$L$2-$M$2-$N$2+1,5),""),"")))))</f>
        <v>proforma_drag</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t="str">
        <f>IF(ROW()-1&lt;=0,"",IF(ROW()-1&lt;=$L$2,IFERROR(INDEX(MCQ!$A:$K,ROW()-1+1,5),""),IF(ROW()-1&lt;=$L$2+$M$2,IFERROR(INDEX(CLOZE_AB!$A:$K,ROW()-1-$L$2+1,5),""),IF(ROW()-1&lt;=$L$2+$M$2+$N$2,IFERROR(INDEX(CLOZE_LIST!$A:$K,ROW()-1-$L$2-$M$2+1,5),""),IF(ROW()-1&lt;=$L$2+$M$2+$N$2+$O$2,IFERROR(INDEX(PROFORMA!$A:$K,ROW()-1-$L$2-$M$2-$N$2+1,5),""),"")))))</f>
        <v>proforma_drag</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t="str">
        <f>IF(ROW()-1&lt;=0,"",IF(ROW()-1&lt;=$L$2,IFERROR(INDEX(MCQ!$A:$K,ROW()-1+1,5),""),IF(ROW()-1&lt;=$L$2+$M$2,IFERROR(INDEX(CLOZE_AB!$A:$K,ROW()-1-$L$2+1,5),""),IF(ROW()-1&lt;=$L$2+$M$2+$N$2,IFERROR(INDEX(CLOZE_LIST!$A:$K,ROW()-1-$L$2-$M$2+1,5),""),IF(ROW()-1&lt;=$L$2+$M$2+$N$2+$O$2,IFERROR(INDEX(PROFORMA!$A:$K,ROW()-1-$L$2-$M$2-$N$2+1,5),""),"")))))</f>
        <v>proforma_drag</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t="str">
        <f>IF(ROW()-1&lt;=0,"",IF(ROW()-1&lt;=$L$2,IFERROR(INDEX(MCQ!$A:$K,ROW()-1+1,5),""),IF(ROW()-1&lt;=$L$2+$M$2,IFERROR(INDEX(CLOZE_AB!$A:$K,ROW()-1-$L$2+1,5),""),IF(ROW()-1&lt;=$L$2+$M$2+$N$2,IFERROR(INDEX(CLOZE_LIST!$A:$K,ROW()-1-$L$2-$M$2+1,5),""),IF(ROW()-1&lt;=$L$2+$M$2+$N$2+$O$2,IFERROR(INDEX(PROFORMA!$A:$K,ROW()-1-$L$2-$M$2-$N$2+1,5),""),"")))))</f>
        <v>proforma_drag</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t="str">
        <f>IF(ROW()-1&lt;=0,"",IF(ROW()-1&lt;=$L$2,IFERROR(INDEX(MCQ!$A:$K,ROW()-1+1,5),""),IF(ROW()-1&lt;=$L$2+$M$2,IFERROR(INDEX(CLOZE_AB!$A:$K,ROW()-1-$L$2+1,5),""),IF(ROW()-1&lt;=$L$2+$M$2+$N$2,IFERROR(INDEX(CLOZE_LIST!$A:$K,ROW()-1-$L$2-$M$2+1,5),""),IF(ROW()-1&lt;=$L$2+$M$2+$N$2+$O$2,IFERROR(INDEX(PROFORMA!$A:$K,ROW()-1-$L$2-$M$2-$N$2+1,5),""),"")))))</f>
        <v>proforma_drag</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t="str">
        <f>IF(ROW()-1&lt;=0,"",IF(ROW()-1&lt;=$L$2,IFERROR(INDEX(MCQ!$A:$K,ROW()-1+1,5),""),IF(ROW()-1&lt;=$L$2+$M$2,IFERROR(INDEX(CLOZE_AB!$A:$K,ROW()-1-$L$2+1,5),""),IF(ROW()-1&lt;=$L$2+$M$2+$N$2,IFERROR(INDEX(CLOZE_LIST!$A:$K,ROW()-1-$L$2-$M$2+1,5),""),IF(ROW()-1&lt;=$L$2+$M$2+$N$2+$O$2,IFERROR(INDEX(PROFORMA!$A:$K,ROW()-1-$L$2-$M$2-$N$2+1,5),""),"")))))</f>
        <v>proforma_drag</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t="str">
        <f>IF(ROW()-1&lt;=0,"",IF(ROW()-1&lt;=$L$2,IFERROR(INDEX(MCQ!$A:$K,ROW()-1+1,5),""),IF(ROW()-1&lt;=$L$2+$M$2,IFERROR(INDEX(CLOZE_AB!$A:$K,ROW()-1-$L$2+1,5),""),IF(ROW()-1&lt;=$L$2+$M$2+$N$2,IFERROR(INDEX(CLOZE_LIST!$A:$K,ROW()-1-$L$2-$M$2+1,5),""),IF(ROW()-1&lt;=$L$2+$M$2+$N$2+$O$2,IFERROR(INDEX(PROFORMA!$A:$K,ROW()-1-$L$2-$M$2-$N$2+1,5),""),"")))))</f>
        <v>proforma_drag</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t="str">
        <f>IF(ROW()-1&lt;=0,"",IF(ROW()-1&lt;=$L$2,IFERROR(INDEX(MCQ!$A:$K,ROW()-1+1,5),""),IF(ROW()-1&lt;=$L$2+$M$2,IFERROR(INDEX(CLOZE_AB!$A:$K,ROW()-1-$L$2+1,5),""),IF(ROW()-1&lt;=$L$2+$M$2+$N$2,IFERROR(INDEX(CLOZE_LIST!$A:$K,ROW()-1-$L$2-$M$2+1,5),""),IF(ROW()-1&lt;=$L$2+$M$2+$N$2+$O$2,IFERROR(INDEX(PROFORMA!$A:$K,ROW()-1-$L$2-$M$2-$N$2+1,5),""),"")))))</f>
        <v>proforma_drag</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t="str">
        <f>IF(ROW()-1&lt;=0,"",IF(ROW()-1&lt;=$L$2,IFERROR(INDEX(MCQ!$A:$K,ROW()-1+1,5),""),IF(ROW()-1&lt;=$L$2+$M$2,IFERROR(INDEX(CLOZE_AB!$A:$K,ROW()-1-$L$2+1,5),""),IF(ROW()-1&lt;=$L$2+$M$2+$N$2,IFERROR(INDEX(CLOZE_LIST!$A:$K,ROW()-1-$L$2-$M$2+1,5),""),IF(ROW()-1&lt;=$L$2+$M$2+$N$2+$O$2,IFERROR(INDEX(PROFORMA!$A:$K,ROW()-1-$L$2-$M$2-$N$2+1,5),""),"")))))</f>
        <v>proforma_drag</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t="str">
        <f>IF(ROW()-1&lt;=0,"",IF(ROW()-1&lt;=$L$2,IFERROR(INDEX(MCQ!$A:$K,ROW()-1+1,5),""),IF(ROW()-1&lt;=$L$2+$M$2,IFERROR(INDEX(CLOZE_AB!$A:$K,ROW()-1-$L$2+1,5),""),IF(ROW()-1&lt;=$L$2+$M$2+$N$2,IFERROR(INDEX(CLOZE_LIST!$A:$K,ROW()-1-$L$2-$M$2+1,5),""),IF(ROW()-1&lt;=$L$2+$M$2+$N$2+$O$2,IFERROR(INDEX(PROFORMA!$A:$K,ROW()-1-$L$2-$M$2-$N$2+1,5),""),"")))))</f>
        <v>proforma_drag</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t="str">
        <f>IF(ROW()-1&lt;=0,"",IF(ROW()-1&lt;=$L$2,IFERROR(INDEX(MCQ!$A:$K,ROW()-1+1,5),""),IF(ROW()-1&lt;=$L$2+$M$2,IFERROR(INDEX(CLOZE_AB!$A:$K,ROW()-1-$L$2+1,5),""),IF(ROW()-1&lt;=$L$2+$M$2+$N$2,IFERROR(INDEX(CLOZE_LIST!$A:$K,ROW()-1-$L$2-$M$2+1,5),""),IF(ROW()-1&lt;=$L$2+$M$2+$N$2+$O$2,IFERROR(INDEX(PROFORMA!$A:$K,ROW()-1-$L$2-$M$2-$N$2+1,5),""),"")))))</f>
        <v>proforma_drag</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t="str">
        <f>IF(ROW()-1&lt;=0,"",IF(ROW()-1&lt;=$L$2,IFERROR(INDEX(MCQ!$A:$K,ROW()-1+1,5),""),IF(ROW()-1&lt;=$L$2+$M$2,IFERROR(INDEX(CLOZE_AB!$A:$K,ROW()-1-$L$2+1,5),""),IF(ROW()-1&lt;=$L$2+$M$2+$N$2,IFERROR(INDEX(CLOZE_LIST!$A:$K,ROW()-1-$L$2-$M$2+1,5),""),IF(ROW()-1&lt;=$L$2+$M$2+$N$2+$O$2,IFERROR(INDEX(PROFORMA!$A:$K,ROW()-1-$L$2-$M$2-$N$2+1,5),""),"")))))</f>
        <v>proforma_drag</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t="str">
        <f>IF(ROW()-1&lt;=0,"",IF(ROW()-1&lt;=$L$2,IFERROR(INDEX(MCQ!$A:$K,ROW()-1+1,5),""),IF(ROW()-1&lt;=$L$2+$M$2,IFERROR(INDEX(CLOZE_AB!$A:$K,ROW()-1-$L$2+1,5),""),IF(ROW()-1&lt;=$L$2+$M$2+$N$2,IFERROR(INDEX(CLOZE_LIST!$A:$K,ROW()-1-$L$2-$M$2+1,5),""),IF(ROW()-1&lt;=$L$2+$M$2+$N$2+$O$2,IFERROR(INDEX(PROFORMA!$A:$K,ROW()-1-$L$2-$M$2-$N$2+1,5),""),"")))))</f>
        <v>proforma_drag</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t="str">
        <f>IF(ROW()-1&lt;=0,"",IF(ROW()-1&lt;=$L$2,IFERROR(INDEX(MCQ!$A:$K,ROW()-1+1,5),""),IF(ROW()-1&lt;=$L$2+$M$2,IFERROR(INDEX(CLOZE_AB!$A:$K,ROW()-1-$L$2+1,5),""),IF(ROW()-1&lt;=$L$2+$M$2+$N$2,IFERROR(INDEX(CLOZE_LIST!$A:$K,ROW()-1-$L$2-$M$2+1,5),""),IF(ROW()-1&lt;=$L$2+$M$2+$N$2+$O$2,IFERROR(INDEX(PROFORMA!$A:$K,ROW()-1-$L$2-$M$2-$N$2+1,5),""),"")))))</f>
        <v>proforma_drag</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t="str">
        <f>IF(ROW()-1&lt;=0,"",IF(ROW()-1&lt;=$L$2,IFERROR(INDEX(MCQ!$A:$K,ROW()-1+1,5),""),IF(ROW()-1&lt;=$L$2+$M$2,IFERROR(INDEX(CLOZE_AB!$A:$K,ROW()-1-$L$2+1,5),""),IF(ROW()-1&lt;=$L$2+$M$2+$N$2,IFERROR(INDEX(CLOZE_LIST!$A:$K,ROW()-1-$L$2-$M$2+1,5),""),IF(ROW()-1&lt;=$L$2+$M$2+$N$2+$O$2,IFERROR(INDEX(PROFORMA!$A:$K,ROW()-1-$L$2-$M$2-$N$2+1,5),""),"")))))</f>
        <v>proforma_drag</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t="str">
        <f>IF(ROW()-1&lt;=0,"",IF(ROW()-1&lt;=$L$2,IFERROR(INDEX(MCQ!$A:$K,ROW()-1+1,5),""),IF(ROW()-1&lt;=$L$2+$M$2,IFERROR(INDEX(CLOZE_AB!$A:$K,ROW()-1-$L$2+1,5),""),IF(ROW()-1&lt;=$L$2+$M$2+$N$2,IFERROR(INDEX(CLOZE_LIST!$A:$K,ROW()-1-$L$2-$M$2+1,5),""),IF(ROW()-1&lt;=$L$2+$M$2+$N$2+$O$2,IFERROR(INDEX(PROFORMA!$A:$K,ROW()-1-$L$2-$M$2-$N$2+1,5),""),"")))))</f>
        <v>proforma_drag</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t="str">
        <f>IF(ROW()-1&lt;=0,"",IF(ROW()-1&lt;=$L$2,IFERROR(INDEX(MCQ!$A:$K,ROW()-1+1,5),""),IF(ROW()-1&lt;=$L$2+$M$2,IFERROR(INDEX(CLOZE_AB!$A:$K,ROW()-1-$L$2+1,5),""),IF(ROW()-1&lt;=$L$2+$M$2+$N$2,IFERROR(INDEX(CLOZE_LIST!$A:$K,ROW()-1-$L$2-$M$2+1,5),""),IF(ROW()-1&lt;=$L$2+$M$2+$N$2+$O$2,IFERROR(INDEX(PROFORMA!$A:$K,ROW()-1-$L$2-$M$2-$N$2+1,5),""),"")))))</f>
        <v>proforma_drag</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t="str">
        <f>IF(ROW()-1&lt;=0,"",IF(ROW()-1&lt;=$L$2,IFERROR(INDEX(MCQ!$A:$K,ROW()-1+1,5),""),IF(ROW()-1&lt;=$L$2+$M$2,IFERROR(INDEX(CLOZE_AB!$A:$K,ROW()-1-$L$2+1,5),""),IF(ROW()-1&lt;=$L$2+$M$2+$N$2,IFERROR(INDEX(CLOZE_LIST!$A:$K,ROW()-1-$L$2-$M$2+1,5),""),IF(ROW()-1&lt;=$L$2+$M$2+$N$2+$O$2,IFERROR(INDEX(PROFORMA!$A:$K,ROW()-1-$L$2-$M$2-$N$2+1,5),""),"")))))</f>
        <v>proforma_drag</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t="str">
        <f>IF(ROW()-1&lt;=0,"",IF(ROW()-1&lt;=$L$2,IFERROR(INDEX(MCQ!$A:$K,ROW()-1+1,5),""),IF(ROW()-1&lt;=$L$2+$M$2,IFERROR(INDEX(CLOZE_AB!$A:$K,ROW()-1-$L$2+1,5),""),IF(ROW()-1&lt;=$L$2+$M$2+$N$2,IFERROR(INDEX(CLOZE_LIST!$A:$K,ROW()-1-$L$2-$M$2+1,5),""),IF(ROW()-1&lt;=$L$2+$M$2+$N$2+$O$2,IFERROR(INDEX(PROFORMA!$A:$K,ROW()-1-$L$2-$M$2-$N$2+1,5),""),"")))))</f>
        <v>proforma_drag</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t="str">
        <f>IF(ROW()-1&lt;=0,"",IF(ROW()-1&lt;=$L$2,IFERROR(INDEX(MCQ!$A:$K,ROW()-1+1,5),""),IF(ROW()-1&lt;=$L$2+$M$2,IFERROR(INDEX(CLOZE_AB!$A:$K,ROW()-1-$L$2+1,5),""),IF(ROW()-1&lt;=$L$2+$M$2+$N$2,IFERROR(INDEX(CLOZE_LIST!$A:$K,ROW()-1-$L$2-$M$2+1,5),""),IF(ROW()-1&lt;=$L$2+$M$2+$N$2+$O$2,IFERROR(INDEX(PROFORMA!$A:$K,ROW()-1-$L$2-$M$2-$N$2+1,5),""),"")))))</f>
        <v>proforma_drag</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t="str">
        <f>IF(ROW()-1&lt;=0,"",IF(ROW()-1&lt;=$L$2,IFERROR(INDEX(MCQ!$A:$K,ROW()-1+1,5),""),IF(ROW()-1&lt;=$L$2+$M$2,IFERROR(INDEX(CLOZE_AB!$A:$K,ROW()-1-$L$2+1,5),""),IF(ROW()-1&lt;=$L$2+$M$2+$N$2,IFERROR(INDEX(CLOZE_LIST!$A:$K,ROW()-1-$L$2-$M$2+1,5),""),IF(ROW()-1&lt;=$L$2+$M$2+$N$2+$O$2,IFERROR(INDEX(PROFORMA!$A:$K,ROW()-1-$L$2-$M$2-$N$2+1,5),""),"")))))</f>
        <v>proforma_drag</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t="str">
        <f>IF(ROW()-1&lt;=0,"",IF(ROW()-1&lt;=$L$2,IFERROR(INDEX(MCQ!$A:$K,ROW()-1+1,5),""),IF(ROW()-1&lt;=$L$2+$M$2,IFERROR(INDEX(CLOZE_AB!$A:$K,ROW()-1-$L$2+1,5),""),IF(ROW()-1&lt;=$L$2+$M$2+$N$2,IFERROR(INDEX(CLOZE_LIST!$A:$K,ROW()-1-$L$2-$M$2+1,5),""),IF(ROW()-1&lt;=$L$2+$M$2+$N$2+$O$2,IFERROR(INDEX(PROFORMA!$A:$K,ROW()-1-$L$2-$M$2-$N$2+1,5),""),"")))))</f>
        <v>proforma_drag</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t="str">
        <f>IF(ROW()-1&lt;=0,"",IF(ROW()-1&lt;=$L$2,IFERROR(INDEX(MCQ!$A:$K,ROW()-1+1,5),""),IF(ROW()-1&lt;=$L$2+$M$2,IFERROR(INDEX(CLOZE_AB!$A:$K,ROW()-1-$L$2+1,5),""),IF(ROW()-1&lt;=$L$2+$M$2+$N$2,IFERROR(INDEX(CLOZE_LIST!$A:$K,ROW()-1-$L$2-$M$2+1,5),""),IF(ROW()-1&lt;=$L$2+$M$2+$N$2+$O$2,IFERROR(INDEX(PROFORMA!$A:$K,ROW()-1-$L$2-$M$2-$N$2+1,5),""),"")))))</f>
        <v>proforma_drag</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t="str">
        <f>IF(ROW()-1&lt;=0,"",IF(ROW()-1&lt;=$L$2,IFERROR(INDEX(MCQ!$A:$K,ROW()-1+1,5),""),IF(ROW()-1&lt;=$L$2+$M$2,IFERROR(INDEX(CLOZE_AB!$A:$K,ROW()-1-$L$2+1,5),""),IF(ROW()-1&lt;=$L$2+$M$2+$N$2,IFERROR(INDEX(CLOZE_LIST!$A:$K,ROW()-1-$L$2-$M$2+1,5),""),IF(ROW()-1&lt;=$L$2+$M$2+$N$2+$O$2,IFERROR(INDEX(PROFORMA!$A:$K,ROW()-1-$L$2-$M$2-$N$2+1,5),""),"")))))</f>
        <v>proforma_drag</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t="str">
        <f>IF(ROW()-1&lt;=0,"",IF(ROW()-1&lt;=$L$2,IFERROR(INDEX(MCQ!$A:$K,ROW()-1+1,5),""),IF(ROW()-1&lt;=$L$2+$M$2,IFERROR(INDEX(CLOZE_AB!$A:$K,ROW()-1-$L$2+1,5),""),IF(ROW()-1&lt;=$L$2+$M$2+$N$2,IFERROR(INDEX(CLOZE_LIST!$A:$K,ROW()-1-$L$2-$M$2+1,5),""),IF(ROW()-1&lt;=$L$2+$M$2+$N$2+$O$2,IFERROR(INDEX(PROFORMA!$A:$K,ROW()-1-$L$2-$M$2-$N$2+1,5),""),"")))))</f>
        <v>proforma_drag</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t="str">
        <f>IF(ROW()-1&lt;=0,"",IF(ROW()-1&lt;=$L$2,IFERROR(INDEX(MCQ!$A:$K,ROW()-1+1,5),""),IF(ROW()-1&lt;=$L$2+$M$2,IFERROR(INDEX(CLOZE_AB!$A:$K,ROW()-1-$L$2+1,5),""),IF(ROW()-1&lt;=$L$2+$M$2+$N$2,IFERROR(INDEX(CLOZE_LIST!$A:$K,ROW()-1-$L$2-$M$2+1,5),""),IF(ROW()-1&lt;=$L$2+$M$2+$N$2+$O$2,IFERROR(INDEX(PROFORMA!$A:$K,ROW()-1-$L$2-$M$2-$N$2+1,5),""),"")))))</f>
        <v>proforma_drag</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t="str">
        <f>IF(ROW()-1&lt;=0,"",IF(ROW()-1&lt;=$L$2,IFERROR(INDEX(MCQ!$A:$K,ROW()-1+1,5),""),IF(ROW()-1&lt;=$L$2+$M$2,IFERROR(INDEX(CLOZE_AB!$A:$K,ROW()-1-$L$2+1,5),""),IF(ROW()-1&lt;=$L$2+$M$2+$N$2,IFERROR(INDEX(CLOZE_LIST!$A:$K,ROW()-1-$L$2-$M$2+1,5),""),IF(ROW()-1&lt;=$L$2+$M$2+$N$2+$O$2,IFERROR(INDEX(PROFORMA!$A:$K,ROW()-1-$L$2-$M$2-$N$2+1,5),""),"")))))</f>
        <v>proforma_drag</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t="str">
        <f>IF(ROW()-1&lt;=0,"",IF(ROW()-1&lt;=$L$2,IFERROR(INDEX(MCQ!$A:$K,ROW()-1+1,5),""),IF(ROW()-1&lt;=$L$2+$M$2,IFERROR(INDEX(CLOZE_AB!$A:$K,ROW()-1-$L$2+1,5),""),IF(ROW()-1&lt;=$L$2+$M$2+$N$2,IFERROR(INDEX(CLOZE_LIST!$A:$K,ROW()-1-$L$2-$M$2+1,5),""),IF(ROW()-1&lt;=$L$2+$M$2+$N$2+$O$2,IFERROR(INDEX(PROFORMA!$A:$K,ROW()-1-$L$2-$M$2-$N$2+1,5),""),"")))))</f>
        <v>proforma_drag</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t="str">
        <f>IF(ROW()-1&lt;=0,"",IF(ROW()-1&lt;=$L$2,IFERROR(INDEX(MCQ!$A:$K,ROW()-1+1,5),""),IF(ROW()-1&lt;=$L$2+$M$2,IFERROR(INDEX(CLOZE_AB!$A:$K,ROW()-1-$L$2+1,5),""),IF(ROW()-1&lt;=$L$2+$M$2+$N$2,IFERROR(INDEX(CLOZE_LIST!$A:$K,ROW()-1-$L$2-$M$2+1,5),""),IF(ROW()-1&lt;=$L$2+$M$2+$N$2+$O$2,IFERROR(INDEX(PROFORMA!$A:$K,ROW()-1-$L$2-$M$2-$N$2+1,5),""),"")))))</f>
        <v>proforma_drag</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t="str">
        <f>IF(ROW()-1&lt;=0,"",IF(ROW()-1&lt;=$L$2,IFERROR(INDEX(MCQ!$A:$K,ROW()-1+1,5),""),IF(ROW()-1&lt;=$L$2+$M$2,IFERROR(INDEX(CLOZE_AB!$A:$K,ROW()-1-$L$2+1,5),""),IF(ROW()-1&lt;=$L$2+$M$2+$N$2,IFERROR(INDEX(CLOZE_LIST!$A:$K,ROW()-1-$L$2-$M$2+1,5),""),IF(ROW()-1&lt;=$L$2+$M$2+$N$2+$O$2,IFERROR(INDEX(PROFORMA!$A:$K,ROW()-1-$L$2-$M$2-$N$2+1,5),""),"")))))</f>
        <v>proforma_drag</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t="str">
        <f>IF(ROW()-1&lt;=0,"",IF(ROW()-1&lt;=$L$2,IFERROR(INDEX(MCQ!$A:$K,ROW()-1+1,5),""),IF(ROW()-1&lt;=$L$2+$M$2,IFERROR(INDEX(CLOZE_AB!$A:$K,ROW()-1-$L$2+1,5),""),IF(ROW()-1&lt;=$L$2+$M$2+$N$2,IFERROR(INDEX(CLOZE_LIST!$A:$K,ROW()-1-$L$2-$M$2+1,5),""),IF(ROW()-1&lt;=$L$2+$M$2+$N$2+$O$2,IFERROR(INDEX(PROFORMA!$A:$K,ROW()-1-$L$2-$M$2-$N$2+1,5),""),"")))))</f>
        <v>proforma_drag</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t="str">
        <f>IF(ROW()-1&lt;=0,"",IF(ROW()-1&lt;=$L$2,IFERROR(INDEX(MCQ!$A:$K,ROW()-1+1,5),""),IF(ROW()-1&lt;=$L$2+$M$2,IFERROR(INDEX(CLOZE_AB!$A:$K,ROW()-1-$L$2+1,5),""),IF(ROW()-1&lt;=$L$2+$M$2+$N$2,IFERROR(INDEX(CLOZE_LIST!$A:$K,ROW()-1-$L$2-$M$2+1,5),""),IF(ROW()-1&lt;=$L$2+$M$2+$N$2+$O$2,IFERROR(INDEX(PROFORMA!$A:$K,ROW()-1-$L$2-$M$2-$N$2+1,5),""),"")))))</f>
        <v>proforma_drag</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t="str">
        <f>IF(ROW()-1&lt;=0,"",IF(ROW()-1&lt;=$L$2,IFERROR(INDEX(MCQ!$A:$K,ROW()-1+1,5),""),IF(ROW()-1&lt;=$L$2+$M$2,IFERROR(INDEX(CLOZE_AB!$A:$K,ROW()-1-$L$2+1,5),""),IF(ROW()-1&lt;=$L$2+$M$2+$N$2,IFERROR(INDEX(CLOZE_LIST!$A:$K,ROW()-1-$L$2-$M$2+1,5),""),IF(ROW()-1&lt;=$L$2+$M$2+$N$2+$O$2,IFERROR(INDEX(PROFORMA!$A:$K,ROW()-1-$L$2-$M$2-$N$2+1,5),""),"")))))</f>
        <v>proforma_drag</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t="str">
        <f>IF(ROW()-1&lt;=0,"",IF(ROW()-1&lt;=$L$2,IFERROR(INDEX(MCQ!$A:$K,ROW()-1+1,5),""),IF(ROW()-1&lt;=$L$2+$M$2,IFERROR(INDEX(CLOZE_AB!$A:$K,ROW()-1-$L$2+1,5),""),IF(ROW()-1&lt;=$L$2+$M$2+$N$2,IFERROR(INDEX(CLOZE_LIST!$A:$K,ROW()-1-$L$2-$M$2+1,5),""),IF(ROW()-1&lt;=$L$2+$M$2+$N$2+$O$2,IFERROR(INDEX(PROFORMA!$A:$K,ROW()-1-$L$2-$M$2-$N$2+1,5),""),"")))))</f>
        <v>proforma_drag</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t="str">
        <f>IF(ROW()-1&lt;=0,"",IF(ROW()-1&lt;=$L$2,IFERROR(INDEX(MCQ!$A:$K,ROW()-1+1,5),""),IF(ROW()-1&lt;=$L$2+$M$2,IFERROR(INDEX(CLOZE_AB!$A:$K,ROW()-1-$L$2+1,5),""),IF(ROW()-1&lt;=$L$2+$M$2+$N$2,IFERROR(INDEX(CLOZE_LIST!$A:$K,ROW()-1-$L$2-$M$2+1,5),""),IF(ROW()-1&lt;=$L$2+$M$2+$N$2+$O$2,IFERROR(INDEX(PROFORMA!$A:$K,ROW()-1-$L$2-$M$2-$N$2+1,5),""),"")))))</f>
        <v>proforma_drag</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t="str">
        <f>IF(ROW()-1&lt;=0,"",IF(ROW()-1&lt;=$L$2,IFERROR(INDEX(MCQ!$A:$K,ROW()-1+1,5),""),IF(ROW()-1&lt;=$L$2+$M$2,IFERROR(INDEX(CLOZE_AB!$A:$K,ROW()-1-$L$2+1,5),""),IF(ROW()-1&lt;=$L$2+$M$2+$N$2,IFERROR(INDEX(CLOZE_LIST!$A:$K,ROW()-1-$L$2-$M$2+1,5),""),IF(ROW()-1&lt;=$L$2+$M$2+$N$2+$O$2,IFERROR(INDEX(PROFORMA!$A:$K,ROW()-1-$L$2-$M$2-$N$2+1,5),""),"")))))</f>
        <v>proforma_drag</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t="str">
        <f>IF(ROW()-1&lt;=0,"",IF(ROW()-1&lt;=$L$2,IFERROR(INDEX(MCQ!$A:$K,ROW()-1+1,5),""),IF(ROW()-1&lt;=$L$2+$M$2,IFERROR(INDEX(CLOZE_AB!$A:$K,ROW()-1-$L$2+1,5),""),IF(ROW()-1&lt;=$L$2+$M$2+$N$2,IFERROR(INDEX(CLOZE_LIST!$A:$K,ROW()-1-$L$2-$M$2+1,5),""),IF(ROW()-1&lt;=$L$2+$M$2+$N$2+$O$2,IFERROR(INDEX(PROFORMA!$A:$K,ROW()-1-$L$2-$M$2-$N$2+1,5),""),"")))))</f>
        <v>proforma_drag</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t="str">
        <f>IF(ROW()-1&lt;=0,"",IF(ROW()-1&lt;=$L$2,IFERROR(INDEX(MCQ!$A:$K,ROW()-1+1,5),""),IF(ROW()-1&lt;=$L$2+$M$2,IFERROR(INDEX(CLOZE_AB!$A:$K,ROW()-1-$L$2+1,5),""),IF(ROW()-1&lt;=$L$2+$M$2+$N$2,IFERROR(INDEX(CLOZE_LIST!$A:$K,ROW()-1-$L$2-$M$2+1,5),""),IF(ROW()-1&lt;=$L$2+$M$2+$N$2+$O$2,IFERROR(INDEX(PROFORMA!$A:$K,ROW()-1-$L$2-$M$2-$N$2+1,5),""),"")))))</f>
        <v>proforma_drag</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t="str">
        <f>IF(ROW()-1&lt;=0,"",IF(ROW()-1&lt;=$L$2,IFERROR(INDEX(MCQ!$A:$K,ROW()-1+1,5),""),IF(ROW()-1&lt;=$L$2+$M$2,IFERROR(INDEX(CLOZE_AB!$A:$K,ROW()-1-$L$2+1,5),""),IF(ROW()-1&lt;=$L$2+$M$2+$N$2,IFERROR(INDEX(CLOZE_LIST!$A:$K,ROW()-1-$L$2-$M$2+1,5),""),IF(ROW()-1&lt;=$L$2+$M$2+$N$2+$O$2,IFERROR(INDEX(PROFORMA!$A:$K,ROW()-1-$L$2-$M$2-$N$2+1,5),""),"")))))</f>
        <v>proforma_drag</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t="str">
        <f>IF(ROW()-1&lt;=0,"",IF(ROW()-1&lt;=$L$2,IFERROR(INDEX(MCQ!$A:$K,ROW()-1+1,5),""),IF(ROW()-1&lt;=$L$2+$M$2,IFERROR(INDEX(CLOZE_AB!$A:$K,ROW()-1-$L$2+1,5),""),IF(ROW()-1&lt;=$L$2+$M$2+$N$2,IFERROR(INDEX(CLOZE_LIST!$A:$K,ROW()-1-$L$2-$M$2+1,5),""),IF(ROW()-1&lt;=$L$2+$M$2+$N$2+$O$2,IFERROR(INDEX(PROFORMA!$A:$K,ROW()-1-$L$2-$M$2-$N$2+1,5),""),"")))))</f>
        <v>proforma_drag</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t="str">
        <f>IF(ROW()-1&lt;=0,"",IF(ROW()-1&lt;=$L$2,IFERROR(INDEX(MCQ!$A:$K,ROW()-1+1,5),""),IF(ROW()-1&lt;=$L$2+$M$2,IFERROR(INDEX(CLOZE_AB!$A:$K,ROW()-1-$L$2+1,5),""),IF(ROW()-1&lt;=$L$2+$M$2+$N$2,IFERROR(INDEX(CLOZE_LIST!$A:$K,ROW()-1-$L$2-$M$2+1,5),""),IF(ROW()-1&lt;=$L$2+$M$2+$N$2+$O$2,IFERROR(INDEX(PROFORMA!$A:$K,ROW()-1-$L$2-$M$2-$N$2+1,5),""),"")))))</f>
        <v>proforma_drag</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t="str">
        <f>IF(ROW()-1&lt;=0,"",IF(ROW()-1&lt;=$L$2,IFERROR(INDEX(MCQ!$A:$K,ROW()-1+1,5),""),IF(ROW()-1&lt;=$L$2+$M$2,IFERROR(INDEX(CLOZE_AB!$A:$K,ROW()-1-$L$2+1,5),""),IF(ROW()-1&lt;=$L$2+$M$2+$N$2,IFERROR(INDEX(CLOZE_LIST!$A:$K,ROW()-1-$L$2-$M$2+1,5),""),IF(ROW()-1&lt;=$L$2+$M$2+$N$2+$O$2,IFERROR(INDEX(PROFORMA!$A:$K,ROW()-1-$L$2-$M$2-$N$2+1,5),""),"")))))</f>
        <v>proforma_drag</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t="str">
        <f>IF(ROW()-1&lt;=0,"",IF(ROW()-1&lt;=$L$2,IFERROR(INDEX(MCQ!$A:$K,ROW()-1+1,5),""),IF(ROW()-1&lt;=$L$2+$M$2,IFERROR(INDEX(CLOZE_AB!$A:$K,ROW()-1-$L$2+1,5),""),IF(ROW()-1&lt;=$L$2+$M$2+$N$2,IFERROR(INDEX(CLOZE_LIST!$A:$K,ROW()-1-$L$2-$M$2+1,5),""),IF(ROW()-1&lt;=$L$2+$M$2+$N$2+$O$2,IFERROR(INDEX(PROFORMA!$A:$K,ROW()-1-$L$2-$M$2-$N$2+1,5),""),"")))))</f>
        <v>proforma_drag</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t="str">
        <f>IF(ROW()-1&lt;=0,"",IF(ROW()-1&lt;=$L$2,IFERROR(INDEX(MCQ!$A:$K,ROW()-1+1,5),""),IF(ROW()-1&lt;=$L$2+$M$2,IFERROR(INDEX(CLOZE_AB!$A:$K,ROW()-1-$L$2+1,5),""),IF(ROW()-1&lt;=$L$2+$M$2+$N$2,IFERROR(INDEX(CLOZE_LIST!$A:$K,ROW()-1-$L$2-$M$2+1,5),""),IF(ROW()-1&lt;=$L$2+$M$2+$N$2+$O$2,IFERROR(INDEX(PROFORMA!$A:$K,ROW()-1-$L$2-$M$2-$N$2+1,5),""),"")))))</f>
        <v>proforma_drag</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t="str">
        <f>IF(ROW()-1&lt;=0,"",IF(ROW()-1&lt;=$L$2,IFERROR(INDEX(MCQ!$A:$K,ROW()-1+1,5),""),IF(ROW()-1&lt;=$L$2+$M$2,IFERROR(INDEX(CLOZE_AB!$A:$K,ROW()-1-$L$2+1,5),""),IF(ROW()-1&lt;=$L$2+$M$2+$N$2,IFERROR(INDEX(CLOZE_LIST!$A:$K,ROW()-1-$L$2-$M$2+1,5),""),IF(ROW()-1&lt;=$L$2+$M$2+$N$2+$O$2,IFERROR(INDEX(PROFORMA!$A:$K,ROW()-1-$L$2-$M$2-$N$2+1,5),""),"")))))</f>
        <v>proforma_drag</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t="str">
        <f>IF(ROW()-1&lt;=0,"",IF(ROW()-1&lt;=$L$2,IFERROR(INDEX(MCQ!$A:$K,ROW()-1+1,5),""),IF(ROW()-1&lt;=$L$2+$M$2,IFERROR(INDEX(CLOZE_AB!$A:$K,ROW()-1-$L$2+1,5),""),IF(ROW()-1&lt;=$L$2+$M$2+$N$2,IFERROR(INDEX(CLOZE_LIST!$A:$K,ROW()-1-$L$2-$M$2+1,5),""),IF(ROW()-1&lt;=$L$2+$M$2+$N$2+$O$2,IFERROR(INDEX(PROFORMA!$A:$K,ROW()-1-$L$2-$M$2-$N$2+1,5),""),"")))))</f>
        <v>proforma_drag</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t="str">
        <f>IF(ROW()-1&lt;=0,"",IF(ROW()-1&lt;=$L$2,IFERROR(INDEX(MCQ!$A:$K,ROW()-1+1,5),""),IF(ROW()-1&lt;=$L$2+$M$2,IFERROR(INDEX(CLOZE_AB!$A:$K,ROW()-1-$L$2+1,5),""),IF(ROW()-1&lt;=$L$2+$M$2+$N$2,IFERROR(INDEX(CLOZE_LIST!$A:$K,ROW()-1-$L$2-$M$2+1,5),""),IF(ROW()-1&lt;=$L$2+$M$2+$N$2+$O$2,IFERROR(INDEX(PROFORMA!$A:$K,ROW()-1-$L$2-$M$2-$N$2+1,5),""),"")))))</f>
        <v>proforma_drag</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t="str">
        <f>IF(ROW()-1&lt;=0,"",IF(ROW()-1&lt;=$L$2,IFERROR(INDEX(MCQ!$A:$K,ROW()-1+1,5),""),IF(ROW()-1&lt;=$L$2+$M$2,IFERROR(INDEX(CLOZE_AB!$A:$K,ROW()-1-$L$2+1,5),""),IF(ROW()-1&lt;=$L$2+$M$2+$N$2,IFERROR(INDEX(CLOZE_LIST!$A:$K,ROW()-1-$L$2-$M$2+1,5),""),IF(ROW()-1&lt;=$L$2+$M$2+$N$2+$O$2,IFERROR(INDEX(PROFORMA!$A:$K,ROW()-1-$L$2-$M$2-$N$2+1,5),""),"")))))</f>
        <v>proforma_drag</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t="str">
        <f>IF(ROW()-1&lt;=0,"",IF(ROW()-1&lt;=$L$2,IFERROR(INDEX(MCQ!$A:$K,ROW()-1+1,5),""),IF(ROW()-1&lt;=$L$2+$M$2,IFERROR(INDEX(CLOZE_AB!$A:$K,ROW()-1-$L$2+1,5),""),IF(ROW()-1&lt;=$L$2+$M$2+$N$2,IFERROR(INDEX(CLOZE_LIST!$A:$K,ROW()-1-$L$2-$M$2+1,5),""),IF(ROW()-1&lt;=$L$2+$M$2+$N$2+$O$2,IFERROR(INDEX(PROFORMA!$A:$K,ROW()-1-$L$2-$M$2-$N$2+1,5),""),"")))))</f>
        <v>proforma_drag</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t="str">
        <f>IF(ROW()-1&lt;=0,"",IF(ROW()-1&lt;=$L$2,IFERROR(INDEX(MCQ!$A:$K,ROW()-1+1,5),""),IF(ROW()-1&lt;=$L$2+$M$2,IFERROR(INDEX(CLOZE_AB!$A:$K,ROW()-1-$L$2+1,5),""),IF(ROW()-1&lt;=$L$2+$M$2+$N$2,IFERROR(INDEX(CLOZE_LIST!$A:$K,ROW()-1-$L$2-$M$2+1,5),""),IF(ROW()-1&lt;=$L$2+$M$2+$N$2+$O$2,IFERROR(INDEX(PROFORMA!$A:$K,ROW()-1-$L$2-$M$2-$N$2+1,5),""),"")))))</f>
        <v>proforma_drag</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t="str">
        <f>IF(ROW()-1&lt;=0,"",IF(ROW()-1&lt;=$L$2,IFERROR(INDEX(MCQ!$A:$K,ROW()-1+1,5),""),IF(ROW()-1&lt;=$L$2+$M$2,IFERROR(INDEX(CLOZE_AB!$A:$K,ROW()-1-$L$2+1,5),""),IF(ROW()-1&lt;=$L$2+$M$2+$N$2,IFERROR(INDEX(CLOZE_LIST!$A:$K,ROW()-1-$L$2-$M$2+1,5),""),IF(ROW()-1&lt;=$L$2+$M$2+$N$2+$O$2,IFERROR(INDEX(PROFORMA!$A:$K,ROW()-1-$L$2-$M$2-$N$2+1,5),""),"")))))</f>
        <v>proforma_drag</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t="str">
        <f>IF(ROW()-1&lt;=0,"",IF(ROW()-1&lt;=$L$2,IFERROR(INDEX(MCQ!$A:$K,ROW()-1+1,5),""),IF(ROW()-1&lt;=$L$2+$M$2,IFERROR(INDEX(CLOZE_AB!$A:$K,ROW()-1-$L$2+1,5),""),IF(ROW()-1&lt;=$L$2+$M$2+$N$2,IFERROR(INDEX(CLOZE_LIST!$A:$K,ROW()-1-$L$2-$M$2+1,5),""),IF(ROW()-1&lt;=$L$2+$M$2+$N$2+$O$2,IFERROR(INDEX(PROFORMA!$A:$K,ROW()-1-$L$2-$M$2-$N$2+1,5),""),"")))))</f>
        <v>proforma_drag</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t="str">
        <f>IF(ROW()-1&lt;=0,"",IF(ROW()-1&lt;=$L$2,IFERROR(INDEX(MCQ!$A:$K,ROW()-1+1,5),""),IF(ROW()-1&lt;=$L$2+$M$2,IFERROR(INDEX(CLOZE_AB!$A:$K,ROW()-1-$L$2+1,5),""),IF(ROW()-1&lt;=$L$2+$M$2+$N$2,IFERROR(INDEX(CLOZE_LIST!$A:$K,ROW()-1-$L$2-$M$2+1,5),""),IF(ROW()-1&lt;=$L$2+$M$2+$N$2+$O$2,IFERROR(INDEX(PROFORMA!$A:$K,ROW()-1-$L$2-$M$2-$N$2+1,5),""),"")))))</f>
        <v>proforma_drag</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t="str">
        <f>IF(ROW()-1&lt;=0,"",IF(ROW()-1&lt;=$L$2,IFERROR(INDEX(MCQ!$A:$K,ROW()-1+1,5),""),IF(ROW()-1&lt;=$L$2+$M$2,IFERROR(INDEX(CLOZE_AB!$A:$K,ROW()-1-$L$2+1,5),""),IF(ROW()-1&lt;=$L$2+$M$2+$N$2,IFERROR(INDEX(CLOZE_LIST!$A:$K,ROW()-1-$L$2-$M$2+1,5),""),IF(ROW()-1&lt;=$L$2+$M$2+$N$2+$O$2,IFERROR(INDEX(PROFORMA!$A:$K,ROW()-1-$L$2-$M$2-$N$2+1,5),""),"")))))</f>
        <v>proforma_drag</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t="str">
        <f>IF(ROW()-1&lt;=0,"",IF(ROW()-1&lt;=$L$2,IFERROR(INDEX(MCQ!$A:$K,ROW()-1+1,5),""),IF(ROW()-1&lt;=$L$2+$M$2,IFERROR(INDEX(CLOZE_AB!$A:$K,ROW()-1-$L$2+1,5),""),IF(ROW()-1&lt;=$L$2+$M$2+$N$2,IFERROR(INDEX(CLOZE_LIST!$A:$K,ROW()-1-$L$2-$M$2+1,5),""),IF(ROW()-1&lt;=$L$2+$M$2+$N$2+$O$2,IFERROR(INDEX(PROFORMA!$A:$K,ROW()-1-$L$2-$M$2-$N$2+1,5),""),"")))))</f>
        <v>proforma_drag</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t="str">
        <f>IF(ROW()-1&lt;=0,"",IF(ROW()-1&lt;=$L$2,IFERROR(INDEX(MCQ!$A:$K,ROW()-1+1,5),""),IF(ROW()-1&lt;=$L$2+$M$2,IFERROR(INDEX(CLOZE_AB!$A:$K,ROW()-1-$L$2+1,5),""),IF(ROW()-1&lt;=$L$2+$M$2+$N$2,IFERROR(INDEX(CLOZE_LIST!$A:$K,ROW()-1-$L$2-$M$2+1,5),""),IF(ROW()-1&lt;=$L$2+$M$2+$N$2+$O$2,IFERROR(INDEX(PROFORMA!$A:$K,ROW()-1-$L$2-$M$2-$N$2+1,5),""),"")))))</f>
        <v>proforma_drag</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t="str">
        <f>IF(ROW()-1&lt;=0,"",IF(ROW()-1&lt;=$L$2,IFERROR(INDEX(MCQ!$A:$K,ROW()-1+1,5),""),IF(ROW()-1&lt;=$L$2+$M$2,IFERROR(INDEX(CLOZE_AB!$A:$K,ROW()-1-$L$2+1,5),""),IF(ROW()-1&lt;=$L$2+$M$2+$N$2,IFERROR(INDEX(CLOZE_LIST!$A:$K,ROW()-1-$L$2-$M$2+1,5),""),IF(ROW()-1&lt;=$L$2+$M$2+$N$2+$O$2,IFERROR(INDEX(PROFORMA!$A:$K,ROW()-1-$L$2-$M$2-$N$2+1,5),""),"")))))</f>
        <v>proforma_drag</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t="str">
        <f>IF(ROW()-1&lt;=0,"",IF(ROW()-1&lt;=$L$2,IFERROR(INDEX(MCQ!$A:$K,ROW()-1+1,5),""),IF(ROW()-1&lt;=$L$2+$M$2,IFERROR(INDEX(CLOZE_AB!$A:$K,ROW()-1-$L$2+1,5),""),IF(ROW()-1&lt;=$L$2+$M$2+$N$2,IFERROR(INDEX(CLOZE_LIST!$A:$K,ROW()-1-$L$2-$M$2+1,5),""),IF(ROW()-1&lt;=$L$2+$M$2+$N$2+$O$2,IFERROR(INDEX(PROFORMA!$A:$K,ROW()-1-$L$2-$M$2-$N$2+1,5),""),"")))))</f>
        <v>proforma_drag</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t="str">
        <f>IF(ROW()-1&lt;=0,"",IF(ROW()-1&lt;=$L$2,IFERROR(INDEX(MCQ!$A:$K,ROW()-1+1,5),""),IF(ROW()-1&lt;=$L$2+$M$2,IFERROR(INDEX(CLOZE_AB!$A:$K,ROW()-1-$L$2+1,5),""),IF(ROW()-1&lt;=$L$2+$M$2+$N$2,IFERROR(INDEX(CLOZE_LIST!$A:$K,ROW()-1-$L$2-$M$2+1,5),""),IF(ROW()-1&lt;=$L$2+$M$2+$N$2+$O$2,IFERROR(INDEX(PROFORMA!$A:$K,ROW()-1-$L$2-$M$2-$N$2+1,5),""),"")))))</f>
        <v>proforma_drag</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t="str">
        <f>IF(ROW()-1&lt;=0,"",IF(ROW()-1&lt;=$L$2,IFERROR(INDEX(MCQ!$A:$K,ROW()-1+1,5),""),IF(ROW()-1&lt;=$L$2+$M$2,IFERROR(INDEX(CLOZE_AB!$A:$K,ROW()-1-$L$2+1,5),""),IF(ROW()-1&lt;=$L$2+$M$2+$N$2,IFERROR(INDEX(CLOZE_LIST!$A:$K,ROW()-1-$L$2-$M$2+1,5),""),IF(ROW()-1&lt;=$L$2+$M$2+$N$2+$O$2,IFERROR(INDEX(PROFORMA!$A:$K,ROW()-1-$L$2-$M$2-$N$2+1,5),""),"")))))</f>
        <v>proforma_drag</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t="str">
        <f>IF(ROW()-1&lt;=0,"",IF(ROW()-1&lt;=$L$2,IFERROR(INDEX(MCQ!$A:$K,ROW()-1+1,5),""),IF(ROW()-1&lt;=$L$2+$M$2,IFERROR(INDEX(CLOZE_AB!$A:$K,ROW()-1-$L$2+1,5),""),IF(ROW()-1&lt;=$L$2+$M$2+$N$2,IFERROR(INDEX(CLOZE_LIST!$A:$K,ROW()-1-$L$2-$M$2+1,5),""),IF(ROW()-1&lt;=$L$2+$M$2+$N$2+$O$2,IFERROR(INDEX(PROFORMA!$A:$K,ROW()-1-$L$2-$M$2-$N$2+1,5),""),"")))))</f>
        <v>proforma_drag</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t="str">
        <f>IF(ROW()-1&lt;=0,"",IF(ROW()-1&lt;=$L$2,IFERROR(INDEX(MCQ!$A:$K,ROW()-1+1,5),""),IF(ROW()-1&lt;=$L$2+$M$2,IFERROR(INDEX(CLOZE_AB!$A:$K,ROW()-1-$L$2+1,5),""),IF(ROW()-1&lt;=$L$2+$M$2+$N$2,IFERROR(INDEX(CLOZE_LIST!$A:$K,ROW()-1-$L$2-$M$2+1,5),""),IF(ROW()-1&lt;=$L$2+$M$2+$N$2+$O$2,IFERROR(INDEX(PROFORMA!$A:$K,ROW()-1-$L$2-$M$2-$N$2+1,5),""),"")))))</f>
        <v>proforma_drag</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t="str">
        <f>IF(ROW()-1&lt;=0,"",IF(ROW()-1&lt;=$L$2,IFERROR(INDEX(MCQ!$A:$K,ROW()-1+1,5),""),IF(ROW()-1&lt;=$L$2+$M$2,IFERROR(INDEX(CLOZE_AB!$A:$K,ROW()-1-$L$2+1,5),""),IF(ROW()-1&lt;=$L$2+$M$2+$N$2,IFERROR(INDEX(CLOZE_LIST!$A:$K,ROW()-1-$L$2-$M$2+1,5),""),IF(ROW()-1&lt;=$L$2+$M$2+$N$2+$O$2,IFERROR(INDEX(PROFORMA!$A:$K,ROW()-1-$L$2-$M$2-$N$2+1,5),""),"")))))</f>
        <v>proforma_drag</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t="str">
        <f>IF(ROW()-1&lt;=0,"",IF(ROW()-1&lt;=$L$2,IFERROR(INDEX(MCQ!$A:$K,ROW()-1+1,5),""),IF(ROW()-1&lt;=$L$2+$M$2,IFERROR(INDEX(CLOZE_AB!$A:$K,ROW()-1-$L$2+1,5),""),IF(ROW()-1&lt;=$L$2+$M$2+$N$2,IFERROR(INDEX(CLOZE_LIST!$A:$K,ROW()-1-$L$2-$M$2+1,5),""),IF(ROW()-1&lt;=$L$2+$M$2+$N$2+$O$2,IFERROR(INDEX(PROFORMA!$A:$K,ROW()-1-$L$2-$M$2-$N$2+1,5),""),"")))))</f>
        <v>proforma_drag</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t="str">
        <f>IF(ROW()-1&lt;=0,"",IF(ROW()-1&lt;=$L$2,IFERROR(INDEX(MCQ!$A:$K,ROW()-1+1,5),""),IF(ROW()-1&lt;=$L$2+$M$2,IFERROR(INDEX(CLOZE_AB!$A:$K,ROW()-1-$L$2+1,5),""),IF(ROW()-1&lt;=$L$2+$M$2+$N$2,IFERROR(INDEX(CLOZE_LIST!$A:$K,ROW()-1-$L$2-$M$2+1,5),""),IF(ROW()-1&lt;=$L$2+$M$2+$N$2+$O$2,IFERROR(INDEX(PROFORMA!$A:$K,ROW()-1-$L$2-$M$2-$N$2+1,5),""),"")))))</f>
        <v>proforma_drag</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A2"/>
  <sheetViews>
    <sheetView workbookViewId="0">
      <selection activeCell="C2" sqref="C2:T2"/>
    </sheetView>
  </sheetViews>
  <sheetFormatPr defaultRowHeight="14.4" x14ac:dyDescent="0.3"/>
  <sheetData>
    <row r="1" spans="1:27" x14ac:dyDescent="0.3">
      <c r="A1" t="s">
        <v>52</v>
      </c>
      <c r="B1" t="s">
        <v>53</v>
      </c>
      <c r="C1" t="s">
        <v>54</v>
      </c>
      <c r="D1" t="s">
        <v>55</v>
      </c>
      <c r="E1" t="s">
        <v>56</v>
      </c>
      <c r="F1" t="s">
        <v>57</v>
      </c>
      <c r="G1" t="s">
        <v>58</v>
      </c>
      <c r="H1" t="s">
        <v>59</v>
      </c>
      <c r="I1" t="s">
        <v>60</v>
      </c>
      <c r="J1" t="s">
        <v>61</v>
      </c>
      <c r="K1" t="s">
        <v>62</v>
      </c>
      <c r="L1" t="s">
        <v>63</v>
      </c>
      <c r="M1" t="s">
        <v>64</v>
      </c>
      <c r="N1" t="s">
        <v>65</v>
      </c>
      <c r="O1" t="s">
        <v>94</v>
      </c>
      <c r="P1" t="s">
        <v>95</v>
      </c>
      <c r="Q1" t="s">
        <v>112</v>
      </c>
      <c r="R1" t="s">
        <v>113</v>
      </c>
      <c r="S1" t="s">
        <v>96</v>
      </c>
      <c r="T1" t="s">
        <v>73</v>
      </c>
    </row>
    <row r="2" spans="1:27" x14ac:dyDescent="0.3">
      <c r="A2" t="s">
        <v>161</v>
      </c>
      <c r="B2" t="s">
        <v>28</v>
      </c>
      <c r="C2" t="s">
        <v>22</v>
      </c>
      <c r="D2" t="s">
        <v>118</v>
      </c>
      <c r="E2" t="s">
        <v>36</v>
      </c>
      <c r="F2" t="s">
        <v>120</v>
      </c>
      <c r="G2" t="s">
        <v>16</v>
      </c>
      <c r="H2" t="s">
        <v>17</v>
      </c>
      <c r="I2" t="s">
        <v>128</v>
      </c>
      <c r="J2" t="s">
        <v>129</v>
      </c>
      <c r="K2">
        <v>1</v>
      </c>
      <c r="L2" t="s">
        <v>130</v>
      </c>
      <c r="M2" t="s">
        <v>162</v>
      </c>
      <c r="N2">
        <v>1</v>
      </c>
      <c r="O2" t="s">
        <v>163</v>
      </c>
      <c r="P2" t="s">
        <v>164</v>
      </c>
      <c r="Q2" t="s">
        <v>165</v>
      </c>
      <c r="R2" s="4" t="s">
        <v>166</v>
      </c>
      <c r="S2" t="s">
        <v>167</v>
      </c>
      <c r="T2" t="s">
        <v>168</v>
      </c>
      <c r="U2" s="5"/>
      <c r="X2" s="4"/>
      <c r="AA2" s="5"/>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2026-02-21T10:39:13Z</dcterms:modified>
</cp:coreProperties>
</file>