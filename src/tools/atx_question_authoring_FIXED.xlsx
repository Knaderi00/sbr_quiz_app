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49" documentId="11_1A3CAAE0EE81980AE886C8AC59EAF3A67F286A16" xr6:coauthVersionLast="47" xr6:coauthVersionMax="47" xr10:uidLastSave="{B387279B-B866-4421-836D-658709E89F52}"/>
  <bookViews>
    <workbookView xWindow="-108" yWindow="-108" windowWidth="23256" windowHeight="13896" firstSheet="4" activeTab="4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5" l="1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13" i="3"/>
  <c r="A14" i="3"/>
  <c r="A15" i="3"/>
  <c r="A10" i="3"/>
  <c r="A11" i="3"/>
  <c r="A12" i="3"/>
  <c r="A16" i="3"/>
  <c r="A17" i="3"/>
  <c r="A18" i="3"/>
  <c r="A19" i="3"/>
  <c r="A20" i="3"/>
  <c r="A21" i="3"/>
  <c r="A22" i="3"/>
  <c r="A23" i="3"/>
  <c r="A24" i="3"/>
  <c r="A4" i="5"/>
  <c r="A5" i="5"/>
  <c r="A6" i="5"/>
  <c r="H3" i="6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M9" i="5"/>
  <c r="N9" i="5"/>
  <c r="M10" i="5"/>
  <c r="N10" i="5"/>
  <c r="M11" i="5"/>
  <c r="N11" i="5"/>
  <c r="M12" i="5"/>
  <c r="N12" i="5"/>
  <c r="M13" i="5"/>
  <c r="M14" i="5"/>
  <c r="N14" i="5"/>
  <c r="M15" i="5"/>
  <c r="N15" i="5"/>
  <c r="M16" i="5"/>
  <c r="N16" i="5"/>
  <c r="M17" i="5"/>
  <c r="N17" i="5"/>
  <c r="M18" i="5"/>
  <c r="N18" i="5" s="1"/>
  <c r="M19" i="5"/>
  <c r="N19" i="5"/>
  <c r="M20" i="5"/>
  <c r="N20" i="5"/>
  <c r="M21" i="5"/>
  <c r="N21" i="5" s="1"/>
  <c r="M22" i="5"/>
  <c r="M23" i="5"/>
  <c r="N23" i="5"/>
  <c r="M24" i="5"/>
  <c r="N24" i="5"/>
  <c r="M25" i="5"/>
  <c r="N25" i="5"/>
  <c r="M26" i="5"/>
  <c r="N26" i="5"/>
  <c r="M27" i="5"/>
  <c r="M28" i="5"/>
  <c r="N28" i="5"/>
  <c r="M29" i="5"/>
  <c r="N29" i="5"/>
  <c r="M30" i="5"/>
  <c r="N30" i="5"/>
  <c r="M31" i="5"/>
  <c r="N31" i="5"/>
  <c r="M32" i="5"/>
  <c r="N32" i="5" s="1"/>
  <c r="M33" i="5"/>
  <c r="N33" i="5"/>
  <c r="M34" i="5"/>
  <c r="N34" i="5"/>
  <c r="M35" i="5"/>
  <c r="N35" i="5" s="1"/>
  <c r="M36" i="5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6" i="3"/>
  <c r="M17" i="3"/>
  <c r="M18" i="3"/>
  <c r="M19" i="3"/>
  <c r="N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175" i="5"/>
  <c r="A189" i="5"/>
  <c r="A119" i="5"/>
  <c r="A77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A147" i="5"/>
  <c r="A105" i="5"/>
  <c r="A49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3" i="3"/>
  <c r="A3" i="3" s="1"/>
  <c r="N26" i="3"/>
  <c r="A26" i="3" s="1"/>
  <c r="A127" i="3"/>
  <c r="A74" i="3"/>
  <c r="A113" i="3"/>
  <c r="A60" i="3"/>
  <c r="A85" i="3"/>
  <c r="A50" i="3"/>
  <c r="A88" i="3"/>
  <c r="A95" i="3"/>
  <c r="A43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90" i="3"/>
  <c r="A90" i="3" s="1"/>
  <c r="N136" i="3"/>
  <c r="A136" i="3" s="1"/>
  <c r="N122" i="3"/>
  <c r="A122" i="3" s="1"/>
  <c r="N66" i="3"/>
  <c r="A66" i="3" s="1"/>
  <c r="N24" i="3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52" i="3"/>
  <c r="A52" i="3" s="1"/>
  <c r="N37" i="3"/>
  <c r="A37" i="3" s="1"/>
  <c r="N23" i="3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D473" i="7"/>
  <c r="A250" i="7"/>
  <c r="G56" i="7" l="1"/>
  <c r="D453" i="7"/>
  <c r="E509" i="7"/>
  <c r="H43" i="7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<sst xmlns="http://schemas.openxmlformats.org/spreadsheetml/2006/main" count="1330" uniqueCount="282">
  <si>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</si>
  <si>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</si>
  <si>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</si>
  <si>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</si>
  <si>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</si>
  <si>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</si>
  <si>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</si>
  <si>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</si>
  <si>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</si>
  <si>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</si>
  <si>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</si>
  <si>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</si>
  <si>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</si>
  <si>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</si>
  <si>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</si>
  <si>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</si>
  <si>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</si>
  <si>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</si>
  <si>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</si>
  <si>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</si>
  <si>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</si>
  <si>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</si>
  <si>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</si>
  <si>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</si>
  <si>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</si>
  <si>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</si>
  <si>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</si>
  <si>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</si>
  <si>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</si>
  <si>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</si>
  <si>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</si>
  <si>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</si>
  <si>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</si>
  <si>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</si>
  <si>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</si>
  <si>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</si>
  <si>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</si>
  <si>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</si>
  <si>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</si>
  <si>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</si>
  <si>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</si>
  <si>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</si>
  <si>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</si>
  <si>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</si>
  <si>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</si>
  <si>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</si>
  <si>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</si>
  <si>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</si>
  <si>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</si>
  <si>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</si>
  <si>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</si>
  <si>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</si>
  <si>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</si>
  <si>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</si>
  <si>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</si>
  <si>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</si>
  <si>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</si>
  <si>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</si>
  <si>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</si>
  <si>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</si>
  <si>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</si>
  <si>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</si>
  <si>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</si>
  <si>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</si>
  <si>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</si>
  <si>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</si>
  <si>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</si>
  <si>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</si>
  <si>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</si>
  <si>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</si>
  <si>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</si>
  <si>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</si>
  <si>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</si>
  <si>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</si>
  <si>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</si>
  <si>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</si>
  <si>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</si>
  <si>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</si>
  <si>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</si>
  <si>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</si>
  <si>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</si>
  <si>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</si>
  <si>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</si>
  <si>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</si>
  <si>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</si>
  <si>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</si>
  <si>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</si>
  <si>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</si>
  <si>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</si>
  <si>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</si>
  <si>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</si>
  <si>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</si>
  <si>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</si>
  <si>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</si>
  <si>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</si>
  <si>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</si>
  <si>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</si>
  <si>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</si>
  <si>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</si>
  <si>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</si>
  <si>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</si>
  <si>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</si>
  <si>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</si>
  <si>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</si>
  <si>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</si>
  <si>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</si>
  <si>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</si>
  <si>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</si>
  <si>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</si>
  <si>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</si>
  <si>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</si>
  <si>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</si>
  <si>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</si>
  <si>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</si>
  <si>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</si>
  <si>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</si>
  <si>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</si>
  <si>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</si>
  <si>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</si>
  <si>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</si>
  <si>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</si>
  <si>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</si>
  <si>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</si>
  <si>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</si>
  <si>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</si>
  <si>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</si>
  <si>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</si>
  <si>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</si>
  <si>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</si>
  <si>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</si>
  <si>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</si>
  <si>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</si>
  <si>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</si>
  <si>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</si>
  <si>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</si>
  <si>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</si>
  <si>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</si>
  <si>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</si>
  <si>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</si>
  <si>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</si>
  <si>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</si>
  <si>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</si>
  <si>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</si>
  <si>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</si>
  <si>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</si>
  <si>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</si>
  <si>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</si>
  <si>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</si>
  <si>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</si>
  <si>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</si>
  <si>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</si>
  <si>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</si>
  <si>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</si>
  <si>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</si>
  <si>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</si>
  <si>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</si>
  <si>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</si>
  <si>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</si>
  <si>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</si>
  <si>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</si>
  <si>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</si>
  <si>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</si>
  <si>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</si>
  <si>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</si>
  <si>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</si>
  <si>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</si>
  <si>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</si>
  <si>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</si>
  <si>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</si>
  <si>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</si>
  <si>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</si>
  <si>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</si>
  <si>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</si>
  <si>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</si>
  <si>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</si>
  <si>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</si>
  <si>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</si>
  <si>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</si>
  <si>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</si>
  <si>
    <t>Personal service companies and IR35</t>
  </si>
  <si>
    <t>psc;ir35;employment_status</t>
  </si>
  <si>
    <t>PSC</t>
  </si>
  <si>
    <t>MCQ_ITNIC_REQ_PSC_</t>
  </si>
  <si>
    <t>Which is the key tax/NIC driver for using a personal service company (PSC) rather than being a normal employee?</t>
  </si>
  <si>
    <t>A. More generous expense deduction rules and lower NIC rates can apply to self-employment</t>
  </si>
  <si>
    <t>B. Corporation tax is always higher than income tax so PSCs increase tax</t>
  </si>
  <si>
    <t>C. Dividends are taxed as employment income with Class 1 NIC</t>
  </si>
  <si>
    <t>D. The client must always operate PAYE regardless of size</t>
  </si>
  <si>
    <t>E. Employment allowance can be used to cover the PSC’s employer NIC</t>
  </si>
  <si>
    <t>A PSC structure is used because (as self-employed/through company) expenses can be more generous and NIC can be lower; profits may be taxed at corporation tax rates and extracted as dividends (no NIC). Distractors: B[wrong_direction], C[term_confusion], D[exception_as_rule], E[exception_as_rule].</t>
  </si>
  <si>
    <t>ir35;small_entity;deemed_salary</t>
  </si>
  <si>
    <t>Where a PSC provides services to a small entity and IR35 applies (per your notes), which statement is correct?</t>
  </si>
  <si>
    <t>A. A deemed salary is calculated and the individual is taxed on this (IT + NIC) rather than dividends</t>
  </si>
  <si>
    <t>B. The individual remains taxed on dividends and pays no NIC if IR35 applies</t>
  </si>
  <si>
    <t>C. Employment allowance can be used to offset employer NIC on the deemed salary</t>
  </si>
  <si>
    <t>D. Dividends are taxed twice: once as dividends and again as deemed salary</t>
  </si>
  <si>
    <t>E. The client must issue an SDS with a 45-day challenge process</t>
  </si>
  <si>
    <t>For small entities (per your notes): a deemed salary is calculated; IT and NIC are paid on the deemed salary, not dividends; employment allowance cannot be used; dividends form part of the deemed salary (so not taxed separately as dividends). Distractors: B[wrong_direction], C[exception_as_rule], D[exception_as_rule], E[same_family].</t>
  </si>
  <si>
    <t>ir35;sds;ddp;medium_large_entity</t>
  </si>
  <si>
    <t>For services provided by a PSC to a medium or large entity (per your notes), who determines whether IR35 applies and what document is issued?</t>
  </si>
  <si>
    <t>A. The client determines status and issues a Status Determination Statement (SDS)</t>
  </si>
  <si>
    <t>B. The PSC determines status and issues an SDS to the client</t>
  </si>
  <si>
    <t>C. HMRC determines status and issues an SDS to both parties</t>
  </si>
  <si>
    <t>D. The client determines status but no SDS is required</t>
  </si>
  <si>
    <t>E. The PSC determines status and issues a 45-day DDP notice</t>
  </si>
  <si>
    <t>Per your notes: for medium/large entities, the client determines whether IR35 applies and issues an SDS with reasons; the individual can challenge and the client must respond within 45 days. Distractors: B[term_confusion], C[exception_as_rule], D[exception_as_rule], E[term_confusion].</t>
  </si>
  <si>
    <t>LIST_ITNIC_REQ_PSC_</t>
  </si>
  <si>
    <t>Small entity + IR35 applies: the PSC must calculate a {gap1}; {gap2} cannot be used; dividends {gap3} the deemed salary and are {gap4} taxed as dividends; and the deemed salary is deemed paid on the {gap5} of the tax year.</t>
  </si>
  <si>
    <t>["deemed salary", "deemed direct payment (DDP)", "P11D benefit"]</t>
  </si>
  <si>
    <t>deemed salary</t>
  </si>
  <si>
    <t>["employment allowance", "personal allowance", "annual investment allowance"]</t>
  </si>
  <si>
    <t>employment allowance</t>
  </si>
  <si>
    <t>["form part of", "are ignored in", "increase"]</t>
  </si>
  <si>
    <t>form part of</t>
  </si>
  <si>
    <t>["not", "still", "partly"]</t>
  </si>
  <si>
    <t>not</t>
  </si>
  <si>
    <t>["last day", "first day", "90th day"]</t>
  </si>
  <si>
    <t>last day</t>
  </si>
  <si>
    <t>Per your notes for small entities: a deemed salary is calculated; employment allowance cannot be used; dividends form part of the deemed salary and are not taxed separately as dividends; deemed salary is treated as paid on the last day of the tax year.</t>
  </si>
  <si>
    <t>ir35;medium_large_entity;sds;ddp</t>
  </si>
  <si>
    <t>Medium/large entity + IR35 applies: the {gap1} determines status and issues an {gap2}. The individual may challenge, and the client has {gap3} days to respond. The deemed direct payment is taxed like employment income, and to avoid double tax the {gap4} is deducted before computing further IT/NIC when the PSC later pays salary/dividends.</t>
  </si>
  <si>
    <t>["client", "PSC", "HMRC"]</t>
  </si>
  <si>
    <t>client</t>
  </si>
  <si>
    <t>["SDS", "P45", "CT600"]</t>
  </si>
  <si>
    <t>SDS</t>
  </si>
  <si>
    <t>["45", "30", "60"]</t>
  </si>
  <si>
    <t>["DDP", "dividend voucher", "corporation tax"]</t>
  </si>
  <si>
    <t>DDP</t>
  </si>
  <si>
    <t>Per your notes: for medium/large entities the client determines IR35 and issues an SDS; there is a 45-day challenge/response window; the DDP is taxed like employment and is deducted to prevent double taxation when PSC later remunerates the individual.</t>
  </si>
  <si>
    <t>psc;ir35;sds;ddp</t>
  </si>
  <si>
    <t>PF_ITNIC_REQ_PSC_</t>
  </si>
  <si>
    <t>Medium/large PSC IR35 process</t>
  </si>
  <si>
    <t>Drag the lines into the correct order describing the IR35 process for services provided by a PSC to a medium or large entity (whole-line matching only).</t>
  </si>
  <si>
    <t>["1","2","3","4","5","6"]</t>
  </si>
  <si>
    <t>["S1","S2","S3","S4","S5","S6"]</t>
  </si>
  <si>
    <t>[{"line_id":"S1","text":"Client determines whether IR35 rules apply (medium/large entity engagement)","is_distractor":false},{"line_id":"S2","text":"Client issues a Status Determination Statement (SDS) with reasons" ,"is_distractor":false},{"line_id":"S3","text":"Individual can challenge the SDS before final payment; client must respond within 45 days" ,"is_distractor":false},{"line_id":"S4","text":"Client operates PAYE/NIC on the deemed direct payment (DDP) as if PSC were a direct employee" ,"is_distractor":false},{"line_id":"S5","text":"PSC receives the fee net of tax withheld by the client; the net fee is non-taxable to PSC" ,"is_distractor":false},{"line_id":"S6","text":"When PSC later pays salary/dividends, remuneration is free of PAYE/NIC up to the level of the DDP (to avoid double taxation)" ,"is_distractor":false},{"line_id":"D1","text":"PSC determines IR35 status and issues the SDS to the client" ,"is_distractor":true},{"line_id":"D2","text":"Employment allowance can be used to offset employer NIC on the DDP" ,"is_distractor":true}]</t>
  </si>
  <si>
    <t>This sequence matches your notes: for medium/large entities the client determines status and issues an SDS (with a 45-day challenge window), operates PAYE/NIC on the DDP, and the DDP is used to prevent double taxation when the PSC later remunerates the individual.</t>
  </si>
  <si>
    <t>Employee share schemes (SAYE / CSOP / EMI / SIP)</t>
  </si>
  <si>
    <t>saye;share_schemes</t>
  </si>
  <si>
    <t>SHS</t>
  </si>
  <si>
    <t>MCQ_ITNIC_REQ_SHS_</t>
  </si>
  <si>
    <t>Which statement correctly describes SAYE (Save As You Earn) per your notes?</t>
  </si>
  <si>
    <t>A. Employees save £5–£500 per month for 3 or 5 years; no IT/NIC on grant/exercise; at maturity they can take cash tax-free or buy shares, with CGT on sale</t>
  </si>
  <si>
    <t>B. Selected employees are granted options up to £60,000 which must be exercised 3–10 years after grant</t>
  </si>
  <si>
    <t>C. SAYE must be offered only to full-time directors and key employees</t>
  </si>
  <si>
    <t>D. SAYE savings must be invested in employer shares throughout the term</t>
  </si>
  <si>
    <t>E. SAYE gives CGT-free disposal of shares if held 3 years</t>
  </si>
  <si>
    <t>SAYE involves fixed monthly savings (£5–£500) for 3 or 5 years; no IT/NIC on grant/exercise; on completion, cash can be taken with no IT/NIC or shares can be purchased; CGT applies on subsequent sale. Distractors: B[same_family], C[wrong_direction], D[term_confusion], E[exception_as_rule].</t>
  </si>
  <si>
    <t>csop;share_options</t>
  </si>
  <si>
    <t>For a CSOP (Company Share Option Plan), which rule is correct per your notes?</t>
  </si>
  <si>
    <t>A. Options must be exercised between 3 and 10 years after grant</t>
  </si>
  <si>
    <t>B. Options may be exercised at any time provided the option price is below market value</t>
  </si>
  <si>
    <t>C. Anyone who held over 30% of any company in the last 12 months can participate</t>
  </si>
  <si>
    <t>D. Maximum grant is £250,000 per employee</t>
  </si>
  <si>
    <t>E. CSOP must be open to all employees on similar terms</t>
  </si>
  <si>
    <t>Your notes: CSOP options must be exercised between 3–10 years; shares must be fully paid ordinary; option price at grant must be at least MV; options not transferable; &gt;30% close company holders in previous 12 months excluded; max options £60,000. Distractors: B[wrong_direction], C[exception_as_rule], D[same_family], E[same_family].</t>
  </si>
  <si>
    <t>emi;discount;nic</t>
  </si>
  <si>
    <t>Under EMI, when can an income tax (and possibly NIC) charge arise at exercise per your notes?</t>
  </si>
  <si>
    <t>A. When shares were issued at a discount to market value at grant; at exercise IT (and NICs if listed) is on the lower of the discount vs MV at exercise, and the price paid</t>
  </si>
  <si>
    <t>B. Always at exercise, because EMI options are taxed as employment income</t>
  </si>
  <si>
    <t>C. Only if the employee works fewer than 25 hours per week</t>
  </si>
  <si>
    <t>D. Only if the company has gross assets above £30m at grant</t>
  </si>
  <si>
    <t>E. Never at exercise; only CGT applies regardless of pricing</t>
  </si>
  <si>
    <t>Your notes: EMI has no IT/NIC at grant or exercise unless issued at a discount to MV at grant; then at exercise IT (and NIC if listed) is on the lower of discount vs MV at exercise and the price paid. Distractors: B[exception_as_rule], C[term_confusion], D[threshold_swap], E[wrong_direction].</t>
  </si>
  <si>
    <t>csop;emi;limits</t>
  </si>
  <si>
    <t>LIST_ITNIC_REQ_SHS_</t>
  </si>
  <si>
    <t>Fill in the limits/timings: Under CSOP the max option value per employee is {gap1} and options must be exercised between {gap2} and {gap3} years. Under EMI, the employee limit is {gap4} and the total company grant limit is {gap5}.</t>
  </si>
  <si>
    <t>["£60,000", "£250,000", "£200,000"]</t>
  </si>
  <si>
    <t>["3", "5", "1"]</t>
  </si>
  <si>
    <t>["10", "5", "3"]</t>
  </si>
  <si>
    <t>["£250,000", "£60,000", "£3,000,000"]</t>
  </si>
  <si>
    <t>["£3,000,000", "£30,000,000", "£60,000"]</t>
  </si>
  <si>
    <t>Per your notes: CSOP limit £60,000 and exercise window 3–10 years. EMI limits: £250,000 per employee and £3m total company grant.</t>
  </si>
  <si>
    <t>sip;hold_period;withdrawal</t>
  </si>
  <si>
    <t>SIP withdrawal charges: If shares are held in the SIP for more than {gap1} years, there is no IT or NIC on withdrawal. If held for less than {gap2} years, IT and NIC are based on {gap3} at withdrawal. If held between {gap4} and {gap5} years, the IT/NIC charge is based on the lower of MV at award vs MV at withdrawal.</t>
  </si>
  <si>
    <t>["5", "3", "10"]</t>
  </si>
  <si>
    <t>["3", "5", "18 months"]</t>
  </si>
  <si>
    <t>["market value", "original subscription cost", "option price"]</t>
  </si>
  <si>
    <t>market value</t>
  </si>
  <si>
    <t>["3", "5", "10"]</t>
  </si>
  <si>
    <t>["5", "10", "18 months"]</t>
  </si>
  <si>
    <t>Per your notes: SIP &gt;5 years: no IT/NIC on taking shares out. &lt;3 years: IT/NIC based on market value at withdrawal. 3–5 years: IT/NIC based on the lower of MV at award and MV at withdrawal.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</si>
</sst>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89" dataDxfId="88">
  <tableColumns count="22">
    <tableColumn id="1" xr3:uid="{3143F177-F819-460E-B2A9-7D5DF7E40EF8}" name="question_id" dataDxfId="87">
      <calculatedColumnFormula>IF(M2="","",M2&amp;"_"&amp;TEXT(N2,"000"))</calculatedColumnFormula>
    </tableColumn>
    <tableColumn id="2" xr3:uid="{590E99E6-E7E0-4850-B349-788F35665CFB}" name="topic" dataDxfId="86"/>
    <tableColumn id="3" xr3:uid="{0E1102D9-5102-4F5F-94D2-8CDF0342B713}" name="component" dataDxfId="85"/>
    <tableColumn id="4" xr3:uid="{53167456-D2D6-46F5-902F-E25B72847760}" name="subtopic" dataDxfId="84"/>
    <tableColumn id="5" xr3:uid="{4A660E62-FD15-4B74-8FBC-1B8A2BAB6305}" name="question_type" dataDxfId="83"/>
    <tableColumn id="6" xr3:uid="{039025CC-846C-46D7-B1D9-63E3BAF69C9A}" name="difficulty" dataDxfId="82"/>
    <tableColumn id="7" xr3:uid="{996F048C-5FD0-410B-88A3-192D3E6417E2}" name="priority" dataDxfId="81"/>
    <tableColumn id="8" xr3:uid="{EECF5330-4BBC-4ED3-B9D0-64317766CBE4}" name="active" dataDxfId="80"/>
    <tableColumn id="9" xr3:uid="{CBAF624D-83AD-45AD-8500-A2E7B1F24794}" name="tags" dataDxfId="79"/>
    <tableColumn id="10" xr3:uid="{95517BC8-09AC-46E6-AF79-F48569B6E3B4}" name="source_ref" dataDxfId="78"/>
    <tableColumn id="11" xr3:uid="{0ADA81E5-57A0-454C-BA26-289888F2A40C}" name="version" dataDxfId="77"/>
    <tableColumn id="12" xr3:uid="{91DFC1B0-44F2-4CAB-869F-2A1536A924E3}" name="subtopic_code" dataDxfId="76"/>
    <tableColumn id="13" xr3:uid="{DD40E926-33DD-466F-A912-E8459B494AEC}" name="id_prefix" dataDxfId="75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74">
      <calculatedColumnFormula>IF(M2="","",COUNTIF($M$2:M2,M2))</calculatedColumnFormula>
    </tableColumn>
    <tableColumn id="15" xr3:uid="{1078EC50-F43B-43D7-97FF-5DF911C915E9}" name="prompt" dataDxfId="73"/>
    <tableColumn id="16" xr3:uid="{09037EB0-2F5E-423E-A0B0-A6FA96AAD55C}" name="option_a" dataDxfId="72"/>
    <tableColumn id="17" xr3:uid="{15DBBA40-E39C-49BC-A29D-15E22618204B}" name="option_b" dataDxfId="71"/>
    <tableColumn id="18" xr3:uid="{0DD51665-D870-4BD5-AE89-AC0E7B104E33}" name="option_c" dataDxfId="70"/>
    <tableColumn id="19" xr3:uid="{F03E2272-D332-4A35-A9A4-1207B0516B62}" name="option_d" dataDxfId="69"/>
    <tableColumn id="20" xr3:uid="{2094478F-A251-4AEF-8340-6DC80238A2B4}" name="option_e" dataDxfId="68"/>
    <tableColumn id="21" xr3:uid="{C7639FD0-0BCA-4C05-B93C-0446381E2D4C}" name="correct_option" dataDxfId="67"/>
    <tableColumn id="22" xr3:uid="{F4B67840-87C2-4942-BF58-96478C0C83A8}" name="explanation" dataDxfId="6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65" dataDxfId="64">
  <autoFilter ref="A1:AC169" xr:uid="{F0BC66BE-4E93-4072-A344-FDCACD8C00F6}"/>
  <tableColumns count="29">
    <tableColumn id="1" xr3:uid="{3B955206-414A-482E-8FC0-84A96C4CF49D}" name="question_id" dataDxfId="63">
      <calculatedColumnFormula>IF(M2="","",M2&amp;"_"&amp;TEXT(N2,"000"))</calculatedColumnFormula>
    </tableColumn>
    <tableColumn id="2" xr3:uid="{53027823-F0F6-4E94-8AA1-7C6222262D18}" name="topic" dataDxfId="62"/>
    <tableColumn id="3" xr3:uid="{FD05D5D8-FEA8-48A4-A203-0640D7E619F3}" name="component" dataDxfId="61"/>
    <tableColumn id="4" xr3:uid="{6C2A5CA5-1F90-40D0-A5FA-2742635ABD9A}" name="subtopic" dataDxfId="60"/>
    <tableColumn id="5" xr3:uid="{2B0B69B7-AE58-4CB1-B966-1041649BA116}" name="question_type" dataDxfId="59"/>
    <tableColumn id="6" xr3:uid="{C38B8210-1ACE-45F9-9CAE-F367DA3457ED}" name="difficulty" dataDxfId="58"/>
    <tableColumn id="7" xr3:uid="{53156DAB-1E60-4E68-A9F0-DEDD057BE1AC}" name="priority" dataDxfId="57"/>
    <tableColumn id="8" xr3:uid="{1A85DF8A-ED45-47D7-A6CE-49487F67719B}" name="active" dataDxfId="56"/>
    <tableColumn id="9" xr3:uid="{69D5925E-FDC6-4D60-8287-CD87D72B5723}" name="tags" dataDxfId="55"/>
    <tableColumn id="10" xr3:uid="{0E5E2BA0-7572-4684-9AAE-4051BB319822}" name="source_ref" dataDxfId="54"/>
    <tableColumn id="11" xr3:uid="{B3ED8671-D7AC-48C1-917D-C7E1740038CA}" name="version" dataDxfId="53"/>
    <tableColumn id="12" xr3:uid="{45CE182C-3F25-456B-AAEF-C30193AACF0B}" name="subtopic_code" dataDxfId="52"/>
    <tableColumn id="13" xr3:uid="{78AA824C-B13F-429B-94FD-D39E31754843}" name="id_prefix" dataDxfId="51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50">
      <calculatedColumnFormula>IF(M2="","",COUNTIF($M$2:M2,M2))</calculatedColumnFormula>
    </tableColumn>
    <tableColumn id="15" xr3:uid="{9B2B78EF-2FEE-4BC0-A5FA-D4C2889E74AC}" name="prompt_template" dataDxfId="49"/>
    <tableColumn id="16" xr3:uid="{A8DA9CBD-4C5A-43D0-919E-806E91BEF2EC}" name="gap_count" dataDxfId="48"/>
    <tableColumn id="17" xr3:uid="{F27057E5-A92F-418A-9046-13198E5C9905}" name="choice_a" dataDxfId="47"/>
    <tableColumn id="18" xr3:uid="{E02B27C2-2A44-4E0C-BB94-33C75571BE39}" name="choice_b" dataDxfId="46"/>
    <tableColumn id="19" xr3:uid="{BE479B0C-524B-4C87-AA56-13D53F5D58D5}" name="gap1_correct" dataDxfId="45"/>
    <tableColumn id="20" xr3:uid="{FB5A250C-A156-41E2-8727-D9FA40DA2A74}" name="gap1_allow_repeat" dataDxfId="44"/>
    <tableColumn id="21" xr3:uid="{C7905FE7-BED4-4E80-837C-A5AFDEA02E55}" name="gap2_correct" dataDxfId="43"/>
    <tableColumn id="22" xr3:uid="{2BEB549B-37F9-46B5-B769-4E7075E6757F}" name="gap2_allow_repeat" dataDxfId="42"/>
    <tableColumn id="23" xr3:uid="{143FD944-31A1-40F2-A55D-2870E48C6692}" name="gap3_correct" dataDxfId="41"/>
    <tableColumn id="24" xr3:uid="{E4C97B71-682B-49DE-9CAA-066517D57069}" name="gap3_allow_repeat" dataDxfId="40"/>
    <tableColumn id="25" xr3:uid="{F5BF61B5-9AFD-48D4-9EAB-F4AED68F034F}" name="gap4_correct" dataDxfId="39"/>
    <tableColumn id="26" xr3:uid="{E77B49CD-93F0-4B8D-84D6-8F89A4EE54B3}" name="gap4_allow_repeat" dataDxfId="38"/>
    <tableColumn id="27" xr3:uid="{E73C4452-41C3-40FA-9EA3-93520038EF24}" name="gap5_correct" dataDxfId="37"/>
    <tableColumn id="28" xr3:uid="{67789CB9-B40B-4D48-9861-1F300F9603FA}" name="gap5_allow_repeat" dataDxfId="36"/>
    <tableColumn id="29" xr3:uid="{0524B72D-170D-4329-A999-A8626F98ECC5}" name="explanation" dataDxfId="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34" dataDxfId="33">
  <autoFilter ref="A1:AG200" xr:uid="{E9B73698-D520-45DF-BE06-581F3140E2CF}"/>
  <tableColumns count="33">
    <tableColumn id="1" xr3:uid="{23420D1D-4A05-4D96-AC71-540C3566B6D4}" name="question_id" dataDxfId="32">
      <calculatedColumnFormula>IF(M2="","",M2&amp;"_"&amp;TEXT(N2,"000"))</calculatedColumnFormula>
    </tableColumn>
    <tableColumn id="2" xr3:uid="{DC8B6EB1-DEA7-4C27-ACC9-69DC66E4B88E}" name="topic" dataDxfId="31"/>
    <tableColumn id="3" xr3:uid="{9FF86C9D-41D3-4FA4-B52D-DE409BE4A75A}" name="component" dataDxfId="30"/>
    <tableColumn id="4" xr3:uid="{CF05BD93-E736-4B25-8614-DACA00DAE906}" name="subtopic" dataDxfId="29"/>
    <tableColumn id="5" xr3:uid="{3B32BF91-E453-4825-B02A-C9BC262C6501}" name="question_type" dataDxfId="28"/>
    <tableColumn id="6" xr3:uid="{C453CAE0-2DF7-4300-96BF-5974156B83E9}" name="difficulty" dataDxfId="27"/>
    <tableColumn id="7" xr3:uid="{B0E77438-C755-4693-AFFA-FE5BF50CA179}" name="priority" dataDxfId="26"/>
    <tableColumn id="8" xr3:uid="{BD79D28D-84B7-48E4-9C88-D55EFAAC128A}" name="active" dataDxfId="25"/>
    <tableColumn id="9" xr3:uid="{3600A004-FB06-48AA-A47D-E8E1DBCBBD75}" name="tags" dataDxfId="24"/>
    <tableColumn id="10" xr3:uid="{484D9A70-6E15-4F60-B434-8A4FB8281401}" name="source_ref" dataDxfId="23"/>
    <tableColumn id="11" xr3:uid="{EE94405E-C69D-448E-AC70-52FDAF43EBE9}" name="version" dataDxfId="22"/>
    <tableColumn id="12" xr3:uid="{EDE5DE77-4198-4D58-92AD-0C6FF2D96198}" name="subtopic_code" dataDxfId="21"/>
    <tableColumn id="13" xr3:uid="{7AB24E72-5B7E-414E-A308-A75760161DBB}" name="id_prefix" dataDxfId="20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19">
      <calculatedColumnFormula>IF(M2="","",COUNTIF($M$2:M2,M2))</calculatedColumnFormula>
    </tableColumn>
    <tableColumn id="15" xr3:uid="{D95D8A12-9CCC-4D04-88FC-E4C479D3FA48}" name="prompt_template" dataDxfId="18"/>
    <tableColumn id="16" xr3:uid="{DFEE9D8B-25D0-47D1-91CD-27BAF5A2B0C6}" name="gap_count" dataDxfId="17"/>
    <tableColumn id="17" xr3:uid="{4B54EDED-BB6C-4CF9-B4BD-77B72C1AE74B}" name="gap1_options" dataDxfId="16"/>
    <tableColumn id="18" xr3:uid="{18BD33FC-339C-4F30-A820-1E4DADAE51D5}" name="gap1_correct" dataDxfId="15"/>
    <tableColumn id="19" xr3:uid="{43A9E514-1D21-4695-925C-920775974EE5}" name="gap1_allow_repeat" dataDxfId="14"/>
    <tableColumn id="20" xr3:uid="{0C92276E-A5F9-4842-B3B7-DF3087088063}" name="gap2_options" dataDxfId="13"/>
    <tableColumn id="21" xr3:uid="{5406E7DC-2332-49A6-8E05-AA02BA020D80}" name="gap2_correct" dataDxfId="12"/>
    <tableColumn id="22" xr3:uid="{88025412-F321-4D67-AF51-1887302619F1}" name="gap2_allow_repeat" dataDxfId="11"/>
    <tableColumn id="23" xr3:uid="{D286A38F-0421-4573-AB37-656CD478776B}" name="gap3_options" dataDxfId="10"/>
    <tableColumn id="24" xr3:uid="{285479CE-E217-4634-9381-0B4A5327983D}" name="gap3_correct" dataDxfId="9"/>
    <tableColumn id="25" xr3:uid="{1E85105A-3EF1-497C-A227-9A9786DE5761}" name="gap3_allow_repeat" dataDxfId="8"/>
    <tableColumn id="26" xr3:uid="{17D4F9FA-2E8F-40B3-A782-CE1712FEF429}" name="gap4_options" dataDxfId="7"/>
    <tableColumn id="27" xr3:uid="{7FCD686D-B135-4FC9-984F-86069B94E23E}" name="gap4_correct" dataDxfId="6"/>
    <tableColumn id="28" xr3:uid="{01ACCF42-786E-4349-917F-438AB0CFCDAB}" name="gap4_allow_repeat" dataDxfId="5"/>
    <tableColumn id="29" xr3:uid="{AEFF6A1F-711E-4299-8776-D2354BA5BACA}" name="gap5_options" dataDxfId="4"/>
    <tableColumn id="30" xr3:uid="{4C9D15DF-0AEF-4A21-8E7F-C25F24B38036}" name="gap5_correct" dataDxfId="3"/>
    <tableColumn id="31" xr3:uid="{BD273472-5A00-4BB3-9ABB-71585A886E01}" name="gap5_allow_repeat" dataDxfId="2"/>
    <tableColumn id="32" xr3:uid="{85590086-C385-442F-8B44-596E3C01119B}" name="enforce_unique_across_gaps" dataDxfId="1"/>
    <tableColumn id="33" xr3:uid="{B392F52E-81DF-4D51-B364-73E4418D1CA5}" name="explanation" dataDxfId="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11" dataDxfId="110">
  <autoFilter ref="A1:T200" xr:uid="{9AF4D9C1-FF64-473A-A14E-7E8B7794D33C}"/>
  <tableColumns count="20">
    <tableColumn id="1" xr3:uid="{DF3953CC-F6CA-48A8-B362-3DB144A28B1C}" name="question_id" dataDxfId="109">
      <calculatedColumnFormula>IF(M2="","",M2&amp;"_"&amp;TEXT(N2,"000"))</calculatedColumnFormula>
    </tableColumn>
    <tableColumn id="2" xr3:uid="{B7C3FEC2-CD62-499C-AC65-1F88F7098C32}" name="topic" dataDxfId="108"/>
    <tableColumn id="3" xr3:uid="{FE2F0177-731D-432C-8A5B-9F9373EFFDA5}" name="component" dataDxfId="107"/>
    <tableColumn id="4" xr3:uid="{4240EBF3-C5BF-470A-9949-BE30D5F7F009}" name="subtopic" dataDxfId="106"/>
    <tableColumn id="5" xr3:uid="{7D620D70-554F-4F3D-A441-36BD6B9D4B3F}" name="question_type" dataDxfId="105"/>
    <tableColumn id="6" xr3:uid="{F134E6DC-3407-49BF-BDD9-CC17691B59DA}" name="difficulty" dataDxfId="104"/>
    <tableColumn id="7" xr3:uid="{297F4083-A338-49A2-9858-3CA99B7566DA}" name="priority" dataDxfId="103"/>
    <tableColumn id="8" xr3:uid="{EADB0D92-DBBA-4595-86A9-CC225D6BF45E}" name="active" dataDxfId="102"/>
    <tableColumn id="9" xr3:uid="{5CDF48CA-7DE2-4FC2-AE5B-76546C51FA76}" name="tags" dataDxfId="101"/>
    <tableColumn id="10" xr3:uid="{CBB40C3B-89F6-492E-9EF7-1608F76B6960}" name="source_ref" dataDxfId="100"/>
    <tableColumn id="11" xr3:uid="{8162DE10-7559-4F34-8269-8312D2CD8D8C}" name="version" dataDxfId="99"/>
    <tableColumn id="12" xr3:uid="{AC0FD800-8ECC-40D0-957C-7E8F2A52221F}" name="subtopic_code" dataDxfId="98"/>
    <tableColumn id="13" xr3:uid="{8621D83B-892D-4532-A540-AFA1F548F6CF}" name="id_prefix" dataDxfId="9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96">
      <calculatedColumnFormula>IF(M2="","",COUNTIF($M$2:M2,M2))</calculatedColumnFormula>
    </tableColumn>
    <tableColumn id="15" xr3:uid="{9904B470-9EB2-41C4-9CF4-2292C9367D4C}" name="title" dataDxfId="95"/>
    <tableColumn id="16" xr3:uid="{12F4188F-DD37-47E9-8CEC-8967DB411266}" name="instructions" dataDxfId="94"/>
    <tableColumn id="30" xr3:uid="{2EEA9DB6-3F69-4882-BCD6-27607A87326B}" name="slot_labels_json" dataDxfId="93"/>
    <tableColumn id="27" xr3:uid="{668C5D89-6268-47EA-853F-948B6093BF67}" name="correct_line_ids_json" dataDxfId="92"/>
    <tableColumn id="28" xr3:uid="{1BE0DD35-7F1B-4867-A45B-FBF2F9983BC3}" name="lines_json" dataDxfId="91"/>
    <tableColumn id="29" xr3:uid="{963B0537-5B12-4702-8EDA-F4424960ECC9}" name="explanation" dataDxfId="9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14" activePane="bottomLeft" state="frozen"/>
      <selection pane="bottomLeft" activeCell="A15" sqref="A15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131</v>
      </c>
      <c r="J7" s="3" t="s">
        <v>132</v>
      </c>
      <c r="K7" s="3">
        <v>1</v>
      </c>
      <c r="L7" s="3" t="s">
        <v>133</v>
      </c>
      <c r="M7" s="3" t="s">
        <v>134</v>
      </c>
      <c r="N7" s="3">
        <v>1</v>
      </c>
      <c r="O7" s="3" t="s">
        <v>135</v>
      </c>
      <c r="P7" s="3" t="s">
        <v>136</v>
      </c>
      <c r="Q7" s="3" t="s">
        <v>137</v>
      </c>
      <c r="R7" s="3" t="s">
        <v>138</v>
      </c>
      <c r="S7" s="3" t="s">
        <v>139</v>
      </c>
      <c r="T7" s="3" t="s">
        <v>140</v>
      </c>
      <c r="U7" s="3" t="s">
        <v>141</v>
      </c>
      <c r="V7" s="3" t="s">
        <v>142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131</v>
      </c>
      <c r="J8" s="3" t="s">
        <v>132</v>
      </c>
      <c r="K8" s="3">
        <v>1</v>
      </c>
      <c r="L8" s="3" t="s">
        <v>133</v>
      </c>
      <c r="M8" s="3" t="s">
        <v>134</v>
      </c>
      <c r="N8" s="3">
        <v>2</v>
      </c>
      <c r="O8" s="3" t="s">
        <v>143</v>
      </c>
      <c r="P8" s="3" t="s">
        <v>144</v>
      </c>
      <c r="Q8" s="3" t="s">
        <v>145</v>
      </c>
      <c r="R8" s="3" t="s">
        <v>146</v>
      </c>
      <c r="S8" s="3" t="s">
        <v>147</v>
      </c>
      <c r="T8" s="3" t="s">
        <v>148</v>
      </c>
      <c r="U8" s="3" t="s">
        <v>141</v>
      </c>
      <c r="V8" s="3" t="s">
        <v>149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131</v>
      </c>
      <c r="J9" s="3" t="s">
        <v>132</v>
      </c>
      <c r="K9" s="3">
        <v>1</v>
      </c>
      <c r="L9" s="3" t="s">
        <v>133</v>
      </c>
      <c r="M9" s="3" t="s">
        <v>134</v>
      </c>
      <c r="N9" s="3">
        <v>3</v>
      </c>
      <c r="O9" s="3" t="s">
        <v>150</v>
      </c>
      <c r="P9" s="3" t="s">
        <v>151</v>
      </c>
      <c r="Q9" s="3" t="s">
        <v>152</v>
      </c>
      <c r="R9" s="3" t="s">
        <v>153</v>
      </c>
      <c r="S9" s="3" t="s">
        <v>154</v>
      </c>
      <c r="T9" s="3" t="s">
        <v>155</v>
      </c>
      <c r="U9" s="3" t="s">
        <v>141</v>
      </c>
      <c r="V9" s="3" t="s">
        <v>156</v>
      </c>
    </row>
    <row r="10" spans="1:22" ht="100.8" x14ac:dyDescent="0.3">
      <c r="A10" s="3" t="str">
        <f t="shared" si="0"/>
        <v>MCQ_ITNIC_REQ_PSC__001</v>
      </c>
      <c r="B10" s="3" t="s">
        <v>21</v>
      </c>
      <c r="C10" s="3" t="s">
        <v>22</v>
      </c>
      <c r="D10" s="3" t="s">
        <v>179</v>
      </c>
      <c r="E10" s="3" t="s">
        <v>18</v>
      </c>
      <c r="F10" s="3">
        <v>3</v>
      </c>
      <c r="G10" s="3" t="s">
        <v>16</v>
      </c>
      <c r="H10" s="3" t="s">
        <v>17</v>
      </c>
      <c r="I10" s="3" t="s">
        <v>180</v>
      </c>
      <c r="J10" s="3" t="s">
        <v>132</v>
      </c>
      <c r="K10" s="3">
        <v>1</v>
      </c>
      <c r="L10" s="3" t="s">
        <v>181</v>
      </c>
      <c r="M10" s="3" t="s">
        <v>182</v>
      </c>
      <c r="N10" s="3">
        <v>1</v>
      </c>
      <c r="O10" s="3" t="s">
        <v>183</v>
      </c>
      <c r="P10" s="3" t="s">
        <v>184</v>
      </c>
      <c r="Q10" s="3" t="s">
        <v>185</v>
      </c>
      <c r="R10" s="3" t="s">
        <v>186</v>
      </c>
      <c r="S10" s="3" t="s">
        <v>187</v>
      </c>
      <c r="T10" s="3" t="s">
        <v>188</v>
      </c>
      <c r="U10" s="3" t="s">
        <v>141</v>
      </c>
      <c r="V10" s="3" t="s">
        <v>189</v>
      </c>
    </row>
    <row r="11" spans="1:22" ht="100.8" x14ac:dyDescent="0.3">
      <c r="A11" s="3" t="str">
        <f t="shared" si="0"/>
        <v>MCQ_ITNIC_REQ_PSC__002</v>
      </c>
      <c r="B11" s="3" t="s">
        <v>21</v>
      </c>
      <c r="C11" s="3" t="s">
        <v>22</v>
      </c>
      <c r="D11" s="3" t="s">
        <v>179</v>
      </c>
      <c r="E11" s="3" t="s">
        <v>18</v>
      </c>
      <c r="F11" s="3">
        <v>3</v>
      </c>
      <c r="G11" s="3" t="s">
        <v>16</v>
      </c>
      <c r="H11" s="3" t="s">
        <v>17</v>
      </c>
      <c r="I11" s="3" t="s">
        <v>190</v>
      </c>
      <c r="J11" s="3" t="s">
        <v>132</v>
      </c>
      <c r="K11" s="3">
        <v>1</v>
      </c>
      <c r="L11" s="3" t="s">
        <v>181</v>
      </c>
      <c r="M11" s="3" t="s">
        <v>182</v>
      </c>
      <c r="N11" s="3">
        <v>2</v>
      </c>
      <c r="O11" s="3" t="s">
        <v>191</v>
      </c>
      <c r="P11" s="3" t="s">
        <v>192</v>
      </c>
      <c r="Q11" s="3" t="s">
        <v>193</v>
      </c>
      <c r="R11" s="3" t="s">
        <v>194</v>
      </c>
      <c r="S11" s="3" t="s">
        <v>195</v>
      </c>
      <c r="T11" s="3" t="s">
        <v>196</v>
      </c>
      <c r="U11" s="3" t="s">
        <v>141</v>
      </c>
      <c r="V11" s="3" t="s">
        <v>197</v>
      </c>
    </row>
    <row r="12" spans="1:22" ht="86.4" x14ac:dyDescent="0.3">
      <c r="A12" s="3" t="str">
        <f t="shared" si="0"/>
        <v>MCQ_ITNIC_REQ_PSC__003</v>
      </c>
      <c r="B12" s="3" t="s">
        <v>21</v>
      </c>
      <c r="C12" s="3" t="s">
        <v>22</v>
      </c>
      <c r="D12" s="3" t="s">
        <v>179</v>
      </c>
      <c r="E12" s="3" t="s">
        <v>18</v>
      </c>
      <c r="F12" s="3">
        <v>3</v>
      </c>
      <c r="G12" s="3" t="s">
        <v>16</v>
      </c>
      <c r="H12" s="3" t="s">
        <v>17</v>
      </c>
      <c r="I12" s="3" t="s">
        <v>198</v>
      </c>
      <c r="J12" s="3" t="s">
        <v>132</v>
      </c>
      <c r="K12" s="3">
        <v>1</v>
      </c>
      <c r="L12" s="3" t="s">
        <v>181</v>
      </c>
      <c r="M12" s="3" t="s">
        <v>182</v>
      </c>
      <c r="N12" s="3">
        <v>3</v>
      </c>
      <c r="O12" s="3" t="s">
        <v>199</v>
      </c>
      <c r="P12" s="3" t="s">
        <v>200</v>
      </c>
      <c r="Q12" s="3" t="s">
        <v>201</v>
      </c>
      <c r="R12" s="3" t="s">
        <v>202</v>
      </c>
      <c r="S12" s="3" t="s">
        <v>203</v>
      </c>
      <c r="T12" s="3" t="s">
        <v>204</v>
      </c>
      <c r="U12" s="3" t="s">
        <v>141</v>
      </c>
      <c r="V12" s="3" t="s">
        <v>205</v>
      </c>
    </row>
    <row r="13" spans="1:22" ht="100.8" x14ac:dyDescent="0.3">
      <c r="A13" s="3" t="str">
        <f t="shared" si="0"/>
        <v>MCQ_ITNIC_REQ_SHS__001</v>
      </c>
      <c r="B13" s="3" t="s">
        <v>21</v>
      </c>
      <c r="C13" s="3" t="s">
        <v>22</v>
      </c>
      <c r="D13" s="3" t="s">
        <v>237</v>
      </c>
      <c r="E13" s="3" t="s">
        <v>18</v>
      </c>
      <c r="F13" s="3">
        <v>3</v>
      </c>
      <c r="G13" s="3" t="s">
        <v>16</v>
      </c>
      <c r="H13" s="3" t="s">
        <v>17</v>
      </c>
      <c r="I13" s="3" t="s">
        <v>238</v>
      </c>
      <c r="J13" s="3" t="s">
        <v>132</v>
      </c>
      <c r="K13" s="3">
        <v>1</v>
      </c>
      <c r="L13" s="3" t="s">
        <v>239</v>
      </c>
      <c r="M13" s="3" t="s">
        <v>240</v>
      </c>
      <c r="N13" s="3">
        <v>1</v>
      </c>
      <c r="O13" s="3" t="s">
        <v>241</v>
      </c>
      <c r="P13" s="3" t="s">
        <v>242</v>
      </c>
      <c r="Q13" s="3" t="s">
        <v>243</v>
      </c>
      <c r="R13" s="3" t="s">
        <v>244</v>
      </c>
      <c r="S13" s="3" t="s">
        <v>245</v>
      </c>
      <c r="T13" s="3" t="s">
        <v>246</v>
      </c>
      <c r="U13" s="3" t="s">
        <v>141</v>
      </c>
      <c r="V13" s="3" t="s">
        <v>247</v>
      </c>
    </row>
    <row r="14" spans="1:22" ht="115.2" x14ac:dyDescent="0.3">
      <c r="A14" s="3" t="str">
        <f t="shared" si="0"/>
        <v>MCQ_ITNIC_REQ_SHS__002</v>
      </c>
      <c r="B14" s="3" t="s">
        <v>21</v>
      </c>
      <c r="C14" s="3" t="s">
        <v>22</v>
      </c>
      <c r="D14" s="3" t="s">
        <v>237</v>
      </c>
      <c r="E14" s="3" t="s">
        <v>18</v>
      </c>
      <c r="F14" s="3">
        <v>3</v>
      </c>
      <c r="G14" s="3" t="s">
        <v>16</v>
      </c>
      <c r="H14" s="3" t="s">
        <v>17</v>
      </c>
      <c r="I14" s="3" t="s">
        <v>248</v>
      </c>
      <c r="J14" s="3" t="s">
        <v>132</v>
      </c>
      <c r="K14" s="3">
        <v>1</v>
      </c>
      <c r="L14" s="3" t="s">
        <v>239</v>
      </c>
      <c r="M14" s="3" t="s">
        <v>240</v>
      </c>
      <c r="N14" s="3">
        <v>2</v>
      </c>
      <c r="O14" s="3" t="s">
        <v>249</v>
      </c>
      <c r="P14" s="3" t="s">
        <v>250</v>
      </c>
      <c r="Q14" s="3" t="s">
        <v>251</v>
      </c>
      <c r="R14" s="3" t="s">
        <v>252</v>
      </c>
      <c r="S14" s="3" t="s">
        <v>253</v>
      </c>
      <c r="T14" s="3" t="s">
        <v>254</v>
      </c>
      <c r="U14" s="3" t="s">
        <v>141</v>
      </c>
      <c r="V14" s="3" t="s">
        <v>255</v>
      </c>
    </row>
    <row r="15" spans="1:22" ht="115.2" x14ac:dyDescent="0.3">
      <c r="A15" s="3" t="str">
        <f t="shared" si="0"/>
        <v>MCQ_ITNIC_REQ_SHS__003</v>
      </c>
      <c r="B15" s="3" t="s">
        <v>21</v>
      </c>
      <c r="C15" s="3" t="s">
        <v>22</v>
      </c>
      <c r="D15" s="3" t="s">
        <v>237</v>
      </c>
      <c r="E15" s="3" t="s">
        <v>18</v>
      </c>
      <c r="F15" s="3">
        <v>3</v>
      </c>
      <c r="G15" s="3" t="s">
        <v>16</v>
      </c>
      <c r="H15" s="3" t="s">
        <v>17</v>
      </c>
      <c r="I15" s="3" t="s">
        <v>256</v>
      </c>
      <c r="J15" s="3" t="s">
        <v>132</v>
      </c>
      <c r="K15" s="3">
        <v>1</v>
      </c>
      <c r="L15" s="3" t="s">
        <v>239</v>
      </c>
      <c r="M15" s="3" t="s">
        <v>240</v>
      </c>
      <c r="N15" s="3">
        <v>3</v>
      </c>
      <c r="O15" s="3" t="s">
        <v>257</v>
      </c>
      <c r="P15" s="3" t="s">
        <v>258</v>
      </c>
      <c r="Q15" s="3" t="s">
        <v>259</v>
      </c>
      <c r="R15" s="3" t="s">
        <v>260</v>
      </c>
      <c r="S15" s="3" t="s">
        <v>261</v>
      </c>
      <c r="T15" s="3" t="s">
        <v>262</v>
      </c>
      <c r="U15" s="3" t="s">
        <v>141</v>
      </c>
      <c r="V15" s="3" t="s">
        <v>263</v>
      </c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tabSelected="1" topLeftCell="Z1" workbookViewId="0">
      <pane ySplit="1" topLeftCell="A7" activePane="bottomLeft" state="frozen"/>
      <selection pane="bottomLeft" activeCell="AF7" sqref="AF7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131</v>
      </c>
      <c r="J2" s="3" t="s">
        <v>132</v>
      </c>
      <c r="K2" s="3">
        <v>1</v>
      </c>
      <c r="L2" s="3" t="s">
        <v>133</v>
      </c>
      <c r="M2" s="3" t="s">
        <v>157</v>
      </c>
      <c r="N2" s="3">
        <v>1</v>
      </c>
      <c r="O2" s="3" t="s">
        <v>158</v>
      </c>
      <c r="P2" s="3">
        <v>4</v>
      </c>
      <c r="Q2" s="3" t="s">
        <v>159</v>
      </c>
      <c r="R2" s="3">
        <v>1000000</v>
      </c>
      <c r="S2" s="3" t="s">
        <v>24</v>
      </c>
      <c r="T2" s="3" t="s">
        <v>160</v>
      </c>
      <c r="U2" s="3">
        <v>0.3</v>
      </c>
      <c r="V2" s="3" t="s">
        <v>24</v>
      </c>
      <c r="W2" s="3" t="s">
        <v>161</v>
      </c>
      <c r="X2" s="3">
        <v>200000</v>
      </c>
      <c r="Y2" s="3" t="s">
        <v>24</v>
      </c>
      <c r="Z2" s="3" t="s">
        <v>162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163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131</v>
      </c>
      <c r="J3" s="3" t="s">
        <v>132</v>
      </c>
      <c r="K3" s="3">
        <v>1</v>
      </c>
      <c r="L3" s="3" t="s">
        <v>133</v>
      </c>
      <c r="M3" s="3" t="s">
        <v>157</v>
      </c>
      <c r="N3" s="3">
        <v>2</v>
      </c>
      <c r="O3" s="3" t="s">
        <v>164</v>
      </c>
      <c r="P3" s="3">
        <v>3</v>
      </c>
      <c r="Q3" s="3" t="s">
        <v>165</v>
      </c>
      <c r="R3" s="3">
        <v>1</v>
      </c>
      <c r="S3" s="3" t="s">
        <v>24</v>
      </c>
      <c r="T3" s="3" t="s">
        <v>166</v>
      </c>
      <c r="U3" s="3">
        <v>3</v>
      </c>
      <c r="V3" s="3" t="s">
        <v>24</v>
      </c>
      <c r="W3" s="3" t="s">
        <v>167</v>
      </c>
      <c r="X3" s="3" t="s">
        <v>168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169</v>
      </c>
    </row>
    <row r="4" spans="1:33" ht="72" x14ac:dyDescent="0.3">
      <c r="A4" s="3" t="str">
        <f t="shared" si="0"/>
        <v>LIST_ITNIC_REQ_PSC__001</v>
      </c>
      <c r="B4" s="3" t="s">
        <v>21</v>
      </c>
      <c r="C4" s="3" t="s">
        <v>22</v>
      </c>
      <c r="D4" s="3" t="s">
        <v>179</v>
      </c>
      <c r="E4" s="3" t="s">
        <v>31</v>
      </c>
      <c r="F4" s="3">
        <v>3</v>
      </c>
      <c r="G4" s="3" t="s">
        <v>16</v>
      </c>
      <c r="H4" s="3" t="s">
        <v>17</v>
      </c>
      <c r="I4" s="3" t="s">
        <v>190</v>
      </c>
      <c r="J4" s="3" t="s">
        <v>132</v>
      </c>
      <c r="K4" s="3">
        <v>1</v>
      </c>
      <c r="L4" s="3" t="s">
        <v>181</v>
      </c>
      <c r="M4" s="3" t="s">
        <v>206</v>
      </c>
      <c r="N4" s="3">
        <v>1</v>
      </c>
      <c r="O4" s="3" t="s">
        <v>207</v>
      </c>
      <c r="P4" s="3">
        <v>5</v>
      </c>
      <c r="Q4" s="3" t="s">
        <v>208</v>
      </c>
      <c r="R4" s="3" t="s">
        <v>209</v>
      </c>
      <c r="S4" s="3" t="s">
        <v>24</v>
      </c>
      <c r="T4" s="3" t="s">
        <v>210</v>
      </c>
      <c r="U4" s="3" t="s">
        <v>211</v>
      </c>
      <c r="V4" s="3" t="s">
        <v>24</v>
      </c>
      <c r="W4" s="3" t="s">
        <v>212</v>
      </c>
      <c r="X4" s="3" t="s">
        <v>213</v>
      </c>
      <c r="Y4" s="3" t="s">
        <v>24</v>
      </c>
      <c r="Z4" s="3" t="s">
        <v>214</v>
      </c>
      <c r="AA4" s="3" t="s">
        <v>215</v>
      </c>
      <c r="AB4" s="3" t="s">
        <v>24</v>
      </c>
      <c r="AC4" s="3" t="s">
        <v>216</v>
      </c>
      <c r="AD4" s="3" t="s">
        <v>217</v>
      </c>
      <c r="AE4" s="3" t="s">
        <v>24</v>
      </c>
      <c r="AF4" s="3" t="s">
        <v>17</v>
      </c>
      <c r="AG4" s="3" t="s">
        <v>218</v>
      </c>
    </row>
    <row r="5" spans="1:33" ht="100.8" x14ac:dyDescent="0.3">
      <c r="A5" s="3" t="str">
        <f t="shared" si="0"/>
        <v>LIST_ITNIC_REQ_PSC__002</v>
      </c>
      <c r="B5" s="3" t="s">
        <v>21</v>
      </c>
      <c r="C5" s="3" t="s">
        <v>22</v>
      </c>
      <c r="D5" s="3" t="s">
        <v>179</v>
      </c>
      <c r="E5" s="3" t="s">
        <v>31</v>
      </c>
      <c r="F5" s="3">
        <v>3</v>
      </c>
      <c r="G5" s="3" t="s">
        <v>16</v>
      </c>
      <c r="H5" s="3" t="s">
        <v>17</v>
      </c>
      <c r="I5" s="3" t="s">
        <v>219</v>
      </c>
      <c r="J5" s="3" t="s">
        <v>132</v>
      </c>
      <c r="K5" s="3">
        <v>1</v>
      </c>
      <c r="L5" s="3" t="s">
        <v>181</v>
      </c>
      <c r="M5" s="3" t="s">
        <v>206</v>
      </c>
      <c r="N5" s="3">
        <v>2</v>
      </c>
      <c r="O5" s="3" t="s">
        <v>220</v>
      </c>
      <c r="P5" s="3">
        <v>4</v>
      </c>
      <c r="Q5" s="3" t="s">
        <v>221</v>
      </c>
      <c r="R5" s="3" t="s">
        <v>222</v>
      </c>
      <c r="S5" s="3" t="s">
        <v>24</v>
      </c>
      <c r="T5" s="3" t="s">
        <v>223</v>
      </c>
      <c r="U5" s="3" t="s">
        <v>224</v>
      </c>
      <c r="V5" s="3" t="s">
        <v>24</v>
      </c>
      <c r="W5" s="3" t="s">
        <v>225</v>
      </c>
      <c r="X5" s="3">
        <v>45</v>
      </c>
      <c r="Y5" s="3" t="s">
        <v>24</v>
      </c>
      <c r="Z5" s="3" t="s">
        <v>226</v>
      </c>
      <c r="AA5" s="3" t="s">
        <v>227</v>
      </c>
      <c r="AB5" s="3" t="s">
        <v>24</v>
      </c>
      <c r="AC5" s="3"/>
      <c r="AD5" s="3"/>
      <c r="AE5" s="3"/>
      <c r="AF5" s="3" t="s">
        <v>17</v>
      </c>
      <c r="AG5" s="3" t="s">
        <v>228</v>
      </c>
    </row>
    <row r="6" spans="1:33" ht="409.6" x14ac:dyDescent="0.3">
      <c r="A6" s="3" t="str">
        <f t="shared" si="0"/>
        <v>PF_ITNIC_REQ_PSC__001</v>
      </c>
      <c r="B6" s="3" t="s">
        <v>21</v>
      </c>
      <c r="C6" s="3" t="s">
        <v>22</v>
      </c>
      <c r="D6" s="3" t="s">
        <v>179</v>
      </c>
      <c r="E6" s="3" t="s">
        <v>36</v>
      </c>
      <c r="F6" s="3">
        <v>3</v>
      </c>
      <c r="G6" s="3" t="s">
        <v>16</v>
      </c>
      <c r="H6" s="3" t="s">
        <v>17</v>
      </c>
      <c r="I6" s="3" t="s">
        <v>229</v>
      </c>
      <c r="J6" s="3" t="s">
        <v>132</v>
      </c>
      <c r="K6" s="3">
        <v>1</v>
      </c>
      <c r="L6" s="3" t="s">
        <v>181</v>
      </c>
      <c r="M6" s="3" t="s">
        <v>230</v>
      </c>
      <c r="N6" s="3">
        <v>1</v>
      </c>
      <c r="O6" s="3" t="s">
        <v>231</v>
      </c>
      <c r="P6" s="3" t="s">
        <v>232</v>
      </c>
      <c r="Q6" s="3" t="s">
        <v>233</v>
      </c>
      <c r="R6" s="3" t="s">
        <v>234</v>
      </c>
      <c r="S6" s="3" t="s">
        <v>235</v>
      </c>
      <c r="T6" s="3" t="s">
        <v>236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 t="s">
        <v>17</v>
      </c>
      <c r="AG6" s="3"/>
    </row>
    <row r="7" spans="1:33" ht="72" x14ac:dyDescent="0.3">
      <c r="A7" s="3" t="str">
        <f t="shared" si="0"/>
        <v>LIST_ITNIC_REQ_SHS__001</v>
      </c>
      <c r="B7" s="3" t="s">
        <v>21</v>
      </c>
      <c r="C7" s="3" t="s">
        <v>22</v>
      </c>
      <c r="D7" s="3" t="s">
        <v>237</v>
      </c>
      <c r="E7" s="3" t="s">
        <v>31</v>
      </c>
      <c r="F7" s="3">
        <v>3</v>
      </c>
      <c r="G7" s="3" t="s">
        <v>16</v>
      </c>
      <c r="H7" s="3" t="s">
        <v>17</v>
      </c>
      <c r="I7" s="3" t="s">
        <v>264</v>
      </c>
      <c r="J7" s="3" t="s">
        <v>132</v>
      </c>
      <c r="K7" s="3">
        <v>1</v>
      </c>
      <c r="L7" s="3" t="s">
        <v>239</v>
      </c>
      <c r="M7" s="3" t="s">
        <v>265</v>
      </c>
      <c r="N7" s="3">
        <v>1</v>
      </c>
      <c r="O7" s="3" t="s">
        <v>266</v>
      </c>
      <c r="P7" s="3">
        <v>5</v>
      </c>
      <c r="Q7" s="3" t="s">
        <v>267</v>
      </c>
      <c r="R7" s="3">
        <v>60000</v>
      </c>
      <c r="S7" s="3" t="s">
        <v>24</v>
      </c>
      <c r="T7" s="3" t="s">
        <v>268</v>
      </c>
      <c r="U7" s="3">
        <v>3</v>
      </c>
      <c r="V7" s="3" t="s">
        <v>24</v>
      </c>
      <c r="W7" s="3" t="s">
        <v>269</v>
      </c>
      <c r="X7" s="3">
        <v>10</v>
      </c>
      <c r="Y7" s="3" t="s">
        <v>24</v>
      </c>
      <c r="Z7" s="3" t="s">
        <v>270</v>
      </c>
      <c r="AA7" s="3">
        <v>250000</v>
      </c>
      <c r="AB7" s="3" t="s">
        <v>24</v>
      </c>
      <c r="AC7" s="3" t="s">
        <v>271</v>
      </c>
      <c r="AD7" s="3">
        <v>3000000</v>
      </c>
      <c r="AE7" s="3" t="s">
        <v>24</v>
      </c>
      <c r="AF7" s="3" t="s">
        <v>17</v>
      </c>
      <c r="AG7" s="3" t="s">
        <v>272</v>
      </c>
    </row>
    <row r="8" spans="1:33" ht="100.8" x14ac:dyDescent="0.3">
      <c r="A8" s="3" t="str">
        <f t="shared" si="0"/>
        <v>LIST_ITNIC_REQ_SHS__002</v>
      </c>
      <c r="B8" s="3" t="s">
        <v>21</v>
      </c>
      <c r="C8" s="3" t="s">
        <v>22</v>
      </c>
      <c r="D8" s="3" t="s">
        <v>237</v>
      </c>
      <c r="E8" s="3" t="s">
        <v>31</v>
      </c>
      <c r="F8" s="3">
        <v>3</v>
      </c>
      <c r="G8" s="3" t="s">
        <v>16</v>
      </c>
      <c r="H8" s="3" t="s">
        <v>17</v>
      </c>
      <c r="I8" s="3" t="s">
        <v>273</v>
      </c>
      <c r="J8" s="3" t="s">
        <v>132</v>
      </c>
      <c r="K8" s="3">
        <v>1</v>
      </c>
      <c r="L8" s="3" t="s">
        <v>239</v>
      </c>
      <c r="M8" s="3" t="s">
        <v>265</v>
      </c>
      <c r="N8" s="3">
        <v>2</v>
      </c>
      <c r="O8" s="3" t="s">
        <v>274</v>
      </c>
      <c r="P8" s="3">
        <v>5</v>
      </c>
      <c r="Q8" s="3" t="s">
        <v>275</v>
      </c>
      <c r="R8" s="3">
        <v>5</v>
      </c>
      <c r="S8" s="3" t="s">
        <v>24</v>
      </c>
      <c r="T8" s="3" t="s">
        <v>276</v>
      </c>
      <c r="U8" s="3">
        <v>3</v>
      </c>
      <c r="V8" s="3" t="s">
        <v>24</v>
      </c>
      <c r="W8" s="3" t="s">
        <v>277</v>
      </c>
      <c r="X8" s="3" t="s">
        <v>278</v>
      </c>
      <c r="Y8" s="3" t="s">
        <v>24</v>
      </c>
      <c r="Z8" s="3" t="s">
        <v>279</v>
      </c>
      <c r="AA8" s="3">
        <v>3</v>
      </c>
      <c r="AB8" s="3" t="s">
        <v>24</v>
      </c>
      <c r="AC8" s="3" t="s">
        <v>280</v>
      </c>
      <c r="AD8" s="3">
        <v>5</v>
      </c>
      <c r="AE8" s="3" t="s">
        <v>24</v>
      </c>
      <c r="AF8" s="3" t="s">
        <v>17</v>
      </c>
      <c r="AG8" s="3" t="s">
        <v>281</v>
      </c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178</v>
      </c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21</v>
      </c>
      <c r="C3" s="3" t="s">
        <v>40</v>
      </c>
      <c r="D3" s="3" t="s">
        <v>119</v>
      </c>
      <c r="E3" s="3" t="s">
        <v>36</v>
      </c>
      <c r="F3" s="3">
        <v>3</v>
      </c>
      <c r="G3" s="3" t="s">
        <v>16</v>
      </c>
      <c r="H3" s="3" t="str">
        <f>IF(LEN(TRIM(B3))&gt;0,"Y","")</f>
        <v>Y</v>
      </c>
      <c r="I3" s="3" t="s">
        <v>121</v>
      </c>
      <c r="J3" s="3" t="s">
        <v>122</v>
      </c>
      <c r="K3" s="3">
        <v>1</v>
      </c>
      <c r="L3" s="3" t="s">
        <v>123</v>
      </c>
      <c r="M3" s="3" t="s">
        <v>124</v>
      </c>
      <c r="N3" s="3">
        <v>1</v>
      </c>
      <c r="O3" s="3" t="s">
        <v>125</v>
      </c>
      <c r="P3" s="3" t="s">
        <v>126</v>
      </c>
      <c r="Q3" s="3" t="s">
        <v>127</v>
      </c>
      <c r="R3" s="3" t="s">
        <v>128</v>
      </c>
      <c r="S3" s="3" t="s">
        <v>129</v>
      </c>
      <c r="T3" s="3" t="s">
        <v>130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131</v>
      </c>
      <c r="J4" s="3" t="s">
        <v>132</v>
      </c>
      <c r="K4" s="3">
        <v>1</v>
      </c>
      <c r="L4" s="3" t="s">
        <v>133</v>
      </c>
      <c r="M4" s="3" t="s">
        <v>171</v>
      </c>
      <c r="N4" s="3">
        <v>1</v>
      </c>
      <c r="O4" s="3" t="s">
        <v>172</v>
      </c>
      <c r="P4" s="3" t="s">
        <v>173</v>
      </c>
      <c r="Q4" s="3" t="s">
        <v>174</v>
      </c>
      <c r="R4" s="3" t="s">
        <v>175</v>
      </c>
      <c r="S4" s="3" t="s">
        <v>176</v>
      </c>
      <c r="T4" s="3" t="s">
        <v>177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497" activePane="bottomLeft" state="frozen"/>
      <selection pane="bottomLeft" activeCell="B212" sqref="B209:B21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ht="28.8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MCQ_ITNIC_REQ_PSC__001</v>
      </c>
      <c r="B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psc;ir35;employment_status</v>
      </c>
      <c r="J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ht="28.8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MCQ_ITNIC_REQ_PSC__002</v>
      </c>
      <c r="B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ht="28.8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MCQ_ITNIC_REQ_PSC__003</v>
      </c>
      <c r="B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ir35;sds;ddp;medium_large_entity</v>
      </c>
      <c r="J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ht="28.8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MCQ_ITNIC_REQ_SHS__001</v>
      </c>
      <c r="B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saye;share_schemes</v>
      </c>
      <c r="J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ht="28.8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MCQ_ITNIC_REQ_SHS__002</v>
      </c>
      <c r="B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csop;share_options</v>
      </c>
      <c r="J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ht="28.8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MCQ_ITNIC_REQ_SHS__003</v>
      </c>
      <c r="B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emi;discount;nic</v>
      </c>
      <c r="J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ht="28.8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LIST_ITNIC_REQ_PSC__001</v>
      </c>
      <c r="B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ht="28.8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LIST_ITNIC_REQ_PSC__002</v>
      </c>
      <c r="B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ir35;medium_large_entity;sds;ddp</v>
      </c>
      <c r="J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ht="28.8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PF_ITNIC_REQ_PSC__001</v>
      </c>
      <c r="B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ht="28.8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LIST_ITNIC_REQ_SHS__001</v>
      </c>
      <c r="B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csop;emi;limits</v>
      </c>
      <c r="J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ht="28.8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LIST_ITNIC_REQ_SHS__002</v>
      </c>
      <c r="B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sip;hold_period;withdrawal</v>
      </c>
      <c r="J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170</v>
      </c>
      <c r="B2" t="s">
        <v>28</v>
      </c>
      <c r="C2" t="s">
        <v>22</v>
      </c>
      <c r="D2" t="s">
        <v>118</v>
      </c>
      <c r="E2" t="s">
        <v>36</v>
      </c>
      <c r="F2" t="s">
        <v>120</v>
      </c>
      <c r="G2" t="s">
        <v>16</v>
      </c>
      <c r="H2" t="s">
        <v>17</v>
      </c>
      <c r="I2" t="s">
        <v>131</v>
      </c>
      <c r="J2" t="s">
        <v>132</v>
      </c>
      <c r="K2">
        <v>1</v>
      </c>
      <c r="L2" t="s">
        <v>133</v>
      </c>
      <c r="M2" t="s">
        <v>171</v>
      </c>
      <c r="N2">
        <v>1</v>
      </c>
      <c r="O2" t="s">
        <v>172</v>
      </c>
      <c r="P2" t="s">
        <v>173</v>
      </c>
      <c r="Q2" t="s">
        <v>174</v>
      </c>
      <c r="R2" s="5" t="s">
        <v>175</v>
      </c>
      <c r="S2" t="s">
        <v>176</v>
      </c>
      <c r="T2" t="s">
        <v>177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2026-02-19T16:42:32Z</dcterms:modified>
</cp:coreProperties>
</file>