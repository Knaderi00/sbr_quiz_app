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360" documentId="11_1A3CAAE0EE81980AE886C8AC59EAF3A67F286A16" xr6:coauthVersionLast="47" xr6:coauthVersionMax="47" xr10:uidLastSave="{63FE4F36-3CAC-489F-8EDE-59E08513EF45}"/>
  <bookViews>
    <workbookView xWindow="-108" yWindow="-108" windowWidth="23256" windowHeight="13896" firstSheet="1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6" l="1"/>
  <c r="N7" i="6" s="1"/>
  <c r="A8" i="6"/>
  <c r="A9" i="6"/>
  <c r="A10" i="6"/>
  <c r="A11" i="6"/>
  <c r="A12" i="6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A28" i="3" s="1"/>
  <c r="M29" i="3"/>
  <c r="A29" i="3" s="1"/>
  <c r="N29" i="3"/>
  <c r="M30" i="3"/>
  <c r="N30" i="3"/>
  <c r="M31" i="3"/>
  <c r="N31" i="3" s="1"/>
  <c r="M32" i="3"/>
  <c r="N32" i="3" s="1"/>
  <c r="M33" i="3"/>
  <c r="A33" i="3" s="1"/>
  <c r="N33" i="3"/>
  <c r="M34" i="3"/>
  <c r="A34" i="3" s="1"/>
  <c r="N34" i="3"/>
  <c r="M35" i="3"/>
  <c r="A35" i="3" s="1"/>
  <c r="N35" i="3"/>
  <c r="M36" i="3"/>
  <c r="A36" i="3" s="1"/>
  <c r="M37" i="3"/>
  <c r="N37" i="3"/>
  <c r="M38" i="3"/>
  <c r="N38" i="3" s="1"/>
  <c r="A30" i="3"/>
  <c r="A37" i="3"/>
  <c r="A38" i="3"/>
  <c r="M4" i="3"/>
  <c r="M5" i="3"/>
  <c r="M6" i="3"/>
  <c r="M7" i="3"/>
  <c r="M8" i="3"/>
  <c r="M9" i="3"/>
  <c r="M10" i="3"/>
  <c r="M11" i="3"/>
  <c r="M12" i="3"/>
  <c r="M13" i="3"/>
  <c r="M14" i="3"/>
  <c r="M15" i="3"/>
  <c r="M2" i="6"/>
  <c r="N2" i="6"/>
  <c r="M3" i="6"/>
  <c r="N3" i="6"/>
  <c r="M4" i="6"/>
  <c r="N4" i="6" s="1"/>
  <c r="M5" i="6"/>
  <c r="N5" i="6" s="1"/>
  <c r="M6" i="6"/>
  <c r="N6" i="6" s="1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A7" i="6" l="1"/>
  <c r="N36" i="3"/>
  <c r="A32" i="3"/>
  <c r="N28" i="3"/>
  <c r="A31" i="3"/>
  <c r="A6" i="5"/>
  <c r="N8" i="6" l="1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A5" i="6"/>
  <c r="A6" i="6"/>
  <c r="A13" i="6"/>
  <c r="A14" i="6"/>
  <c r="A15" i="6"/>
  <c r="A16" i="6"/>
  <c r="A7" i="5"/>
  <c r="A8" i="5"/>
  <c r="A13" i="5"/>
  <c r="A17" i="5"/>
  <c r="A18" i="5"/>
  <c r="A19" i="5"/>
  <c r="A23" i="5"/>
  <c r="A31" i="5"/>
  <c r="A32" i="5"/>
  <c r="A33" i="5"/>
  <c r="A4" i="5"/>
  <c r="A5" i="5"/>
  <c r="H3" i="6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8" i="6"/>
  <c r="M9" i="6"/>
  <c r="M10" i="6"/>
  <c r="M11" i="6"/>
  <c r="M12" i="6"/>
  <c r="M13" i="6"/>
  <c r="M14" i="6"/>
  <c r="M15" i="6"/>
  <c r="M16" i="6"/>
  <c r="M17" i="6"/>
  <c r="A17" i="6" s="1"/>
  <c r="M18" i="6"/>
  <c r="M19" i="6"/>
  <c r="A19" i="6" s="1"/>
  <c r="M20" i="6"/>
  <c r="A20" i="6" s="1"/>
  <c r="M21" i="6"/>
  <c r="M22" i="6"/>
  <c r="A22" i="6" s="1"/>
  <c r="M23" i="6"/>
  <c r="A23" i="6" s="1"/>
  <c r="M24" i="6"/>
  <c r="A24" i="6" s="1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M85" i="6"/>
  <c r="A85" i="6" s="1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M94" i="6"/>
  <c r="A94" i="6" s="1"/>
  <c r="M95" i="6"/>
  <c r="M96" i="6"/>
  <c r="A96" i="6" s="1"/>
  <c r="M97" i="6"/>
  <c r="A97" i="6" s="1"/>
  <c r="N97" i="6"/>
  <c r="M98" i="6"/>
  <c r="A98" i="6" s="1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M139" i="6"/>
  <c r="A139" i="6" s="1"/>
  <c r="N139" i="6"/>
  <c r="M140" i="6"/>
  <c r="A140" i="6" s="1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M189" i="6"/>
  <c r="N189" i="6" s="1"/>
  <c r="M190" i="6"/>
  <c r="N190" i="6" s="1"/>
  <c r="M191" i="6"/>
  <c r="A191" i="6" s="1"/>
  <c r="M192" i="6"/>
  <c r="A192" i="6" s="1"/>
  <c r="M193" i="6"/>
  <c r="M194" i="6"/>
  <c r="A194" i="6" s="1"/>
  <c r="N194" i="6"/>
  <c r="M195" i="6"/>
  <c r="A195" i="6" s="1"/>
  <c r="M196" i="6"/>
  <c r="A196" i="6" s="1"/>
  <c r="M197" i="6"/>
  <c r="A197" i="6" s="1"/>
  <c r="M198" i="6"/>
  <c r="M199" i="6"/>
  <c r="A199" i="6" s="1"/>
  <c r="M200" i="6"/>
  <c r="A3" i="5"/>
  <c r="A9" i="5"/>
  <c r="A10" i="5"/>
  <c r="A11" i="5"/>
  <c r="A15" i="5"/>
  <c r="A16" i="5"/>
  <c r="A20" i="5"/>
  <c r="A22" i="5"/>
  <c r="M23" i="5"/>
  <c r="M24" i="5"/>
  <c r="A24" i="5" s="1"/>
  <c r="M25" i="5"/>
  <c r="A25" i="5" s="1"/>
  <c r="M26" i="5"/>
  <c r="A26" i="5" s="1"/>
  <c r="M27" i="5"/>
  <c r="A27" i="5" s="1"/>
  <c r="M28" i="5"/>
  <c r="A28" i="5" s="1"/>
  <c r="M29" i="5"/>
  <c r="M30" i="5"/>
  <c r="N30" i="5" s="1"/>
  <c r="M31" i="5"/>
  <c r="N31" i="5"/>
  <c r="M32" i="5"/>
  <c r="N32" i="5" s="1"/>
  <c r="M33" i="5"/>
  <c r="N33" i="5" s="1"/>
  <c r="M34" i="5"/>
  <c r="A34" i="5" s="1"/>
  <c r="N34" i="5"/>
  <c r="M35" i="5"/>
  <c r="N35" i="5" s="1"/>
  <c r="M36" i="5"/>
  <c r="A36" i="5" s="1"/>
  <c r="A37" i="5"/>
  <c r="M37" i="5"/>
  <c r="N37" i="5" s="1"/>
  <c r="M38" i="5"/>
  <c r="A38" i="5" s="1"/>
  <c r="M39" i="5"/>
  <c r="A39" i="5" s="1"/>
  <c r="N39" i="5"/>
  <c r="M40" i="5"/>
  <c r="A40" i="5" s="1"/>
  <c r="M41" i="5"/>
  <c r="A41" i="5" s="1"/>
  <c r="M42" i="5"/>
  <c r="A42" i="5" s="1"/>
  <c r="N42" i="5"/>
  <c r="M43" i="5"/>
  <c r="A43" i="5" s="1"/>
  <c r="N43" i="5"/>
  <c r="M44" i="5"/>
  <c r="A44" i="5" s="1"/>
  <c r="M45" i="5"/>
  <c r="A45" i="5" s="1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M51" i="5"/>
  <c r="N51" i="5" s="1"/>
  <c r="M52" i="5"/>
  <c r="A52" i="5" s="1"/>
  <c r="N52" i="5"/>
  <c r="M53" i="5"/>
  <c r="A53" i="5" s="1"/>
  <c r="N53" i="5"/>
  <c r="M54" i="5"/>
  <c r="A54" i="5" s="1"/>
  <c r="N54" i="5"/>
  <c r="M55" i="5"/>
  <c r="A55" i="5" s="1"/>
  <c r="M56" i="5"/>
  <c r="A56" i="5" s="1"/>
  <c r="N56" i="5"/>
  <c r="M57" i="5"/>
  <c r="A57" i="5" s="1"/>
  <c r="N57" i="5"/>
  <c r="M58" i="5"/>
  <c r="A58" i="5" s="1"/>
  <c r="M59" i="5"/>
  <c r="A59" i="5" s="1"/>
  <c r="N59" i="5"/>
  <c r="M60" i="5"/>
  <c r="N60" i="5" s="1"/>
  <c r="M61" i="5"/>
  <c r="A61" i="5" s="1"/>
  <c r="N61" i="5"/>
  <c r="M62" i="5"/>
  <c r="A62" i="5" s="1"/>
  <c r="M63" i="5"/>
  <c r="N63" i="5" s="1"/>
  <c r="M64" i="5"/>
  <c r="A64" i="5" s="1"/>
  <c r="M65" i="5"/>
  <c r="A65" i="5" s="1"/>
  <c r="N65" i="5"/>
  <c r="M66" i="5"/>
  <c r="A66" i="5" s="1"/>
  <c r="M67" i="5"/>
  <c r="A67" i="5" s="1"/>
  <c r="M68" i="5"/>
  <c r="A68" i="5" s="1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M73" i="5"/>
  <c r="A73" i="5" s="1"/>
  <c r="N73" i="5"/>
  <c r="M74" i="5"/>
  <c r="N74" i="5" s="1"/>
  <c r="M75" i="5"/>
  <c r="A75" i="5" s="1"/>
  <c r="N75" i="5"/>
  <c r="M76" i="5"/>
  <c r="A76" i="5" s="1"/>
  <c r="M77" i="5"/>
  <c r="N77" i="5" s="1"/>
  <c r="M78" i="5"/>
  <c r="A78" i="5" s="1"/>
  <c r="M79" i="5"/>
  <c r="A79" i="5" s="1"/>
  <c r="N79" i="5"/>
  <c r="M80" i="5"/>
  <c r="A80" i="5" s="1"/>
  <c r="M81" i="5"/>
  <c r="A81" i="5" s="1"/>
  <c r="M82" i="5"/>
  <c r="A82" i="5" s="1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M87" i="5"/>
  <c r="A87" i="5" s="1"/>
  <c r="N87" i="5"/>
  <c r="M88" i="5"/>
  <c r="N88" i="5" s="1"/>
  <c r="M89" i="5"/>
  <c r="A89" i="5" s="1"/>
  <c r="N89" i="5"/>
  <c r="M90" i="5"/>
  <c r="A90" i="5" s="1"/>
  <c r="M91" i="5"/>
  <c r="N91" i="5" s="1"/>
  <c r="M92" i="5"/>
  <c r="A92" i="5" s="1"/>
  <c r="M93" i="5"/>
  <c r="A93" i="5" s="1"/>
  <c r="N93" i="5"/>
  <c r="M94" i="5"/>
  <c r="A94" i="5" s="1"/>
  <c r="M95" i="5"/>
  <c r="A95" i="5" s="1"/>
  <c r="M96" i="5"/>
  <c r="A96" i="5" s="1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M101" i="5"/>
  <c r="A101" i="5" s="1"/>
  <c r="N101" i="5"/>
  <c r="M102" i="5"/>
  <c r="N102" i="5" s="1"/>
  <c r="M103" i="5"/>
  <c r="A103" i="5" s="1"/>
  <c r="N103" i="5"/>
  <c r="M104" i="5"/>
  <c r="A104" i="5" s="1"/>
  <c r="M105" i="5"/>
  <c r="N105" i="5" s="1"/>
  <c r="M106" i="5"/>
  <c r="A106" i="5" s="1"/>
  <c r="M107" i="5"/>
  <c r="A107" i="5" s="1"/>
  <c r="N107" i="5"/>
  <c r="M108" i="5"/>
  <c r="A108" i="5" s="1"/>
  <c r="M109" i="5"/>
  <c r="A109" i="5" s="1"/>
  <c r="M110" i="5"/>
  <c r="A110" i="5" s="1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M115" i="5"/>
  <c r="A115" i="5" s="1"/>
  <c r="N115" i="5"/>
  <c r="M116" i="5"/>
  <c r="N116" i="5" s="1"/>
  <c r="M117" i="5"/>
  <c r="A117" i="5" s="1"/>
  <c r="N117" i="5"/>
  <c r="M118" i="5"/>
  <c r="A118" i="5" s="1"/>
  <c r="M119" i="5"/>
  <c r="N119" i="5" s="1"/>
  <c r="M120" i="5"/>
  <c r="A120" i="5" s="1"/>
  <c r="M121" i="5"/>
  <c r="A121" i="5" s="1"/>
  <c r="N121" i="5"/>
  <c r="M122" i="5"/>
  <c r="A122" i="5" s="1"/>
  <c r="M123" i="5"/>
  <c r="A123" i="5" s="1"/>
  <c r="M124" i="5"/>
  <c r="A124" i="5" s="1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M129" i="5"/>
  <c r="A129" i="5" s="1"/>
  <c r="N129" i="5"/>
  <c r="M130" i="5"/>
  <c r="N130" i="5" s="1"/>
  <c r="M131" i="5"/>
  <c r="A131" i="5" s="1"/>
  <c r="N131" i="5"/>
  <c r="M132" i="5"/>
  <c r="A132" i="5" s="1"/>
  <c r="M133" i="5"/>
  <c r="N133" i="5" s="1"/>
  <c r="M134" i="5"/>
  <c r="A134" i="5" s="1"/>
  <c r="M135" i="5"/>
  <c r="A135" i="5" s="1"/>
  <c r="N135" i="5"/>
  <c r="M136" i="5"/>
  <c r="A136" i="5" s="1"/>
  <c r="M137" i="5"/>
  <c r="A137" i="5" s="1"/>
  <c r="M138" i="5"/>
  <c r="A138" i="5" s="1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M143" i="5"/>
  <c r="A143" i="5" s="1"/>
  <c r="N143" i="5"/>
  <c r="M144" i="5"/>
  <c r="N144" i="5" s="1"/>
  <c r="M145" i="5"/>
  <c r="A145" i="5" s="1"/>
  <c r="N145" i="5"/>
  <c r="M146" i="5"/>
  <c r="A146" i="5" s="1"/>
  <c r="M147" i="5"/>
  <c r="N147" i="5" s="1"/>
  <c r="M148" i="5"/>
  <c r="A148" i="5" s="1"/>
  <c r="M149" i="5"/>
  <c r="A149" i="5" s="1"/>
  <c r="N149" i="5"/>
  <c r="M150" i="5"/>
  <c r="A150" i="5" s="1"/>
  <c r="M151" i="5"/>
  <c r="A151" i="5" s="1"/>
  <c r="M152" i="5"/>
  <c r="A152" i="5" s="1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M163" i="5"/>
  <c r="A163" i="5" s="1"/>
  <c r="N163" i="5"/>
  <c r="M164" i="5"/>
  <c r="A164" i="5" s="1"/>
  <c r="M165" i="5"/>
  <c r="A165" i="5" s="1"/>
  <c r="M166" i="5"/>
  <c r="A166" i="5" s="1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M177" i="5"/>
  <c r="A177" i="5" s="1"/>
  <c r="N177" i="5"/>
  <c r="M178" i="5"/>
  <c r="A178" i="5" s="1"/>
  <c r="M179" i="5"/>
  <c r="A179" i="5" s="1"/>
  <c r="M180" i="5"/>
  <c r="A180" i="5" s="1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M191" i="5"/>
  <c r="A191" i="5" s="1"/>
  <c r="N191" i="5"/>
  <c r="M192" i="5"/>
  <c r="A192" i="5" s="1"/>
  <c r="M193" i="5"/>
  <c r="A193" i="5" s="1"/>
  <c r="M194" i="5"/>
  <c r="A194" i="5" s="1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39" i="3"/>
  <c r="A39" i="3" s="1"/>
  <c r="M40" i="3"/>
  <c r="A40" i="3" s="1"/>
  <c r="M41" i="3"/>
  <c r="A41" i="3" s="1"/>
  <c r="M42" i="3"/>
  <c r="M43" i="3"/>
  <c r="A43" i="3" s="1"/>
  <c r="M44" i="3"/>
  <c r="A44" i="3" s="1"/>
  <c r="M45" i="3"/>
  <c r="A45" i="3" s="1"/>
  <c r="M46" i="3"/>
  <c r="A46" i="3" s="1"/>
  <c r="M47" i="3"/>
  <c r="M48" i="3"/>
  <c r="A48" i="3" s="1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M144" i="3"/>
  <c r="M2" i="4"/>
  <c r="N2" i="4" s="1"/>
  <c r="M2" i="3"/>
  <c r="N2" i="3" l="1"/>
  <c r="N20" i="3"/>
  <c r="A20" i="3" s="1"/>
  <c r="N15" i="3"/>
  <c r="A15" i="3" s="1"/>
  <c r="N21" i="3"/>
  <c r="A21" i="3" s="1"/>
  <c r="N4" i="3"/>
  <c r="A4" i="3" s="1"/>
  <c r="N8" i="3"/>
  <c r="N16" i="3"/>
  <c r="A16" i="3" s="1"/>
  <c r="N27" i="3"/>
  <c r="A27" i="3" s="1"/>
  <c r="N13" i="3"/>
  <c r="A13" i="3" s="1"/>
  <c r="N18" i="3"/>
  <c r="A18" i="3" s="1"/>
  <c r="N10" i="3"/>
  <c r="A10" i="3" s="1"/>
  <c r="N9" i="3"/>
  <c r="N14" i="3"/>
  <c r="A14" i="3" s="1"/>
  <c r="N7" i="3"/>
  <c r="A7" i="3" s="1"/>
  <c r="N5" i="3"/>
  <c r="N12" i="3"/>
  <c r="A12" i="3" s="1"/>
  <c r="N24" i="3"/>
  <c r="A24" i="3" s="1"/>
  <c r="N26" i="3"/>
  <c r="A26" i="3" s="1"/>
  <c r="N11" i="3"/>
  <c r="A11" i="3" s="1"/>
  <c r="N19" i="3"/>
  <c r="A19" i="3" s="1"/>
  <c r="N17" i="3"/>
  <c r="A17" i="3" s="1"/>
  <c r="N22" i="3"/>
  <c r="A22" i="3" s="1"/>
  <c r="N25" i="3"/>
  <c r="A25" i="3" s="1"/>
  <c r="N6" i="3"/>
  <c r="A6" i="3" s="1"/>
  <c r="N23" i="3"/>
  <c r="A23" i="3" s="1"/>
  <c r="N42" i="3"/>
  <c r="A42" i="3"/>
  <c r="N87" i="3"/>
  <c r="N47" i="3"/>
  <c r="A47" i="3"/>
  <c r="N45" i="3"/>
  <c r="N143" i="3"/>
  <c r="N101" i="3"/>
  <c r="N59" i="3"/>
  <c r="A30" i="5"/>
  <c r="N146" i="5"/>
  <c r="N132" i="5"/>
  <c r="N118" i="5"/>
  <c r="N104" i="5"/>
  <c r="N90" i="5"/>
  <c r="N76" i="5"/>
  <c r="N62" i="5"/>
  <c r="N40" i="5"/>
  <c r="N192" i="6"/>
  <c r="N162" i="6"/>
  <c r="N140" i="6"/>
  <c r="N98" i="6"/>
  <c r="A29" i="5"/>
  <c r="A14" i="5"/>
  <c r="A12" i="5"/>
  <c r="A51" i="5"/>
  <c r="A66" i="6"/>
  <c r="A46" i="5"/>
  <c r="N178" i="6"/>
  <c r="N149" i="6"/>
  <c r="N138" i="6"/>
  <c r="N96" i="6"/>
  <c r="N51" i="6"/>
  <c r="N193" i="5"/>
  <c r="N179" i="5"/>
  <c r="N165" i="5"/>
  <c r="N151" i="5"/>
  <c r="A144" i="5"/>
  <c r="N137" i="5"/>
  <c r="A130" i="5"/>
  <c r="N123" i="5"/>
  <c r="A116" i="5"/>
  <c r="N109" i="5"/>
  <c r="A102" i="5"/>
  <c r="N95" i="5"/>
  <c r="A88" i="5"/>
  <c r="N81" i="5"/>
  <c r="A74" i="5"/>
  <c r="N67" i="5"/>
  <c r="A60" i="5"/>
  <c r="N45" i="5"/>
  <c r="N38" i="5"/>
  <c r="N188" i="6"/>
  <c r="N85" i="6"/>
  <c r="N199" i="5"/>
  <c r="N192" i="5"/>
  <c r="N185" i="5"/>
  <c r="N178" i="5"/>
  <c r="N171" i="5"/>
  <c r="N164" i="5"/>
  <c r="N157" i="5"/>
  <c r="N150" i="5"/>
  <c r="N136" i="5"/>
  <c r="N122" i="5"/>
  <c r="N108" i="5"/>
  <c r="N94" i="5"/>
  <c r="N80" i="5"/>
  <c r="N66" i="5"/>
  <c r="N44" i="5"/>
  <c r="N196" i="6"/>
  <c r="N124" i="6"/>
  <c r="N104" i="6"/>
  <c r="N94" i="6"/>
  <c r="N84" i="6"/>
  <c r="N142" i="5"/>
  <c r="N128" i="5"/>
  <c r="N114" i="5"/>
  <c r="N100" i="5"/>
  <c r="N86" i="5"/>
  <c r="N72" i="5"/>
  <c r="N58" i="5"/>
  <c r="A35" i="5"/>
  <c r="A21" i="5"/>
  <c r="N195" i="6"/>
  <c r="N93" i="6"/>
  <c r="A9" i="3"/>
  <c r="N125" i="6"/>
  <c r="N82" i="6"/>
  <c r="N65" i="6"/>
  <c r="N54" i="6"/>
  <c r="A108" i="6"/>
  <c r="A134" i="6"/>
  <c r="N107" i="6"/>
  <c r="N80" i="6"/>
  <c r="N70" i="6"/>
  <c r="N62" i="6"/>
  <c r="N52" i="6"/>
  <c r="N42" i="6"/>
  <c r="N68" i="6"/>
  <c r="N40" i="6"/>
  <c r="N30" i="6"/>
  <c r="A190" i="6"/>
  <c r="N83" i="6"/>
  <c r="N55" i="6"/>
  <c r="N27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A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72" i="6"/>
  <c r="N172" i="6"/>
  <c r="A74" i="6"/>
  <c r="N74" i="6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A175" i="6"/>
  <c r="A147" i="6"/>
  <c r="A119" i="6"/>
  <c r="A91" i="6"/>
  <c r="A21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A189" i="6"/>
  <c r="A161" i="6"/>
  <c r="A105" i="6"/>
  <c r="A63" i="6"/>
  <c r="A49" i="6"/>
  <c r="A175" i="5"/>
  <c r="A189" i="5"/>
  <c r="A119" i="5"/>
  <c r="A77" i="5"/>
  <c r="N195" i="5"/>
  <c r="N181" i="5"/>
  <c r="N167" i="5"/>
  <c r="N153" i="5"/>
  <c r="N55" i="5"/>
  <c r="N41" i="5"/>
  <c r="N148" i="5"/>
  <c r="N134" i="5"/>
  <c r="N120" i="5"/>
  <c r="N106" i="5"/>
  <c r="N92" i="5"/>
  <c r="N78" i="5"/>
  <c r="N64" i="5"/>
  <c r="N50" i="5"/>
  <c r="N36" i="5"/>
  <c r="A147" i="5"/>
  <c r="A105" i="5"/>
  <c r="A49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3" i="3"/>
  <c r="A3" i="3" s="1"/>
  <c r="A127" i="3"/>
  <c r="A74" i="3"/>
  <c r="A113" i="3"/>
  <c r="A60" i="3"/>
  <c r="A85" i="3"/>
  <c r="A50" i="3"/>
  <c r="A88" i="3"/>
  <c r="A95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N76" i="3"/>
  <c r="A76" i="3" s="1"/>
  <c r="N62" i="3"/>
  <c r="A62" i="3" s="1"/>
  <c r="N48" i="3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90" i="3"/>
  <c r="A90" i="3" s="1"/>
  <c r="N136" i="3"/>
  <c r="A136" i="3" s="1"/>
  <c r="N122" i="3"/>
  <c r="A122" i="3" s="1"/>
  <c r="N66" i="3"/>
  <c r="A66" i="3" s="1"/>
  <c r="A5" i="3"/>
  <c r="N132" i="3"/>
  <c r="A132" i="3" s="1"/>
  <c r="N104" i="3"/>
  <c r="A104" i="3" s="1"/>
  <c r="N108" i="3"/>
  <c r="A108" i="3" s="1"/>
  <c r="N94" i="3"/>
  <c r="A94" i="3" s="1"/>
  <c r="N80" i="3"/>
  <c r="A80" i="3" s="1"/>
  <c r="N52" i="3"/>
  <c r="A52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N106" i="3"/>
  <c r="A106" i="3" s="1"/>
  <c r="N92" i="3"/>
  <c r="A92" i="3" s="1"/>
  <c r="N78" i="3"/>
  <c r="A78" i="3" s="1"/>
  <c r="N64" i="3"/>
  <c r="A64" i="3" s="1"/>
  <c r="N50" i="3"/>
  <c r="A8" i="3"/>
  <c r="N96" i="3"/>
  <c r="A96" i="3" s="1"/>
  <c r="N82" i="3"/>
  <c r="A82" i="3" s="1"/>
  <c r="N68" i="3"/>
  <c r="A68" i="3" s="1"/>
  <c r="N54" i="3"/>
  <c r="A54" i="3" s="1"/>
  <c r="N40" i="3"/>
  <c r="A2" i="3"/>
  <c r="A2" i="4"/>
  <c r="A2" i="5"/>
  <c r="A2" i="6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A250" i="7" l="1"/>
  <c r="D473" i="7"/>
  <c r="G56" i="7"/>
  <c r="D453" i="7"/>
  <c r="E509" i="7"/>
  <c r="H43" i="7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<sst xmlns="http://schemas.openxmlformats.org/spreadsheetml/2006/main" count="1556" uniqueCount="395">
  <si>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</si>
  <si>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</si>
  <si>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</si>
  <si>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</si>
  <si>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</si>
  <si>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</si>
  <si>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</si>
  <si>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</si>
  <si>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</si>
  <si>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</si>
  <si>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</si>
  <si>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</si>
  <si>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</si>
  <si>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</si>
  <si>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</si>
  <si>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</si>
  <si>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</si>
  <si>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</si>
  <si>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</si>
  <si>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</si>
  <si>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</si>
  <si>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</si>
  <si>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</si>
  <si>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</si>
  <si>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</si>
  <si>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</si>
  <si>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</si>
  <si>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</si>
  <si>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</si>
  <si>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</si>
  <si>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</si>
  <si>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</si>
  <si>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</si>
  <si>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</si>
  <si>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</si>
  <si>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</si>
  <si>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</si>
  <si>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</si>
  <si>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</si>
  <si>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</si>
  <si>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</si>
  <si>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</si>
  <si>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</si>
  <si>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</si>
  <si>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</si>
  <si>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</si>
  <si>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</si>
  <si>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</si>
  <si>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</si>
  <si>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</si>
  <si>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</si>
  <si>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</si>
  <si>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</si>
  <si>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</si>
  <si>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</si>
  <si>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</si>
  <si>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</si>
  <si>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</si>
  <si>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</si>
  <si>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</si>
  <si>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</si>
  <si>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</si>
  <si>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</si>
  <si>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</si>
  <si>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</si>
  <si>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</si>
  <si>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</si>
  <si>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</si>
  <si>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</si>
  <si>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</si>
  <si>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</si>
  <si>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</si>
  <si>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</si>
  <si>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</si>
  <si>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</si>
  <si>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</si>
  <si>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</si>
  <si>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</si>
  <si>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</si>
  <si>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</si>
  <si>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</si>
  <si>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</si>
  <si>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</si>
  <si>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</si>
  <si>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</si>
  <si>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</si>
  <si>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</si>
  <si>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</si>
  <si>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</si>
  <si>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</si>
  <si>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</si>
  <si>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</si>
  <si>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</si>
  <si>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</si>
  <si>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</si>
  <si>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</si>
  <si>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</si>
  <si>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</si>
  <si>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</si>
  <si>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</si>
  <si>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</si>
  <si>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</si>
  <si>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</si>
  <si>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</si>
  <si>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</si>
  <si>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</si>
  <si>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</si>
  <si>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</si>
  <si>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</si>
  <si>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</si>
  <si>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</si>
  <si>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</si>
  <si>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</si>
  <si>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</si>
  <si>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</si>
  <si>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</si>
  <si>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</si>
  <si>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</si>
  <si>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</si>
  <si>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</si>
  <si>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</si>
  <si>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</si>
  <si>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</si>
  <si>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</si>
  <si>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</si>
  <si>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</si>
  <si>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</si>
  <si>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</si>
  <si>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</si>
  <si>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</si>
  <si>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</si>
  <si>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</si>
  <si>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</si>
  <si>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</si>
  <si>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</si>
  <si>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</si>
  <si>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</si>
  <si>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</si>
  <si>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</si>
  <si>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</si>
  <si>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B. Relief withdrawn equals cost × 30% (or original % relief if lower)</t>
  </si>
  <si>
    <t>C. All income tax relief is withdrawn on any disposal, regardless of proceeds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</si>
  <si>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</si>
  <si>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</si>
  <si>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</si>
  <si>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</si>
  <si>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</si>
  <si>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</si>
  <si>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</si>
  <si>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</si>
  <si>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</si>
  <si>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</si>
  <si>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</si>
  <si>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</si>
  <si>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</si>
  <si>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</si>
  <si>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</si>
  <si>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</si>
  <si>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</si>
  <si>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</si>
  <si>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</si>
  <si>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</si>
  <si>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</si>
  <si>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</si>
  <si>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</si>
  <si>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</si>
  <si>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</si>
  <si>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</si>
  <si>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</si>
  <si>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</si>
  <si>
    <t>Personal service companies and IR35</t>
  </si>
  <si>
    <t>psc;ir35;employment_status</t>
  </si>
  <si>
    <t>PSC</t>
  </si>
  <si>
    <t>Which is the key tax/NIC driver for using a personal service company (PSC) rather than being a normal employee?</t>
  </si>
  <si>
    <t>A. More generous expense deduction rules and lower NIC rates can apply to self-employment</t>
  </si>
  <si>
    <t>B. Corporation tax is always higher than income tax so PSCs increase tax</t>
  </si>
  <si>
    <t>C. Dividends are taxed as employment income with Class 1 NIC</t>
  </si>
  <si>
    <t>D. The client must always operate PAYE regardless of size</t>
  </si>
  <si>
    <t>E. Employment allowance can be used to cover the PSC’s employer NIC</t>
  </si>
  <si>
    <t>A PSC structure is used because (as self-employed/through company) expenses can be more generous and NIC can be lower; profits may be taxed at corporation tax rates and extracted as dividends (no NIC). Distractors: B[wrong_direction], C[term_confusion], D[exception_as_rule], E[exception_as_rule].</t>
  </si>
  <si>
    <t>ir35;small_entity;deemed_salary</t>
  </si>
  <si>
    <t>Where a PSC provides services to a small entity and IR35 applies (per your notes), which statement is correct?</t>
  </si>
  <si>
    <t>C. Employment allowance can be used to offset employer NIC on the deemed salary</t>
  </si>
  <si>
    <t>D. Dividends are taxed twice: once as dividends and again as deemed salary</t>
  </si>
  <si>
    <t>E. The client must issue an SDS with a 45-day challenge process</t>
  </si>
  <si>
    <t>For small entities (per your notes): a deemed salary is calculated; IT and NIC are paid on the deemed salary, not dividends; employment allowance cannot be used; dividends form part of the deemed salary (so not taxed separately as dividends). Distractors: B[wrong_direction], C[exception_as_rule], D[exception_as_rule], E[same_family].</t>
  </si>
  <si>
    <t>ir35;sds;ddp;medium_large_entity</t>
  </si>
  <si>
    <t>For services provided by a PSC to a medium or large entity (per your notes), who determines whether IR35 applies and what document is issued?</t>
  </si>
  <si>
    <t>B. The PSC determines status and issues an SDS to the client</t>
  </si>
  <si>
    <t>C. HMRC determines status and issues an SDS to both parties</t>
  </si>
  <si>
    <t>E. The PSC determines status and issues a 45-day DDP notice</t>
  </si>
  <si>
    <t>Per your notes: for medium/large entities, the client determines whether IR35 applies and issues an SDS with reasons; the individual can challenge and the client must respond within 45 days. Distractors: B[term_confusion], C[exception_as_rule], D[exception_as_rule], E[term_confusion].</t>
  </si>
  <si>
    <t>Small entity + IR35 applies: the PSC must calculate a {gap1}; {gap2} cannot be used; dividends {gap3} the deemed salary and are {gap4} taxed as dividends; and the deemed salary is deemed paid on the {gap5} of the tax year.</t>
  </si>
  <si>
    <t>["deemed salary", "deemed direct payment (DDP)", "P11D benefit"]</t>
  </si>
  <si>
    <t>deemed salary</t>
  </si>
  <si>
    <t>["employment allowance", "personal allowance", "annual investment allowance"]</t>
  </si>
  <si>
    <t>employment allowance</t>
  </si>
  <si>
    <t>["form part of", "are ignored in", "increase"]</t>
  </si>
  <si>
    <t>form part of</t>
  </si>
  <si>
    <t>["not", "still", "partly"]</t>
  </si>
  <si>
    <t>not</t>
  </si>
  <si>
    <t>["last day", "first day", "90th day"]</t>
  </si>
  <si>
    <t>last day</t>
  </si>
  <si>
    <t>Per your notes for small entities: a deemed salary is calculated; employment allowance cannot be used; dividends form part of the deemed salary and are not taxed separately as dividends; deemed salary is treated as paid on the last day of the tax year.</t>
  </si>
  <si>
    <t>ir35;medium_large_entity;sds;ddp</t>
  </si>
  <si>
    <t>Medium/large entity + IR35 applies: the {gap1} determines status and issues an {gap2}. The individual may challenge, and the client has {gap3} days to respond. The deemed direct payment is taxed like employment income, and to avoid double tax the {gap4} is deducted before computing further IT/NIC when the PSC later pays salary/dividends.</t>
  </si>
  <si>
    <t>["client", "PSC", "HMRC"]</t>
  </si>
  <si>
    <t>client</t>
  </si>
  <si>
    <t>["SDS", "P45", "CT600"]</t>
  </si>
  <si>
    <t>SDS</t>
  </si>
  <si>
    <t>["45", "30", "60"]</t>
  </si>
  <si>
    <t>["DDP", "dividend voucher", "corporation tax"]</t>
  </si>
  <si>
    <t>DDP</t>
  </si>
  <si>
    <t>Per your notes: for medium/large entities the client determines IR35 and issues an SDS; there is a 45-day challenge/response window; the DDP is taxed like employment and is deducted to prevent double taxation when PSC later remunerates the individual.</t>
  </si>
  <si>
    <t>psc;ir35;sds;ddp</t>
  </si>
  <si>
    <t>Medium/large PSC IR35 process</t>
  </si>
  <si>
    <t>Drag the lines into the correct order describing the IR35 process for services provided by a PSC to a medium or large entity (whole-line matching only).</t>
  </si>
  <si>
    <t>["1","2","3","4","5","6"]</t>
  </si>
  <si>
    <t>["S1","S2","S3","S4","S5","S6"]</t>
  </si>
  <si>
    <t>[{"line_id":"S1","text":"Client determines whether IR35 rules apply (medium/large entity engagement)","is_distractor":false},{"line_id":"S2","text":"Client issues a Status Determination Statement (SDS) with reasons" ,"is_distractor":false},{"line_id":"S3","text":"Individual can challenge the SDS before final payment; client must respond within 45 days" ,"is_distractor":false},{"line_id":"S4","text":"Client operates PAYE/NIC on the deemed direct payment (DDP) as if PSC were a direct employee" ,"is_distractor":false},{"line_id":"S5","text":"PSC receives the fee net of tax withheld by the client; the net fee is non-taxable to PSC" ,"is_distractor":false},{"line_id":"S6","text":"When PSC later pays salary/dividends, remuneration is free of PAYE/NIC up to the level of the DDP (to avoid double taxation)" ,"is_distractor":false},{"line_id":"D1","text":"PSC determines IR35 status and issues the SDS to the client" ,"is_distractor":true},{"line_id":"D2","text":"Employment allowance can be used to offset employer NIC on the DDP" ,"is_distractor":true}]</t>
  </si>
  <si>
    <t>This sequence matches your notes: for medium/large entities the client determines status and issues an SDS (with a 45-day challenge window), operates PAYE/NIC on the DDP, and the DDP is used to prevent double taxation when the PSC later remunerates the individual.</t>
  </si>
  <si>
    <t>Employee share schemes (SAYE / CSOP / EMI / SIP)</t>
  </si>
  <si>
    <t>saye;share_schemes</t>
  </si>
  <si>
    <t>SHS</t>
  </si>
  <si>
    <t>Which statement correctly describes SAYE (Save As You Earn) per your notes?</t>
  </si>
  <si>
    <t>A. Employees save £5–£500 per month for 3 or 5 years; no IT/NIC on grant/exercise; at maturity they can take cash tax-free or buy shares, with CGT on sale</t>
  </si>
  <si>
    <t>B. Selected employees are granted options up to £60,000 which must be exercised 3–10 years after grant</t>
  </si>
  <si>
    <t>C. SAYE must be offered only to full-time directors and key employees</t>
  </si>
  <si>
    <t>D. SAYE savings must be invested in employer shares throughout the term</t>
  </si>
  <si>
    <t>E. SAYE gives CGT-free disposal of shares if held 3 years</t>
  </si>
  <si>
    <t>SAYE involves fixed monthly savings (£5–£500) for 3 or 5 years; no IT/NIC on grant/exercise; on completion, cash can be taken with no IT/NIC or shares can be purchased; CGT applies on subsequent sale. Distractors: B[same_family], C[wrong_direction], D[term_confusion], E[exception_as_rule].</t>
  </si>
  <si>
    <t>csop;share_options</t>
  </si>
  <si>
    <t>For a CSOP (Company Share Option Plan), which rule is correct per your notes?</t>
  </si>
  <si>
    <t>B. Options may be exercised at any time provided the option price is below market value</t>
  </si>
  <si>
    <t>C. Anyone who held over 30% of any company in the last 12 months can participate</t>
  </si>
  <si>
    <t>D. Maximum grant is £250,000 per employee</t>
  </si>
  <si>
    <t>Your notes: CSOP options must be exercised between 3–10 years; shares must be fully paid ordinary; option price at grant must be at least MV; options not transferable; &gt;30% close company holders in previous 12 months excluded; max options £60,000. Distractors: B[wrong_direction], C[exception_as_rule], D[same_family], E[same_family].</t>
  </si>
  <si>
    <t>emi;discount;nic</t>
  </si>
  <si>
    <t>Under EMI, when can an income tax (and possibly NIC) charge arise at exercise per your notes?</t>
  </si>
  <si>
    <t>B. Always at exercise, because EMI options are taxed as employment income</t>
  </si>
  <si>
    <t>D. Only if the company has gross assets above £30m at grant</t>
  </si>
  <si>
    <t>E. Never at exercise; only CGT applies regardless of pricing</t>
  </si>
  <si>
    <t>Your notes: EMI has no IT/NIC at grant or exercise unless issued at a discount to MV at grant; then at exercise IT (and NIC if listed) is on the lower of discount vs MV at exercise and the price paid. Distractors: B[exception_as_rule], C[term_confusion], D[threshold_swap], E[wrong_direction].</t>
  </si>
  <si>
    <t>csop;emi;limits</t>
  </si>
  <si>
    <t>Fill in the limits/timings: Under CSOP the max option value per employee is {gap1} and options must be exercised between {gap2} and {gap3} years. Under EMI, the employee limit is {gap4} and the total company grant limit is {gap5}.</t>
  </si>
  <si>
    <t>["£60,000", "£250,000", "£200,000"]</t>
  </si>
  <si>
    <t>["3", "5", "1"]</t>
  </si>
  <si>
    <t>["10", "5", "3"]</t>
  </si>
  <si>
    <t>["£250,000", "£60,000", "£3,000,000"]</t>
  </si>
  <si>
    <t>["£3,000,000", "£30,000,000", "£60,000"]</t>
  </si>
  <si>
    <t>Per your notes: CSOP limit £60,000 and exercise window 3–10 years. EMI limits: £250,000 per employee and £3m total company grant.</t>
  </si>
  <si>
    <t>sip;hold_period;withdrawal</t>
  </si>
  <si>
    <t>SIP withdrawal charges: If shares are held in the SIP for more than {gap1} years, there is no IT or NIC on withdrawal. If held for less than {gap2} years, IT and NIC are based on {gap3} at withdrawal. If held between {gap4} and {gap5} years, the IT/NIC charge is based on the lower of MV at award vs MV at withdrawal.</t>
  </si>
  <si>
    <t>["5", "3", "10"]</t>
  </si>
  <si>
    <t>["3", "5", "18 months"]</t>
  </si>
  <si>
    <t>["market value", "original subscription cost", "option price"]</t>
  </si>
  <si>
    <t>market value</t>
  </si>
  <si>
    <t>["3", "5", "10"]</t>
  </si>
  <si>
    <t>["5", "10", "18 months"]</t>
  </si>
  <si>
    <t>Per your notes: SIP &gt;5 years: no IT/NIC on taking shares out. &lt;3 years: IT/NIC based on market value at withdrawal. 3–5 years: IT/NIC based on the lower of MV at award and MV at withdrawal.</t>
  </si>
  <si>
    <t>C</t>
  </si>
  <si>
    <t>E</t>
  </si>
  <si>
    <t>B</t>
  </si>
  <si>
    <t>D</t>
  </si>
  <si>
    <t>IR35 deemed salary proforma</t>
  </si>
  <si>
    <t>Drag the lines into the correct order to build the IR35 deemed salary proforma for PSC providing services to a small company. Whole-line matching only.</t>
  </si>
  <si>
    <t>Drag the lines into the correct order for calculating the deemed direct payment for services provided by a PSC to a medium or large entity (whole-line matching only).</t>
  </si>
  <si>
    <t>["1","2","3","4"]</t>
  </si>
  <si>
    <t>["S1","S2","S3","S4"]</t>
  </si>
  <si>
    <t>[{"line_id":"S1","text":"Payment for services (net VAT)","is_distractor":false},{"line_id":"S2","text":"(Direct cost of materials)" ,"is_distractor":false},{"line_id":"S3","text":"Allowable expenses" ,"is_distractor":false},{"line_id":"S4","text":"Deemed direct payment (DDP)" ,"is_distractor":false},{"line_id":"D1","text":"(Statutory 5%)" ,"is_distractor":true},{"line_id":"D2","text":"Employer's NIC 13.8/113.8" ,"is_distractor":true}]</t>
  </si>
  <si>
    <t>Client will withold income tax and Class 1 Employee NICs on DDP as if the individual was an employee. PSC receives fee net of tax and drawings are net of tax up to the limit of the DDP</t>
  </si>
  <si>
    <t>A. No income tax relief is withdrawn if the shares are sold at a loss</t>
  </si>
  <si>
    <t>D. Relief withdrawn equals proceeds × 30% (or original % relief if lower)</t>
  </si>
  <si>
    <t>A. VCT dividends are tax-free but gains are only exempt if shares are held for 5 years; losses are not allowable</t>
  </si>
  <si>
    <t>E. VCT dividends are tax-free and gains on disposal (new issues or secondary purchases) are exempt; losses are not allowable</t>
  </si>
  <si>
    <t>A. The individual remains taxed on dividends and pays no NIC if IR35 applies</t>
  </si>
  <si>
    <t>B. A deemed salary is calculated and the individual is taxed on this (IT + NIC) rather than dividends</t>
  </si>
  <si>
    <t>A. The client determines status but no SDS is required</t>
  </si>
  <si>
    <t>D. The client determines status and issues a Status Determination Statement (SDS)</t>
  </si>
  <si>
    <t>A. CSOP must be open to all employees on similar terms</t>
  </si>
  <si>
    <t>E. Options must be exercised between 3 and 10 years after grant</t>
  </si>
  <si>
    <t>A. Only if the employee works fewer than 25 hours per week</t>
  </si>
  <si>
    <t>Employee share schemes terminology</t>
  </si>
  <si>
    <t>share_options;terminology</t>
  </si>
  <si>
    <t>Match the terms to the definitions: Grant = {gap1}; Exercise = {gap2}; Disposal = {gap3}.</t>
  </si>
  <si>
    <t>["date the right to buy starts","date employee buys the shares","date employee sells the shares"]</t>
  </si>
  <si>
    <t>date the right to buy starts</t>
  </si>
  <si>
    <t>["date employee buys the shares","date employee sells the shares","date the right to buy starts"]</t>
  </si>
  <si>
    <t>date employee buys the shares</t>
  </si>
  <si>
    <t>["date employee sells the shares","date employee buys the shares","date the right to buy starts"]</t>
  </si>
  <si>
    <t>date employee sells the shares</t>
  </si>
  <si>
    <t>Grant is when the option is granted (right to buy starts), exercise is when the employee buys the shares, and disposal is when the employee sells the shares.</t>
  </si>
  <si>
    <t>EMI scheme rules (company)</t>
  </si>
  <si>
    <t>emi;company_rules</t>
  </si>
  <si>
    <t>EMI</t>
  </si>
  <si>
    <t>For EMI eligibility, what is the maximum gross assets limit for the company (per your notes)?</t>
  </si>
  <si>
    <t>A. Less than £30m</t>
  </si>
  <si>
    <t>B. Less than £3m</t>
  </si>
  <si>
    <t>C. Less than £60k</t>
  </si>
  <si>
    <t>D. Less than £250k</t>
  </si>
  <si>
    <t>E. No gross asset limit applies</t>
  </si>
  <si>
    <t>Per your notes, an EMI company can be listed but must have gross assets of less than £30m. Distractors: B[same_family], C[threshold_swap], D[threshold_swap], E[exception_as_rule].</t>
  </si>
  <si>
    <t>Which statement about a company’s listing status for EMI is correct (per your notes)?</t>
  </si>
  <si>
    <t>A. The company must be unlisted to qualify for EMI</t>
  </si>
  <si>
    <t>B. The company can be listed, provided other EMI conditions (including gross assets &lt; £30m) are met</t>
  </si>
  <si>
    <t>C. The company can only be AIM-listed, not fully listed</t>
  </si>
  <si>
    <t>D. Listing automatically disqualifies EMI regardless of gross assets</t>
  </si>
  <si>
    <t>E. Listing is allowed only if the company has fewer than 30 employees</t>
  </si>
  <si>
    <t>Your notes state the company can be listed, but must meet conditions including gross assets &lt; £30m. Distractors: B[exception_as_rule], C[term_confusion], D[wrong_direction], E[threshold_swap].</t>
  </si>
  <si>
    <t>For EMI eligibility, which employee headcount condition applies to the company (per your notes)?</t>
  </si>
  <si>
    <t>A. No more than 75% of employees can be part-time</t>
  </si>
  <si>
    <t>B. Fewer than 30 employees</t>
  </si>
  <si>
    <t>C. Fewer than 250 employees</t>
  </si>
  <si>
    <t>D. Exactly 250 employees or fewer</t>
  </si>
  <si>
    <t>E. Fewer than 18 months average service</t>
  </si>
  <si>
    <t>Per your notes, the company must have less than 250 employees. Distractors: B[threshold_swap], C[term_confusion], D[threshold_swap], E[term_confusion].</t>
  </si>
  <si>
    <t>Which UK presence requirement must the company meet for EMI (per your notes)?</t>
  </si>
  <si>
    <t>A. It must have a UK listing</t>
  </si>
  <si>
    <t>B. It must be incorporated in the UK</t>
  </si>
  <si>
    <t>C. It must have a UK resident board majority</t>
  </si>
  <si>
    <t>D. It must have a permanent establishment in the UK</t>
  </si>
  <si>
    <t>E. It must have at least 250 UK employees</t>
  </si>
  <si>
    <t>Your notes specify a permanent establishment in the UK. Distractors: B[term_confusion], C[exception_as_rule], D[term_confusion], E[threshold_swap].</t>
  </si>
  <si>
    <t>Which control condition must be satisfied for an EMI company (per your notes)?</t>
  </si>
  <si>
    <t>A. The company must be a close company</t>
  </si>
  <si>
    <t>B. The company must be a subsidiary of a listed parent</t>
  </si>
  <si>
    <t>C. The company must be controlled by UK resident shareholders</t>
  </si>
  <si>
    <t>D. The company must be controlled by employees participating in EMI</t>
  </si>
  <si>
    <t>E. The company must not be under the control of another company</t>
  </si>
  <si>
    <t>Per your notes, the company must not be under control of another company. Distractors: B[wrong_direction], C[exception_as_rule], D[exception_as_rule], E[term_confusion].</t>
  </si>
  <si>
    <t>EMI scheme rules (employees)</t>
  </si>
  <si>
    <t>emi;employee_rules</t>
  </si>
  <si>
    <t>Which working-time condition applies to employees for EMI eligibility (per your notes)?</t>
  </si>
  <si>
    <t>A. Any hours qualify provided the employee is full-time</t>
  </si>
  <si>
    <t>B. At least 18 hours per week, or if less, at least 50% of their working time</t>
  </si>
  <si>
    <t>C. At least 30 hours per week with no percentage alternative</t>
  </si>
  <si>
    <t>D. At least 25 hours per month, or 75% of annual working time</t>
  </si>
  <si>
    <t>E. At least 25 hours per week, or if less, at least 75% of their working time</t>
  </si>
  <si>
    <t>Your notes: employee must work at least 25 hours per week or, if less, at least 75% of their working time. Distractors: B[threshold_swap], C[exception_as_rule], D[term_confusion], E[exception_as_rule].</t>
  </si>
  <si>
    <t>Which ownership condition excludes an employee from EMI (per your notes)?</t>
  </si>
  <si>
    <t>A. Being a director of the company</t>
  </si>
  <si>
    <t>B. Owning more than 25% of the company’s ordinary shares</t>
  </si>
  <si>
    <t>C. Owning any shares at all in the company</t>
  </si>
  <si>
    <t>D. Owning more than 30% of the company’s ordinary shares</t>
  </si>
  <si>
    <t>E. Owning more than 30% of preference shares only</t>
  </si>
  <si>
    <t>Per your notes, employees who own &gt;30% of ordinary shares are excluded. Distractors: B[threshold_swap], C[exception_as_rule], D[term_confusion], E[term_confusion].</t>
  </si>
  <si>
    <t>EMI scheme rules (shares)</t>
  </si>
  <si>
    <t>emi;share_conditions</t>
  </si>
  <si>
    <t>For EMI, what type of shares must the options relate to (per your notes)?</t>
  </si>
  <si>
    <t>A. Preference shares provided they are fully paid</t>
  </si>
  <si>
    <t>B. Redeemable ordinary shares that may be forfeited if targets are missed</t>
  </si>
  <si>
    <t>C. Fully paid up, irredeemable ordinary shares with no restrictions on sale, forfeiture, or performance</t>
  </si>
  <si>
    <t>D. Ordinary shares that can have performance restrictions</t>
  </si>
  <si>
    <t>E. Any shares in the group, including restricted shares</t>
  </si>
  <si>
    <t>Your notes require fully paid up irredeemable ordinary shares with no restrictions on sale, forfeiture, or performance. Distractors: B[wrong_direction], C[term_confusion], D[exception_as_rule], E[exception_as_rule].</t>
  </si>
  <si>
    <t>EMI scheme rules (limits)</t>
  </si>
  <si>
    <t>emi;limits</t>
  </si>
  <si>
    <t>What is the maximum EMI value an individual employee can hold (per your notes)?</t>
  </si>
  <si>
    <t>A. £60,000</t>
  </si>
  <si>
    <t>B. £250,000</t>
  </si>
  <si>
    <t>C. £200,000</t>
  </si>
  <si>
    <t>D. £3,000,000</t>
  </si>
  <si>
    <t>E. £30,000,000</t>
  </si>
  <si>
    <t>Per your notes, an employee can hold a maximum EMI of £250,000. Distractors: B[same_family], C[threshold_swap], D[same_family], E[same_family].</t>
  </si>
  <si>
    <t>What is the total maximum EMI that a company can grant (per your notes)?</t>
  </si>
  <si>
    <t>A. £3,000,000</t>
  </si>
  <si>
    <t>C. £60,000</t>
  </si>
  <si>
    <t>D. £30,000,000</t>
  </si>
  <si>
    <t>E. Unlimited, provided each employee stays under £250,000</t>
  </si>
  <si>
    <t>Your notes state the company can grant up to £3m in total. Distractors: B[same_family], C[same_family], D[threshold_swap], E[exception_as_rule].</t>
  </si>
  <si>
    <t>If the EMI limits are reached, what restriction applies next (per your notes)?</t>
  </si>
  <si>
    <t>A. EMI can still be granted but only to new employees</t>
  </si>
  <si>
    <t>B. No more EMI can be granted for five years</t>
  </si>
  <si>
    <t>C. No more EMI can be granted for three years</t>
  </si>
  <si>
    <t>D. EMI can be granted only if the company becomes unlisted</t>
  </si>
  <si>
    <t>E. EMI can be granted only up to £60,000 per employee</t>
  </si>
  <si>
    <t>Per your notes: once at the limit, no more EMI can be granted for three years. Distractors: B[threshold_swap], C[exception_as_rule], D[term_confusion], E[same_family].</t>
  </si>
  <si>
    <t>emi;limits;interaction</t>
  </si>
  <si>
    <t>How do other option schemes interact with EMI limits (per your notes)?</t>
  </si>
  <si>
    <t>A. Only SIP participation reduces the EMI limit</t>
  </si>
  <si>
    <t>B. SAYE reduces the EMI limit; CSOP does not</t>
  </si>
  <si>
    <t>C. Both CSOP and SAYE reduce the EMI limit</t>
  </si>
  <si>
    <t>D. Neither CSOP nor SAYE affects the EMI limit</t>
  </si>
  <si>
    <t>E. CSOP options reduce the EMI limit; SAYE does not</t>
  </si>
  <si>
    <t>Your notes: CSOP options reduce the EMI limit, while SAYE does not. Distractors: B[wrong_direction], C[exception_as_rule], D[exception_as_rule], E[term_confusion].</t>
  </si>
  <si>
    <t>Income tax payable computation (individual)</t>
  </si>
  <si>
    <t>it-computation</t>
  </si>
  <si>
    <t>image-proforma</t>
  </si>
  <si>
    <t>ITCOMP</t>
  </si>
  <si>
    <t>Drag each line into the correct order to build the full income tax payable computation.</t>
  </si>
  <si>
    <t>["1","2","3","4","5","6","7","8","9","10","11","12","13","14","15","16","17","18","19","20","21","22","23","24","25","26","27","28","29","30","31"]</t>
  </si>
  <si>
    <t>["S1","S2","S3","S4","S5","S6","S7","S8","S9","S10","S11","S12","S13","S14","S15","S16","S17","S18","S19","S20","S21","S22","S23","S24","S25","S26","S27","S28","S29","S30","S31"]</t>
  </si>
  <si>
    <t>Includes every line from the image (chapter references omitted). Distractors: CGT [same_family] and NICs [term_confusion] are plausible but not part of the income tax payable line-by-line computation.</t>
  </si>
  <si>
    <t>C. If shares were issued at a discount to market value at grant and company is listed</t>
  </si>
  <si>
    <t>[{"line_id":"S23","text":"Income tax on DI (0/8.75/33.75/39.35%)","is_distractor":false},{"line_id":"S6","text":"Bank interest received","is_distractor":false},{"line_id":"S31","text":"Less tax deducted at source (PAYE/ trust tax credits/ certain interest/ REITs (20%))","is_distractor":false},{"line_id":"S3","text":"Overseas property business income","is_distractor":false},{"line_id":"S26","text":"- EIS/SEIS/VCT","is_distractor":false},{"line_id":"S14","text":"Total Income","is_distractor":false},{"line_id":"S10","text":"Interest in possession trust income","is_distractor":false},{"line_id":"S28","text":"- Property business income finance costs","is_distractor":false},{"line_id":"S21","text":"Income tax on NSI (20/40/+45%)","is_distractor":false},{"line_id":"D1","text":"Capital gains tax payable","is_distractor":true},{"line_id":"S32","text":"IT payable","is_distractor":false},{"line_id":"S18","text":"Net Income (NI)","is_distractor":false},{"line_id":"S8","text":"Dividends received","is_distractor":false},{"line_id":"S4","text":"Interest from o/seas securities","is_distractor":false},{"line_id":"S16","text":"Net Income before losses","is_distractor":false},{"line_id":"S2","text":"Employment income","is_distractor":false},{"line_id":"S19","text":"Less personal allowance (PA)","is_distractor":false},{"line_id":"S7","text":"Interest on gilts/bonds etc","is_distractor":false},{"line_id":"S27","text":"- Marriage allowance","is_distractor":false},{"line_id":"S20","text":"Taxable Income","is_distractor":false},{"line_id":"S11","text":"- From NSI or SI (×100/80)" ,"is_distractor":false},{"line_id":"S1","text":"Trading income","is_distractor":false},{"line_id":"S9","text":"Discretionary trust income (×100/55)" ,"is_distractor":false},{"line_id":"S22","text":"Income tax on SI (0/20/40/+45%)","is_distractor":false},{"line_id":"S29","text":"Less DTR","is_distractor":false},{"line_id":"S24","text":"Annual allowance charge on excess pension contributions","is_distractor":false},[{"line_id":"S30","text":"Income tax liability)","is_distractor":false},{"line_id":"S25","text":"Less tax reducers:","is_distractor":false},{"line_id":"S17","text":"Losses","is_distractor":false},{"line_id":"S15","text":"Less qualifying interest","is_distractor":false},{"line_id":"S5","text":"Dividends from o/seas securities","is_distractor":false},{"line_id":"S13","text":"UK property business income (REIT x 100/80","is_distractor":false},{"line_id":"S12","text":"- From DI (×100/91.25)" ,"is_distractor":false},{"line_id":"D2","text":"Less Class 4 NIC","is_distractor":true}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</si>
</sst>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6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top" wrapText="1"/>
    </xf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111" dataDxfId="110">
  <tableColumns count="22">
    <tableColumn id="1" xr3:uid="{3143F177-F819-460E-B2A9-7D5DF7E40EF8}" name="question_id" dataDxfId="109">
      <calculatedColumnFormula>IF(M2="","",M2&amp;"_"&amp;TEXT(N2,"000"))</calculatedColumnFormula>
    </tableColumn>
    <tableColumn id="2" xr3:uid="{590E99E6-E7E0-4850-B349-788F35665CFB}" name="topic" dataDxfId="108"/>
    <tableColumn id="3" xr3:uid="{0E1102D9-5102-4F5F-94D2-8CDF0342B713}" name="component" dataDxfId="107"/>
    <tableColumn id="4" xr3:uid="{53167456-D2D6-46F5-902F-E25B72847760}" name="subtopic" dataDxfId="106"/>
    <tableColumn id="5" xr3:uid="{4A660E62-FD15-4B74-8FBC-1B8A2BAB6305}" name="question_type" dataDxfId="105"/>
    <tableColumn id="6" xr3:uid="{039025CC-846C-46D7-B1D9-63E3BAF69C9A}" name="difficulty" dataDxfId="104"/>
    <tableColumn id="7" xr3:uid="{996F048C-5FD0-410B-88A3-192D3E6417E2}" name="priority" dataDxfId="103"/>
    <tableColumn id="8" xr3:uid="{EECF5330-4BBC-4ED3-B9D0-64317766CBE4}" name="active" dataDxfId="102"/>
    <tableColumn id="9" xr3:uid="{CBAF624D-83AD-45AD-8500-A2E7B1F24794}" name="tags" dataDxfId="101"/>
    <tableColumn id="10" xr3:uid="{95517BC8-09AC-46E6-AF79-F48569B6E3B4}" name="source_ref" dataDxfId="100"/>
    <tableColumn id="11" xr3:uid="{0ADA81E5-57A0-454C-BA26-289888F2A40C}" name="version" dataDxfId="99"/>
    <tableColumn id="12" xr3:uid="{91DFC1B0-44F2-4CAB-869F-2A1536A924E3}" name="subtopic_code" dataDxfId="98"/>
    <tableColumn id="13" xr3:uid="{DD40E926-33DD-466F-A912-E8459B494AEC}" name="id_prefix" dataDxfId="97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96">
      <calculatedColumnFormula>IF(M2="","",COUNTIF($M$2:M2,M2))</calculatedColumnFormula>
    </tableColumn>
    <tableColumn id="15" xr3:uid="{1078EC50-F43B-43D7-97FF-5DF911C915E9}" name="prompt" dataDxfId="95"/>
    <tableColumn id="16" xr3:uid="{09037EB0-2F5E-423E-A0B0-A6FA96AAD55C}" name="option_a" dataDxfId="94"/>
    <tableColumn id="17" xr3:uid="{15DBBA40-E39C-49BC-A29D-15E22618204B}" name="option_b" dataDxfId="93"/>
    <tableColumn id="18" xr3:uid="{0DD51665-D870-4BD5-AE89-AC0E7B104E33}" name="option_c" dataDxfId="92"/>
    <tableColumn id="19" xr3:uid="{F03E2272-D332-4A35-A9A4-1207B0516B62}" name="option_d" dataDxfId="91"/>
    <tableColumn id="20" xr3:uid="{2094478F-A251-4AEF-8340-6DC80238A2B4}" name="option_e" dataDxfId="90"/>
    <tableColumn id="21" xr3:uid="{C7639FD0-0BCA-4C05-B93C-0446381E2D4C}" name="correct_option" dataDxfId="89"/>
    <tableColumn id="22" xr3:uid="{F4B67840-87C2-4942-BF58-96478C0C83A8}" name="explanation" dataDxfId="8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87" dataDxfId="86">
  <autoFilter ref="A1:AC169" xr:uid="{F0BC66BE-4E93-4072-A344-FDCACD8C00F6}"/>
  <tableColumns count="29">
    <tableColumn id="1" xr3:uid="{3B955206-414A-482E-8FC0-84A96C4CF49D}" name="question_id" dataDxfId="85">
      <calculatedColumnFormula>IF(M2="","",M2&amp;"_"&amp;TEXT(N2,"000"))</calculatedColumnFormula>
    </tableColumn>
    <tableColumn id="2" xr3:uid="{53027823-F0F6-4E94-8AA1-7C6222262D18}" name="topic" dataDxfId="84"/>
    <tableColumn id="3" xr3:uid="{FD05D5D8-FEA8-48A4-A203-0640D7E619F3}" name="component" dataDxfId="83"/>
    <tableColumn id="4" xr3:uid="{6C2A5CA5-1F90-40D0-A5FA-2742635ABD9A}" name="subtopic" dataDxfId="82"/>
    <tableColumn id="5" xr3:uid="{2B0B69B7-AE58-4CB1-B966-1041649BA116}" name="question_type" dataDxfId="81"/>
    <tableColumn id="6" xr3:uid="{C38B8210-1ACE-45F9-9CAE-F367DA3457ED}" name="difficulty" dataDxfId="80"/>
    <tableColumn id="7" xr3:uid="{53156DAB-1E60-4E68-A9F0-DEDD057BE1AC}" name="priority" dataDxfId="79"/>
    <tableColumn id="8" xr3:uid="{1A85DF8A-ED45-47D7-A6CE-49487F67719B}" name="active" dataDxfId="78"/>
    <tableColumn id="9" xr3:uid="{69D5925E-FDC6-4D60-8287-CD87D72B5723}" name="tags" dataDxfId="77"/>
    <tableColumn id="10" xr3:uid="{0E5E2BA0-7572-4684-9AAE-4051BB319822}" name="source_ref" dataDxfId="76"/>
    <tableColumn id="11" xr3:uid="{B3ED8671-D7AC-48C1-917D-C7E1740038CA}" name="version" dataDxfId="75"/>
    <tableColumn id="12" xr3:uid="{45CE182C-3F25-456B-AAEF-C30193AACF0B}" name="subtopic_code" dataDxfId="74"/>
    <tableColumn id="13" xr3:uid="{78AA824C-B13F-429B-94FD-D39E31754843}" name="id_prefix" dataDxfId="73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72">
      <calculatedColumnFormula>IF(M2="","",COUNTIF($M$2:M2,M2))</calculatedColumnFormula>
    </tableColumn>
    <tableColumn id="15" xr3:uid="{9B2B78EF-2FEE-4BC0-A5FA-D4C2889E74AC}" name="prompt_template" dataDxfId="71"/>
    <tableColumn id="16" xr3:uid="{A8DA9CBD-4C5A-43D0-919E-806E91BEF2EC}" name="gap_count" dataDxfId="70"/>
    <tableColumn id="17" xr3:uid="{F27057E5-A92F-418A-9046-13198E5C9905}" name="choice_a" dataDxfId="69"/>
    <tableColumn id="18" xr3:uid="{E02B27C2-2A44-4E0C-BB94-33C75571BE39}" name="choice_b" dataDxfId="68"/>
    <tableColumn id="19" xr3:uid="{BE479B0C-524B-4C87-AA56-13D53F5D58D5}" name="gap1_correct" dataDxfId="67"/>
    <tableColumn id="20" xr3:uid="{FB5A250C-A156-41E2-8727-D9FA40DA2A74}" name="gap1_allow_repeat" dataDxfId="66"/>
    <tableColumn id="21" xr3:uid="{C7905FE7-BED4-4E80-837C-A5AFDEA02E55}" name="gap2_correct" dataDxfId="65"/>
    <tableColumn id="22" xr3:uid="{2BEB549B-37F9-46B5-B769-4E7075E6757F}" name="gap2_allow_repeat" dataDxfId="64"/>
    <tableColumn id="23" xr3:uid="{143FD944-31A1-40F2-A55D-2870E48C6692}" name="gap3_correct" dataDxfId="63"/>
    <tableColumn id="24" xr3:uid="{E4C97B71-682B-49DE-9CAA-066517D57069}" name="gap3_allow_repeat" dataDxfId="62"/>
    <tableColumn id="25" xr3:uid="{F5BF61B5-9AFD-48D4-9EAB-F4AED68F034F}" name="gap4_correct" dataDxfId="61"/>
    <tableColumn id="26" xr3:uid="{E77B49CD-93F0-4B8D-84D6-8F89A4EE54B3}" name="gap4_allow_repeat" dataDxfId="60"/>
    <tableColumn id="27" xr3:uid="{E73C4452-41C3-40FA-9EA3-93520038EF24}" name="gap5_correct" dataDxfId="59"/>
    <tableColumn id="28" xr3:uid="{67789CB9-B40B-4D48-9861-1F300F9603FA}" name="gap5_allow_repeat" dataDxfId="58"/>
    <tableColumn id="29" xr3:uid="{0524B72D-170D-4329-A999-A8626F98ECC5}" name="explanation" dataDxfId="5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56" dataDxfId="55">
  <autoFilter ref="A1:AG200" xr:uid="{E9B73698-D520-45DF-BE06-581F3140E2CF}"/>
  <tableColumns count="33">
    <tableColumn id="1" xr3:uid="{23420D1D-4A05-4D96-AC71-540C3566B6D4}" name="question_id" dataDxfId="54">
      <calculatedColumnFormula>IF(M2="","",M2&amp;"_"&amp;TEXT(N2,"000"))</calculatedColumnFormula>
    </tableColumn>
    <tableColumn id="2" xr3:uid="{DC8B6EB1-DEA7-4C27-ACC9-69DC66E4B88E}" name="topic" dataDxfId="53"/>
    <tableColumn id="3" xr3:uid="{9FF86C9D-41D3-4FA4-B52D-DE409BE4A75A}" name="component" dataDxfId="52"/>
    <tableColumn id="4" xr3:uid="{CF05BD93-E736-4B25-8614-DACA00DAE906}" name="subtopic" dataDxfId="51"/>
    <tableColumn id="5" xr3:uid="{3B32BF91-E453-4825-B02A-C9BC262C6501}" name="question_type" dataDxfId="50"/>
    <tableColumn id="6" xr3:uid="{C453CAE0-2DF7-4300-96BF-5974156B83E9}" name="difficulty" dataDxfId="49"/>
    <tableColumn id="7" xr3:uid="{B0E77438-C755-4693-AFFA-FE5BF50CA179}" name="priority" dataDxfId="48"/>
    <tableColumn id="8" xr3:uid="{BD79D28D-84B7-48E4-9C88-D55EFAAC128A}" name="active" dataDxfId="47"/>
    <tableColumn id="9" xr3:uid="{3600A004-FB06-48AA-A47D-E8E1DBCBBD75}" name="tags" dataDxfId="46"/>
    <tableColumn id="10" xr3:uid="{484D9A70-6E15-4F60-B434-8A4FB8281401}" name="source_ref" dataDxfId="45"/>
    <tableColumn id="11" xr3:uid="{EE94405E-C69D-448E-AC70-52FDAF43EBE9}" name="version" dataDxfId="44"/>
    <tableColumn id="12" xr3:uid="{EDE5DE77-4198-4D58-92AD-0C6FF2D96198}" name="subtopic_code" dataDxfId="43"/>
    <tableColumn id="13" xr3:uid="{7AB24E72-5B7E-414E-A308-A75760161DBB}" name="id_prefix" dataDxfId="42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41">
      <calculatedColumnFormula>IF(M2="","",COUNTIF($M$2:M2,M2))</calculatedColumnFormula>
    </tableColumn>
    <tableColumn id="15" xr3:uid="{D95D8A12-9CCC-4D04-88FC-E4C479D3FA48}" name="prompt_template" dataDxfId="40"/>
    <tableColumn id="16" xr3:uid="{DFEE9D8B-25D0-47D1-91CD-27BAF5A2B0C6}" name="gap_count" dataDxfId="39"/>
    <tableColumn id="17" xr3:uid="{4B54EDED-BB6C-4CF9-B4BD-77B72C1AE74B}" name="gap1_options" dataDxfId="38"/>
    <tableColumn id="18" xr3:uid="{18BD33FC-339C-4F30-A820-1E4DADAE51D5}" name="gap1_correct" dataDxfId="37"/>
    <tableColumn id="19" xr3:uid="{43A9E514-1D21-4695-925C-920775974EE5}" name="gap1_allow_repeat" dataDxfId="36"/>
    <tableColumn id="20" xr3:uid="{0C92276E-A5F9-4842-B3B7-DF3087088063}" name="gap2_options" dataDxfId="35"/>
    <tableColumn id="21" xr3:uid="{5406E7DC-2332-49A6-8E05-AA02BA020D80}" name="gap2_correct" dataDxfId="34"/>
    <tableColumn id="22" xr3:uid="{88025412-F321-4D67-AF51-1887302619F1}" name="gap2_allow_repeat" dataDxfId="33"/>
    <tableColumn id="23" xr3:uid="{D286A38F-0421-4573-AB37-656CD478776B}" name="gap3_options" dataDxfId="32"/>
    <tableColumn id="24" xr3:uid="{285479CE-E217-4634-9381-0B4A5327983D}" name="gap3_correct" dataDxfId="31"/>
    <tableColumn id="25" xr3:uid="{1E85105A-3EF1-497C-A227-9A9786DE5761}" name="gap3_allow_repeat" dataDxfId="30"/>
    <tableColumn id="26" xr3:uid="{17D4F9FA-2E8F-40B3-A782-CE1712FEF429}" name="gap4_options" dataDxfId="29"/>
    <tableColumn id="27" xr3:uid="{7FCD686D-B135-4FC9-984F-86069B94E23E}" name="gap4_correct" dataDxfId="28"/>
    <tableColumn id="28" xr3:uid="{01ACCF42-786E-4349-917F-438AB0CFCDAB}" name="gap4_allow_repeat" dataDxfId="27"/>
    <tableColumn id="29" xr3:uid="{AEFF6A1F-711E-4299-8776-D2354BA5BACA}" name="gap5_options" dataDxfId="26"/>
    <tableColumn id="30" xr3:uid="{4C9D15DF-0AEF-4A21-8E7F-C25F24B38036}" name="gap5_correct" dataDxfId="25"/>
    <tableColumn id="31" xr3:uid="{BD273472-5A00-4BB3-9ABB-71585A886E01}" name="gap5_allow_repeat" dataDxfId="24"/>
    <tableColumn id="32" xr3:uid="{85590086-C385-442F-8B44-596E3C01119B}" name="enforce_unique_across_gaps" dataDxfId="23"/>
    <tableColumn id="33" xr3:uid="{B392F52E-81DF-4D51-B364-73E4418D1CA5}" name="explanation" dataDxfId="2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21" dataDxfId="20">
  <autoFilter ref="A1:T200" xr:uid="{9AF4D9C1-FF64-473A-A14E-7E8B7794D33C}"/>
  <tableColumns count="20">
    <tableColumn id="1" xr3:uid="{DF3953CC-F6CA-48A8-B362-3DB144A28B1C}" name="question_id" dataDxfId="19">
      <calculatedColumnFormula>IF(M2="","",M2&amp;"_"&amp;TEXT(N2,"000"))</calculatedColumnFormula>
    </tableColumn>
    <tableColumn id="2" xr3:uid="{B7C3FEC2-CD62-499C-AC65-1F88F7098C32}" name="topic" dataDxfId="18"/>
    <tableColumn id="3" xr3:uid="{FE2F0177-731D-432C-8A5B-9F9373EFFDA5}" name="component" dataDxfId="17"/>
    <tableColumn id="4" xr3:uid="{4240EBF3-C5BF-470A-9949-BE30D5F7F009}" name="subtopic" dataDxfId="16"/>
    <tableColumn id="5" xr3:uid="{7D620D70-554F-4F3D-A441-36BD6B9D4B3F}" name="question_type" dataDxfId="15"/>
    <tableColumn id="6" xr3:uid="{F134E6DC-3407-49BF-BDD9-CC17691B59DA}" name="difficulty" dataDxfId="14"/>
    <tableColumn id="7" xr3:uid="{297F4083-A338-49A2-9858-3CA99B7566DA}" name="priority" dataDxfId="13"/>
    <tableColumn id="8" xr3:uid="{EADB0D92-DBBA-4595-86A9-CC225D6BF45E}" name="active" dataDxfId="12"/>
    <tableColumn id="9" xr3:uid="{5CDF48CA-7DE2-4FC2-AE5B-76546C51FA76}" name="tags" dataDxfId="11"/>
    <tableColumn id="10" xr3:uid="{CBB40C3B-89F6-492E-9EF7-1608F76B6960}" name="source_ref" dataDxfId="10"/>
    <tableColumn id="11" xr3:uid="{8162DE10-7559-4F34-8269-8312D2CD8D8C}" name="version" dataDxfId="9"/>
    <tableColumn id="12" xr3:uid="{AC0FD800-8ECC-40D0-957C-7E8F2A52221F}" name="subtopic_code" dataDxfId="8"/>
    <tableColumn id="13" xr3:uid="{8621D83B-892D-4532-A540-AFA1F548F6CF}" name="id_prefix" dataDxfId="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6">
      <calculatedColumnFormula>IF(M2="","",COUNTIF($M$2:M2,M2))</calculatedColumnFormula>
    </tableColumn>
    <tableColumn id="15" xr3:uid="{9904B470-9EB2-41C4-9CF4-2292C9367D4C}" name="title" dataDxfId="5"/>
    <tableColumn id="16" xr3:uid="{12F4188F-DD37-47E9-8CEC-8967DB411266}" name="instructions" dataDxfId="4"/>
    <tableColumn id="30" xr3:uid="{2EEA9DB6-3F69-4882-BCD6-27607A87326B}" name="slot_labels_json" dataDxfId="3"/>
    <tableColumn id="27" xr3:uid="{668C5D89-6268-47EA-853F-948B6093BF67}" name="correct_line_ids_json" dataDxfId="2"/>
    <tableColumn id="28" xr3:uid="{1BE0DD35-7F1B-4867-A45B-FBF2F9983BC3}" name="lines_json" dataDxfId="1"/>
    <tableColumn id="29" xr3:uid="{963B0537-5B12-4702-8EDA-F4424960ECC9}" name="explana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topLeftCell="L1" workbookViewId="0">
      <pane ySplit="1" topLeftCell="A13" activePane="bottomLeft" state="frozen"/>
      <selection pane="bottomLeft" activeCell="R16" sqref="R16"/>
    </sheetView>
  </sheetViews>
  <sheetFormatPr defaultRowHeight="14.4" x14ac:dyDescent="0.3"/>
  <cols>
    <col min="1" max="2" width="22" style="6" customWidth="1"/>
    <col min="3" max="3" width="18" style="6" customWidth="1"/>
    <col min="4" max="4" width="22" style="6" customWidth="1"/>
    <col min="5" max="5" width="15" style="6" customWidth="1"/>
    <col min="6" max="6" width="10.33203125" style="6" customWidth="1"/>
    <col min="7" max="7" width="10" style="6" customWidth="1"/>
    <col min="8" max="8" width="8" style="6" customWidth="1"/>
    <col min="9" max="9" width="16" style="6" customWidth="1"/>
    <col min="10" max="10" width="12" style="6" customWidth="1"/>
    <col min="11" max="11" width="9" style="6" customWidth="1"/>
    <col min="12" max="12" width="15.21875" style="6" customWidth="1"/>
    <col min="13" max="13" width="28" style="6" customWidth="1"/>
    <col min="14" max="14" width="10.44140625" style="6" customWidth="1"/>
    <col min="15" max="15" width="40" style="6" customWidth="1"/>
    <col min="16" max="20" width="22" style="6" customWidth="1"/>
    <col min="21" max="21" width="15.33203125" style="6" customWidth="1"/>
    <col min="22" max="22" width="45" style="6" customWidth="1"/>
    <col min="23" max="16384" width="8.88671875" style="6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260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261</v>
      </c>
      <c r="V3" s="3" t="s">
        <v>108</v>
      </c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137</v>
      </c>
      <c r="V4" s="3" t="s">
        <v>109</v>
      </c>
    </row>
    <row r="5" spans="1:22" ht="86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107</v>
      </c>
      <c r="Q5" s="3" t="s">
        <v>110</v>
      </c>
      <c r="R5" s="3" t="s">
        <v>108</v>
      </c>
      <c r="S5" s="3" t="s">
        <v>111</v>
      </c>
      <c r="T5" s="3" t="s">
        <v>109</v>
      </c>
      <c r="U5" s="3" t="s">
        <v>262</v>
      </c>
      <c r="V5" s="3" t="s">
        <v>110</v>
      </c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108</v>
      </c>
      <c r="Q6" s="3" t="s">
        <v>109</v>
      </c>
      <c r="R6" s="3" t="s">
        <v>110</v>
      </c>
      <c r="S6" s="3" t="s">
        <v>111</v>
      </c>
      <c r="T6" s="3" t="s">
        <v>107</v>
      </c>
      <c r="U6" s="3" t="s">
        <v>263</v>
      </c>
      <c r="V6" s="3" t="s">
        <v>111</v>
      </c>
    </row>
    <row r="7" spans="1:22" ht="72" x14ac:dyDescent="0.3">
      <c r="A7" s="3" t="str">
        <f t="shared" si="0"/>
        <v>MCQ_ITNIC_REQ_EIS_001</v>
      </c>
      <c r="B7" s="3" t="s">
        <v>21</v>
      </c>
      <c r="C7" s="6" t="s">
        <v>22</v>
      </c>
      <c r="D7" s="6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128</v>
      </c>
      <c r="J7" s="3" t="s">
        <v>129</v>
      </c>
      <c r="K7" s="3">
        <v>1</v>
      </c>
      <c r="L7" s="3" t="s">
        <v>130</v>
      </c>
      <c r="M7" s="3" t="str">
        <f>IF(B7="","","MCQ"&amp;"_"&amp;IFERROR(VLOOKUP(B7,LOOKUPS!$K$2:$L$9,2,FALSE),"UNK")&amp;"_"&amp;IFERROR(VLOOKUP(C7,LOOKUPS!$N$2:$O$8,2,FALSE),"UNK")&amp;"_"&amp;UPPER(L7))</f>
        <v>MCQ_ITNIC_REQ_EIS</v>
      </c>
      <c r="N7" s="3">
        <f>IF(M7="","",COUNTIF($M$2:M7,M7))</f>
        <v>1</v>
      </c>
      <c r="O7" s="3" t="s">
        <v>131</v>
      </c>
      <c r="P7" s="3" t="s">
        <v>132</v>
      </c>
      <c r="Q7" s="3" t="s">
        <v>133</v>
      </c>
      <c r="R7" s="3" t="s">
        <v>134</v>
      </c>
      <c r="S7" s="3" t="s">
        <v>135</v>
      </c>
      <c r="T7" s="3" t="s">
        <v>136</v>
      </c>
      <c r="U7" s="3" t="s">
        <v>137</v>
      </c>
      <c r="V7" s="3" t="s">
        <v>138</v>
      </c>
    </row>
    <row r="8" spans="1:22" ht="72" x14ac:dyDescent="0.3">
      <c r="A8" s="3" t="str">
        <f t="shared" si="0"/>
        <v>MCQ_ITNIC_CALC_EIS_001</v>
      </c>
      <c r="B8" s="3" t="s">
        <v>21</v>
      </c>
      <c r="C8" s="6" t="s">
        <v>40</v>
      </c>
      <c r="D8" s="6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128</v>
      </c>
      <c r="J8" s="3" t="s">
        <v>129</v>
      </c>
      <c r="K8" s="3">
        <v>1</v>
      </c>
      <c r="L8" s="3" t="s">
        <v>130</v>
      </c>
      <c r="M8" s="3" t="str">
        <f>IF(B8="","","MCQ"&amp;"_"&amp;IFERROR(VLOOKUP(B8,LOOKUPS!$K$2:$L$9,2,FALSE),"UNK")&amp;"_"&amp;IFERROR(VLOOKUP(C8,LOOKUPS!$N$2:$O$8,2,FALSE),"UNK")&amp;"_"&amp;UPPER(L8))</f>
        <v>MCQ_ITNIC_CALC_EIS</v>
      </c>
      <c r="N8" s="3">
        <f>IF(M8="","",COUNTIF($M$2:M8,M8))</f>
        <v>1</v>
      </c>
      <c r="O8" s="3" t="s">
        <v>139</v>
      </c>
      <c r="P8" s="3" t="s">
        <v>271</v>
      </c>
      <c r="Q8" s="3" t="s">
        <v>140</v>
      </c>
      <c r="R8" s="3" t="s">
        <v>141</v>
      </c>
      <c r="S8" s="3" t="s">
        <v>272</v>
      </c>
      <c r="T8" s="3" t="s">
        <v>142</v>
      </c>
      <c r="U8" s="3" t="s">
        <v>263</v>
      </c>
      <c r="V8" s="3" t="s">
        <v>143</v>
      </c>
    </row>
    <row r="9" spans="1:22" ht="100.8" x14ac:dyDescent="0.3">
      <c r="A9" s="3" t="str">
        <f t="shared" si="0"/>
        <v>MCQ_ITNIC_DEF_EIS_001</v>
      </c>
      <c r="B9" s="3" t="s">
        <v>21</v>
      </c>
      <c r="C9" s="6" t="s">
        <v>15</v>
      </c>
      <c r="D9" s="6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128</v>
      </c>
      <c r="J9" s="3" t="s">
        <v>129</v>
      </c>
      <c r="K9" s="3">
        <v>1</v>
      </c>
      <c r="L9" s="3" t="s">
        <v>130</v>
      </c>
      <c r="M9" s="3" t="str">
        <f>IF(B9="","","MCQ"&amp;"_"&amp;IFERROR(VLOOKUP(B9,LOOKUPS!$K$2:$L$9,2,FALSE),"UNK")&amp;"_"&amp;IFERROR(VLOOKUP(C9,LOOKUPS!$N$2:$O$8,2,FALSE),"UNK")&amp;"_"&amp;UPPER(L9))</f>
        <v>MCQ_ITNIC_DEF_EIS</v>
      </c>
      <c r="N9" s="3">
        <f>IF(M9="","",COUNTIF($M$2:M9,M9))</f>
        <v>1</v>
      </c>
      <c r="O9" s="3" t="s">
        <v>144</v>
      </c>
      <c r="P9" s="3" t="s">
        <v>273</v>
      </c>
      <c r="Q9" s="3" t="s">
        <v>145</v>
      </c>
      <c r="R9" s="3" t="s">
        <v>146</v>
      </c>
      <c r="S9" s="3" t="s">
        <v>147</v>
      </c>
      <c r="T9" s="3" t="s">
        <v>274</v>
      </c>
      <c r="U9" s="3" t="s">
        <v>261</v>
      </c>
      <c r="V9" s="3" t="s">
        <v>148</v>
      </c>
    </row>
    <row r="10" spans="1:22" ht="100.8" x14ac:dyDescent="0.3">
      <c r="A10" s="3" t="str">
        <f t="shared" si="0"/>
        <v>MCQ_ITNIC_DEF_PSC_001</v>
      </c>
      <c r="B10" s="3" t="s">
        <v>21</v>
      </c>
      <c r="C10" s="3" t="s">
        <v>15</v>
      </c>
      <c r="D10" s="3" t="s">
        <v>170</v>
      </c>
      <c r="E10" s="3" t="s">
        <v>18</v>
      </c>
      <c r="F10" s="3">
        <v>3</v>
      </c>
      <c r="G10" s="3" t="s">
        <v>16</v>
      </c>
      <c r="H10" s="3" t="s">
        <v>17</v>
      </c>
      <c r="I10" s="3" t="s">
        <v>171</v>
      </c>
      <c r="J10" s="3" t="s">
        <v>129</v>
      </c>
      <c r="K10" s="3">
        <v>1</v>
      </c>
      <c r="L10" s="3" t="s">
        <v>172</v>
      </c>
      <c r="M10" s="3" t="str">
        <f>IF(B10="","","MCQ"&amp;"_"&amp;IFERROR(VLOOKUP(B10,LOOKUPS!$K$2:$L$9,2,FALSE),"UNK")&amp;"_"&amp;IFERROR(VLOOKUP(C10,LOOKUPS!$N$2:$O$8,2,FALSE),"UNK")&amp;"_"&amp;UPPER(L10))</f>
        <v>MCQ_ITNIC_DEF_PSC</v>
      </c>
      <c r="N10" s="3">
        <f>IF(M10="","",COUNTIF($M$2:M10,M10))</f>
        <v>1</v>
      </c>
      <c r="O10" s="3" t="s">
        <v>173</v>
      </c>
      <c r="P10" s="3" t="s">
        <v>174</v>
      </c>
      <c r="Q10" s="3" t="s">
        <v>175</v>
      </c>
      <c r="R10" s="3" t="s">
        <v>176</v>
      </c>
      <c r="S10" s="3" t="s">
        <v>177</v>
      </c>
      <c r="T10" s="3" t="s">
        <v>178</v>
      </c>
      <c r="U10" s="3" t="s">
        <v>260</v>
      </c>
      <c r="V10" s="3" t="s">
        <v>179</v>
      </c>
    </row>
    <row r="11" spans="1:22" ht="100.8" x14ac:dyDescent="0.3">
      <c r="A11" s="3" t="str">
        <f t="shared" si="0"/>
        <v>MCQ_ITNIC_REQ_PSC_001</v>
      </c>
      <c r="B11" s="3" t="s">
        <v>21</v>
      </c>
      <c r="C11" s="3" t="s">
        <v>22</v>
      </c>
      <c r="D11" s="3" t="s">
        <v>170</v>
      </c>
      <c r="E11" s="3" t="s">
        <v>18</v>
      </c>
      <c r="F11" s="3">
        <v>3</v>
      </c>
      <c r="G11" s="3" t="s">
        <v>16</v>
      </c>
      <c r="H11" s="3" t="s">
        <v>17</v>
      </c>
      <c r="I11" s="3" t="s">
        <v>180</v>
      </c>
      <c r="J11" s="3" t="s">
        <v>129</v>
      </c>
      <c r="K11" s="3">
        <v>1</v>
      </c>
      <c r="L11" s="3" t="s">
        <v>172</v>
      </c>
      <c r="M11" s="3" t="str">
        <f>IF(B11="","","MCQ"&amp;"_"&amp;IFERROR(VLOOKUP(B11,LOOKUPS!$K$2:$L$9,2,FALSE),"UNK")&amp;"_"&amp;IFERROR(VLOOKUP(C11,LOOKUPS!$N$2:$O$8,2,FALSE),"UNK")&amp;"_"&amp;UPPER(L11))</f>
        <v>MCQ_ITNIC_REQ_PSC</v>
      </c>
      <c r="N11" s="3">
        <f>IF(M11="","",COUNTIF($M$2:M11,M11))</f>
        <v>1</v>
      </c>
      <c r="O11" s="3" t="s">
        <v>181</v>
      </c>
      <c r="P11" s="3" t="s">
        <v>275</v>
      </c>
      <c r="Q11" s="3" t="s">
        <v>276</v>
      </c>
      <c r="R11" s="3" t="s">
        <v>182</v>
      </c>
      <c r="S11" s="3" t="s">
        <v>183</v>
      </c>
      <c r="T11" s="3" t="s">
        <v>184</v>
      </c>
      <c r="U11" s="3" t="s">
        <v>262</v>
      </c>
      <c r="V11" s="3" t="s">
        <v>185</v>
      </c>
    </row>
    <row r="12" spans="1:22" ht="86.4" x14ac:dyDescent="0.3">
      <c r="A12" s="3" t="str">
        <f t="shared" si="0"/>
        <v>MCQ_ITNIC_REQ_PSC_002</v>
      </c>
      <c r="B12" s="3" t="s">
        <v>21</v>
      </c>
      <c r="C12" s="3" t="s">
        <v>22</v>
      </c>
      <c r="D12" s="3" t="s">
        <v>170</v>
      </c>
      <c r="E12" s="3" t="s">
        <v>18</v>
      </c>
      <c r="F12" s="3">
        <v>3</v>
      </c>
      <c r="G12" s="3" t="s">
        <v>16</v>
      </c>
      <c r="H12" s="3" t="s">
        <v>17</v>
      </c>
      <c r="I12" s="3" t="s">
        <v>186</v>
      </c>
      <c r="J12" s="3" t="s">
        <v>129</v>
      </c>
      <c r="K12" s="3">
        <v>1</v>
      </c>
      <c r="L12" s="3" t="s">
        <v>172</v>
      </c>
      <c r="M12" s="3" t="str">
        <f>IF(B12="","","MCQ"&amp;"_"&amp;IFERROR(VLOOKUP(B12,LOOKUPS!$K$2:$L$9,2,FALSE),"UNK")&amp;"_"&amp;IFERROR(VLOOKUP(C12,LOOKUPS!$N$2:$O$8,2,FALSE),"UNK")&amp;"_"&amp;UPPER(L12))</f>
        <v>MCQ_ITNIC_REQ_PSC</v>
      </c>
      <c r="N12" s="3">
        <f>IF(M12="","",COUNTIF($M$2:M12,M12))</f>
        <v>2</v>
      </c>
      <c r="O12" s="3" t="s">
        <v>187</v>
      </c>
      <c r="P12" s="3" t="s">
        <v>277</v>
      </c>
      <c r="Q12" s="3" t="s">
        <v>188</v>
      </c>
      <c r="R12" s="3" t="s">
        <v>189</v>
      </c>
      <c r="S12" s="3" t="s">
        <v>278</v>
      </c>
      <c r="T12" s="3" t="s">
        <v>190</v>
      </c>
      <c r="U12" s="3" t="s">
        <v>263</v>
      </c>
      <c r="V12" s="3" t="s">
        <v>191</v>
      </c>
    </row>
    <row r="13" spans="1:22" ht="100.8" x14ac:dyDescent="0.3">
      <c r="A13" s="3" t="str">
        <f t="shared" si="0"/>
        <v>MCQ_ITNIC_DEF_SHS_001</v>
      </c>
      <c r="B13" s="3" t="s">
        <v>21</v>
      </c>
      <c r="C13" s="3" t="s">
        <v>15</v>
      </c>
      <c r="D13" s="3" t="s">
        <v>221</v>
      </c>
      <c r="E13" s="3" t="s">
        <v>18</v>
      </c>
      <c r="F13" s="3">
        <v>3</v>
      </c>
      <c r="G13" s="3" t="s">
        <v>16</v>
      </c>
      <c r="H13" s="3" t="s">
        <v>17</v>
      </c>
      <c r="I13" s="3" t="s">
        <v>222</v>
      </c>
      <c r="J13" s="3" t="s">
        <v>129</v>
      </c>
      <c r="K13" s="3">
        <v>1</v>
      </c>
      <c r="L13" s="3" t="s">
        <v>223</v>
      </c>
      <c r="M13" s="3" t="str">
        <f>IF(B13="","","MCQ"&amp;"_"&amp;IFERROR(VLOOKUP(B13,LOOKUPS!$K$2:$L$9,2,FALSE),"UNK")&amp;"_"&amp;IFERROR(VLOOKUP(C13,LOOKUPS!$N$2:$O$8,2,FALSE),"UNK")&amp;"_"&amp;UPPER(L13))</f>
        <v>MCQ_ITNIC_DEF_SHS</v>
      </c>
      <c r="N13" s="3">
        <f>IF(M13="","",COUNTIF($M$2:M13,M13))</f>
        <v>1</v>
      </c>
      <c r="O13" s="3" t="s">
        <v>224</v>
      </c>
      <c r="P13" s="3" t="s">
        <v>225</v>
      </c>
      <c r="Q13" s="3" t="s">
        <v>226</v>
      </c>
      <c r="R13" s="3" t="s">
        <v>227</v>
      </c>
      <c r="S13" s="3" t="s">
        <v>228</v>
      </c>
      <c r="T13" s="3" t="s">
        <v>229</v>
      </c>
      <c r="U13" s="3" t="s">
        <v>137</v>
      </c>
      <c r="V13" s="3" t="s">
        <v>230</v>
      </c>
    </row>
    <row r="14" spans="1:22" ht="115.2" x14ac:dyDescent="0.3">
      <c r="A14" s="3" t="str">
        <f t="shared" si="0"/>
        <v>MCQ_ITNIC_DEF_SHS_002</v>
      </c>
      <c r="B14" s="3" t="s">
        <v>21</v>
      </c>
      <c r="C14" s="3" t="s">
        <v>15</v>
      </c>
      <c r="D14" s="3" t="s">
        <v>221</v>
      </c>
      <c r="E14" s="3" t="s">
        <v>18</v>
      </c>
      <c r="F14" s="3">
        <v>3</v>
      </c>
      <c r="G14" s="3" t="s">
        <v>16</v>
      </c>
      <c r="H14" s="3" t="s">
        <v>17</v>
      </c>
      <c r="I14" s="3" t="s">
        <v>231</v>
      </c>
      <c r="J14" s="3" t="s">
        <v>129</v>
      </c>
      <c r="K14" s="3">
        <v>1</v>
      </c>
      <c r="L14" s="3" t="s">
        <v>223</v>
      </c>
      <c r="M14" s="3" t="str">
        <f>IF(B14="","","MCQ"&amp;"_"&amp;IFERROR(VLOOKUP(B14,LOOKUPS!$K$2:$L$9,2,FALSE),"UNK")&amp;"_"&amp;IFERROR(VLOOKUP(C14,LOOKUPS!$N$2:$O$8,2,FALSE),"UNK")&amp;"_"&amp;UPPER(L14))</f>
        <v>MCQ_ITNIC_DEF_SHS</v>
      </c>
      <c r="N14" s="3">
        <f>IF(M14="","",COUNTIF($M$2:M14,M14))</f>
        <v>2</v>
      </c>
      <c r="O14" s="3" t="s">
        <v>232</v>
      </c>
      <c r="P14" s="3" t="s">
        <v>279</v>
      </c>
      <c r="Q14" s="3" t="s">
        <v>233</v>
      </c>
      <c r="R14" s="3" t="s">
        <v>234</v>
      </c>
      <c r="S14" s="3" t="s">
        <v>235</v>
      </c>
      <c r="T14" s="3" t="s">
        <v>280</v>
      </c>
      <c r="U14" s="3" t="s">
        <v>261</v>
      </c>
      <c r="V14" s="3" t="s">
        <v>236</v>
      </c>
    </row>
    <row r="15" spans="1:22" ht="100.8" x14ac:dyDescent="0.3">
      <c r="A15" s="3" t="str">
        <f t="shared" si="0"/>
        <v>MCQ_ITNIC_DEF_SHS_003</v>
      </c>
      <c r="B15" s="3" t="s">
        <v>21</v>
      </c>
      <c r="C15" s="3" t="s">
        <v>15</v>
      </c>
      <c r="D15" s="3" t="s">
        <v>221</v>
      </c>
      <c r="E15" s="3" t="s">
        <v>18</v>
      </c>
      <c r="F15" s="3">
        <v>3</v>
      </c>
      <c r="G15" s="3" t="s">
        <v>16</v>
      </c>
      <c r="H15" s="3" t="s">
        <v>17</v>
      </c>
      <c r="I15" s="3" t="s">
        <v>237</v>
      </c>
      <c r="J15" s="3" t="s">
        <v>129</v>
      </c>
      <c r="K15" s="3">
        <v>1</v>
      </c>
      <c r="L15" s="3" t="s">
        <v>223</v>
      </c>
      <c r="M15" s="3" t="str">
        <f>IF(B15="","","MCQ"&amp;"_"&amp;IFERROR(VLOOKUP(B15,LOOKUPS!$K$2:$L$9,2,FALSE),"UNK")&amp;"_"&amp;IFERROR(VLOOKUP(C15,LOOKUPS!$N$2:$O$8,2,FALSE),"UNK")&amp;"_"&amp;UPPER(L15))</f>
        <v>MCQ_ITNIC_DEF_SHS</v>
      </c>
      <c r="N15" s="3">
        <f>IF(M15="","",COUNTIF($M$2:M15,M15))</f>
        <v>3</v>
      </c>
      <c r="O15" s="3" t="s">
        <v>238</v>
      </c>
      <c r="P15" s="3" t="s">
        <v>281</v>
      </c>
      <c r="Q15" s="3" t="s">
        <v>239</v>
      </c>
      <c r="R15" s="3" t="s">
        <v>393</v>
      </c>
      <c r="S15" s="3" t="s">
        <v>240</v>
      </c>
      <c r="T15" s="3" t="s">
        <v>241</v>
      </c>
      <c r="U15" s="3" t="s">
        <v>260</v>
      </c>
      <c r="V15" s="3" t="s">
        <v>242</v>
      </c>
    </row>
    <row r="16" spans="1:22" ht="57.6" x14ac:dyDescent="0.3">
      <c r="A16" s="3" t="str">
        <f t="shared" si="0"/>
        <v>MCQ_ITNIC_REQ_EMI_001</v>
      </c>
      <c r="B16" s="6" t="s">
        <v>21</v>
      </c>
      <c r="C16" s="6" t="s">
        <v>22</v>
      </c>
      <c r="D16" s="6" t="s">
        <v>292</v>
      </c>
      <c r="E16" s="6" t="s">
        <v>18</v>
      </c>
      <c r="F16" s="6">
        <v>3</v>
      </c>
      <c r="G16" s="6" t="s">
        <v>16</v>
      </c>
      <c r="H16" s="6" t="s">
        <v>17</v>
      </c>
      <c r="I16" s="6" t="s">
        <v>293</v>
      </c>
      <c r="J16" s="6" t="s">
        <v>129</v>
      </c>
      <c r="K16" s="6">
        <v>1</v>
      </c>
      <c r="L16" s="6" t="s">
        <v>294</v>
      </c>
      <c r="M16" s="3" t="str">
        <f>IF(B16="","","MCQ"&amp;"_"&amp;IFERROR(VLOOKUP(B16,LOOKUPS!$K$2:$L$9,2,FALSE),"UNK")&amp;"_"&amp;IFERROR(VLOOKUP(C16,LOOKUPS!$N$2:$O$8,2,FALSE),"UNK")&amp;"_"&amp;UPPER(L16))</f>
        <v>MCQ_ITNIC_REQ_EMI</v>
      </c>
      <c r="N16" s="3">
        <f>IF(M16="","",COUNTIF($M$2:M16,M16))</f>
        <v>1</v>
      </c>
      <c r="O16" s="6" t="s">
        <v>295</v>
      </c>
      <c r="P16" s="6" t="s">
        <v>296</v>
      </c>
      <c r="Q16" s="3" t="s">
        <v>297</v>
      </c>
      <c r="R16" s="3" t="s">
        <v>298</v>
      </c>
      <c r="S16" s="3" t="s">
        <v>299</v>
      </c>
      <c r="T16" s="3" t="s">
        <v>300</v>
      </c>
      <c r="U16" s="3" t="s">
        <v>137</v>
      </c>
      <c r="V16" s="3" t="s">
        <v>301</v>
      </c>
    </row>
    <row r="17" spans="1:22" ht="72" x14ac:dyDescent="0.3">
      <c r="A17" s="3" t="str">
        <f t="shared" si="0"/>
        <v>MCQ_ITNIC_REQ_EMI_002</v>
      </c>
      <c r="B17" s="6" t="s">
        <v>21</v>
      </c>
      <c r="C17" s="6" t="s">
        <v>22</v>
      </c>
      <c r="D17" s="6" t="s">
        <v>292</v>
      </c>
      <c r="E17" s="6" t="s">
        <v>18</v>
      </c>
      <c r="F17" s="6">
        <v>3</v>
      </c>
      <c r="G17" s="6" t="s">
        <v>16</v>
      </c>
      <c r="H17" s="6" t="s">
        <v>17</v>
      </c>
      <c r="I17" s="6" t="s">
        <v>293</v>
      </c>
      <c r="J17" s="6" t="s">
        <v>129</v>
      </c>
      <c r="K17" s="6">
        <v>1</v>
      </c>
      <c r="L17" s="6" t="s">
        <v>294</v>
      </c>
      <c r="M17" s="3" t="str">
        <f>IF(B17="","","MCQ"&amp;"_"&amp;IFERROR(VLOOKUP(B17,LOOKUPS!$K$2:$L$9,2,FALSE),"UNK")&amp;"_"&amp;IFERROR(VLOOKUP(C17,LOOKUPS!$N$2:$O$8,2,FALSE),"UNK")&amp;"_"&amp;UPPER(L17))</f>
        <v>MCQ_ITNIC_REQ_EMI</v>
      </c>
      <c r="N17" s="3">
        <f>IF(M17="","",COUNTIF($M$2:M17,M17))</f>
        <v>2</v>
      </c>
      <c r="O17" s="6" t="s">
        <v>302</v>
      </c>
      <c r="P17" s="6" t="s">
        <v>303</v>
      </c>
      <c r="Q17" s="3" t="s">
        <v>304</v>
      </c>
      <c r="R17" s="3" t="s">
        <v>305</v>
      </c>
      <c r="S17" s="3" t="s">
        <v>306</v>
      </c>
      <c r="T17" s="3" t="s">
        <v>307</v>
      </c>
      <c r="U17" s="3" t="s">
        <v>262</v>
      </c>
      <c r="V17" s="3" t="s">
        <v>308</v>
      </c>
    </row>
    <row r="18" spans="1:22" ht="57.6" x14ac:dyDescent="0.3">
      <c r="A18" s="3" t="str">
        <f t="shared" si="0"/>
        <v>MCQ_ITNIC_REQ_EMI_003</v>
      </c>
      <c r="B18" s="6" t="s">
        <v>21</v>
      </c>
      <c r="C18" s="6" t="s">
        <v>22</v>
      </c>
      <c r="D18" s="6" t="s">
        <v>292</v>
      </c>
      <c r="E18" s="6" t="s">
        <v>18</v>
      </c>
      <c r="F18" s="6">
        <v>3</v>
      </c>
      <c r="G18" s="6" t="s">
        <v>16</v>
      </c>
      <c r="H18" s="6" t="s">
        <v>17</v>
      </c>
      <c r="I18" s="6" t="s">
        <v>293</v>
      </c>
      <c r="J18" s="6" t="s">
        <v>129</v>
      </c>
      <c r="K18" s="6">
        <v>1</v>
      </c>
      <c r="L18" s="6" t="s">
        <v>294</v>
      </c>
      <c r="M18" s="3" t="str">
        <f>IF(B18="","","MCQ"&amp;"_"&amp;IFERROR(VLOOKUP(B18,LOOKUPS!$K$2:$L$9,2,FALSE),"UNK")&amp;"_"&amp;IFERROR(VLOOKUP(C18,LOOKUPS!$N$2:$O$8,2,FALSE),"UNK")&amp;"_"&amp;UPPER(L18))</f>
        <v>MCQ_ITNIC_REQ_EMI</v>
      </c>
      <c r="N18" s="3">
        <f>IF(M18="","",COUNTIF($M$2:M18,M18))</f>
        <v>3</v>
      </c>
      <c r="O18" s="6" t="s">
        <v>309</v>
      </c>
      <c r="P18" s="6" t="s">
        <v>310</v>
      </c>
      <c r="Q18" s="3" t="s">
        <v>311</v>
      </c>
      <c r="R18" s="3" t="s">
        <v>312</v>
      </c>
      <c r="S18" s="3" t="s">
        <v>313</v>
      </c>
      <c r="T18" s="3" t="s">
        <v>314</v>
      </c>
      <c r="U18" s="3" t="s">
        <v>260</v>
      </c>
      <c r="V18" s="3" t="s">
        <v>315</v>
      </c>
    </row>
    <row r="19" spans="1:22" ht="57.6" x14ac:dyDescent="0.3">
      <c r="A19" s="3" t="str">
        <f t="shared" si="0"/>
        <v>MCQ_ITNIC_REQ_EMI_004</v>
      </c>
      <c r="B19" s="6" t="s">
        <v>21</v>
      </c>
      <c r="C19" s="6" t="s">
        <v>22</v>
      </c>
      <c r="D19" s="6" t="s">
        <v>292</v>
      </c>
      <c r="E19" s="6" t="s">
        <v>18</v>
      </c>
      <c r="F19" s="6">
        <v>3</v>
      </c>
      <c r="G19" s="6" t="s">
        <v>16</v>
      </c>
      <c r="H19" s="6" t="s">
        <v>17</v>
      </c>
      <c r="I19" s="6" t="s">
        <v>293</v>
      </c>
      <c r="J19" s="6" t="s">
        <v>129</v>
      </c>
      <c r="K19" s="6">
        <v>1</v>
      </c>
      <c r="L19" s="6" t="s">
        <v>294</v>
      </c>
      <c r="M19" s="3" t="str">
        <f>IF(B19="","","MCQ"&amp;"_"&amp;IFERROR(VLOOKUP(B19,LOOKUPS!$K$2:$L$9,2,FALSE),"UNK")&amp;"_"&amp;IFERROR(VLOOKUP(C19,LOOKUPS!$N$2:$O$8,2,FALSE),"UNK")&amp;"_"&amp;UPPER(L19))</f>
        <v>MCQ_ITNIC_REQ_EMI</v>
      </c>
      <c r="N19" s="3">
        <f>IF(M19="","",COUNTIF($M$2:M19,M19))</f>
        <v>4</v>
      </c>
      <c r="O19" s="6" t="s">
        <v>316</v>
      </c>
      <c r="P19" s="6" t="s">
        <v>317</v>
      </c>
      <c r="Q19" s="3" t="s">
        <v>318</v>
      </c>
      <c r="R19" s="3" t="s">
        <v>319</v>
      </c>
      <c r="S19" s="3" t="s">
        <v>320</v>
      </c>
      <c r="T19" s="3" t="s">
        <v>321</v>
      </c>
      <c r="U19" s="3" t="s">
        <v>263</v>
      </c>
      <c r="V19" s="3" t="s">
        <v>322</v>
      </c>
    </row>
    <row r="20" spans="1:22" ht="57.6" x14ac:dyDescent="0.3">
      <c r="A20" s="3" t="str">
        <f t="shared" si="0"/>
        <v>MCQ_ITNIC_REQ_EMI_005</v>
      </c>
      <c r="B20" s="6" t="s">
        <v>21</v>
      </c>
      <c r="C20" s="6" t="s">
        <v>22</v>
      </c>
      <c r="D20" s="6" t="s">
        <v>292</v>
      </c>
      <c r="E20" s="6" t="s">
        <v>18</v>
      </c>
      <c r="F20" s="6">
        <v>3</v>
      </c>
      <c r="G20" s="6" t="s">
        <v>16</v>
      </c>
      <c r="H20" s="6" t="s">
        <v>17</v>
      </c>
      <c r="I20" s="6" t="s">
        <v>293</v>
      </c>
      <c r="J20" s="6" t="s">
        <v>129</v>
      </c>
      <c r="K20" s="6">
        <v>1</v>
      </c>
      <c r="L20" s="6" t="s">
        <v>294</v>
      </c>
      <c r="M20" s="3" t="str">
        <f>IF(B20="","","MCQ"&amp;"_"&amp;IFERROR(VLOOKUP(B20,LOOKUPS!$K$2:$L$9,2,FALSE),"UNK")&amp;"_"&amp;IFERROR(VLOOKUP(C20,LOOKUPS!$N$2:$O$8,2,FALSE),"UNK")&amp;"_"&amp;UPPER(L20))</f>
        <v>MCQ_ITNIC_REQ_EMI</v>
      </c>
      <c r="N20" s="3">
        <f>IF(M20="","",COUNTIF($M$2:M20,M20))</f>
        <v>5</v>
      </c>
      <c r="O20" s="6" t="s">
        <v>323</v>
      </c>
      <c r="P20" s="6" t="s">
        <v>324</v>
      </c>
      <c r="Q20" s="3" t="s">
        <v>325</v>
      </c>
      <c r="R20" s="3" t="s">
        <v>326</v>
      </c>
      <c r="S20" s="3" t="s">
        <v>327</v>
      </c>
      <c r="T20" s="3" t="s">
        <v>328</v>
      </c>
      <c r="U20" s="3" t="s">
        <v>261</v>
      </c>
      <c r="V20" s="3" t="s">
        <v>329</v>
      </c>
    </row>
    <row r="21" spans="1:22" ht="72" x14ac:dyDescent="0.3">
      <c r="A21" s="3" t="str">
        <f t="shared" si="0"/>
        <v>MCQ_ITNIC_REQ_EMI_006</v>
      </c>
      <c r="B21" s="6" t="s">
        <v>21</v>
      </c>
      <c r="C21" s="6" t="s">
        <v>22</v>
      </c>
      <c r="D21" s="6" t="s">
        <v>330</v>
      </c>
      <c r="E21" s="6" t="s">
        <v>18</v>
      </c>
      <c r="F21" s="6">
        <v>3</v>
      </c>
      <c r="G21" s="6" t="s">
        <v>16</v>
      </c>
      <c r="H21" s="6" t="s">
        <v>17</v>
      </c>
      <c r="I21" s="6" t="s">
        <v>331</v>
      </c>
      <c r="J21" s="6" t="s">
        <v>129</v>
      </c>
      <c r="K21" s="6">
        <v>1</v>
      </c>
      <c r="L21" s="6" t="s">
        <v>294</v>
      </c>
      <c r="M21" s="3" t="str">
        <f>IF(B21="","","MCQ"&amp;"_"&amp;IFERROR(VLOOKUP(B21,LOOKUPS!$K$2:$L$9,2,FALSE),"UNK")&amp;"_"&amp;IFERROR(VLOOKUP(C21,LOOKUPS!$N$2:$O$8,2,FALSE),"UNK")&amp;"_"&amp;UPPER(L21))</f>
        <v>MCQ_ITNIC_REQ_EMI</v>
      </c>
      <c r="N21" s="3">
        <f>IF(M21="","",COUNTIF($M$2:M21,M21))</f>
        <v>6</v>
      </c>
      <c r="O21" s="6" t="s">
        <v>332</v>
      </c>
      <c r="P21" s="6" t="s">
        <v>333</v>
      </c>
      <c r="Q21" s="3" t="s">
        <v>334</v>
      </c>
      <c r="R21" s="3" t="s">
        <v>335</v>
      </c>
      <c r="S21" s="3" t="s">
        <v>336</v>
      </c>
      <c r="T21" s="3" t="s">
        <v>337</v>
      </c>
      <c r="U21" s="3" t="s">
        <v>261</v>
      </c>
      <c r="V21" s="3" t="s">
        <v>338</v>
      </c>
    </row>
    <row r="22" spans="1:22" ht="57.6" x14ac:dyDescent="0.3">
      <c r="A22" s="3" t="str">
        <f t="shared" si="0"/>
        <v>MCQ_ITNIC_REQ_EMI_007</v>
      </c>
      <c r="B22" s="6" t="s">
        <v>21</v>
      </c>
      <c r="C22" s="6" t="s">
        <v>22</v>
      </c>
      <c r="D22" s="6" t="s">
        <v>330</v>
      </c>
      <c r="E22" s="6" t="s">
        <v>18</v>
      </c>
      <c r="F22" s="6">
        <v>3</v>
      </c>
      <c r="G22" s="6" t="s">
        <v>16</v>
      </c>
      <c r="H22" s="6" t="s">
        <v>17</v>
      </c>
      <c r="I22" s="6" t="s">
        <v>331</v>
      </c>
      <c r="J22" s="6" t="s">
        <v>129</v>
      </c>
      <c r="K22" s="6">
        <v>1</v>
      </c>
      <c r="L22" s="6" t="s">
        <v>294</v>
      </c>
      <c r="M22" s="3" t="str">
        <f>IF(B22="","","MCQ"&amp;"_"&amp;IFERROR(VLOOKUP(B22,LOOKUPS!$K$2:$L$9,2,FALSE),"UNK")&amp;"_"&amp;IFERROR(VLOOKUP(C22,LOOKUPS!$N$2:$O$8,2,FALSE),"UNK")&amp;"_"&amp;UPPER(L22))</f>
        <v>MCQ_ITNIC_REQ_EMI</v>
      </c>
      <c r="N22" s="3">
        <f>IF(M22="","",COUNTIF($M$2:M22,M22))</f>
        <v>7</v>
      </c>
      <c r="O22" s="6" t="s">
        <v>339</v>
      </c>
      <c r="P22" s="6" t="s">
        <v>340</v>
      </c>
      <c r="Q22" s="3" t="s">
        <v>341</v>
      </c>
      <c r="R22" s="3" t="s">
        <v>342</v>
      </c>
      <c r="S22" s="3" t="s">
        <v>343</v>
      </c>
      <c r="T22" s="3" t="s">
        <v>344</v>
      </c>
      <c r="U22" s="3" t="s">
        <v>263</v>
      </c>
      <c r="V22" s="3" t="s">
        <v>345</v>
      </c>
    </row>
    <row r="23" spans="1:22" ht="86.4" x14ac:dyDescent="0.3">
      <c r="A23" s="3" t="str">
        <f t="shared" si="0"/>
        <v>MCQ_ITNIC_REQ_EMI_008</v>
      </c>
      <c r="B23" s="6" t="s">
        <v>21</v>
      </c>
      <c r="C23" s="6" t="s">
        <v>22</v>
      </c>
      <c r="D23" s="6" t="s">
        <v>346</v>
      </c>
      <c r="E23" s="6" t="s">
        <v>18</v>
      </c>
      <c r="F23" s="6">
        <v>3</v>
      </c>
      <c r="G23" s="6" t="s">
        <v>16</v>
      </c>
      <c r="H23" s="6" t="s">
        <v>17</v>
      </c>
      <c r="I23" s="6" t="s">
        <v>347</v>
      </c>
      <c r="J23" s="6" t="s">
        <v>129</v>
      </c>
      <c r="K23" s="6">
        <v>1</v>
      </c>
      <c r="L23" s="6" t="s">
        <v>294</v>
      </c>
      <c r="M23" s="3" t="str">
        <f>IF(B23="","","MCQ"&amp;"_"&amp;IFERROR(VLOOKUP(B23,LOOKUPS!$K$2:$L$9,2,FALSE),"UNK")&amp;"_"&amp;IFERROR(VLOOKUP(C23,LOOKUPS!$N$2:$O$8,2,FALSE),"UNK")&amp;"_"&amp;UPPER(L23))</f>
        <v>MCQ_ITNIC_REQ_EMI</v>
      </c>
      <c r="N23" s="3">
        <f>IF(M23="","",COUNTIF($M$2:M23,M23))</f>
        <v>8</v>
      </c>
      <c r="O23" s="6" t="s">
        <v>348</v>
      </c>
      <c r="P23" s="6" t="s">
        <v>349</v>
      </c>
      <c r="Q23" s="3" t="s">
        <v>350</v>
      </c>
      <c r="R23" s="3" t="s">
        <v>351</v>
      </c>
      <c r="S23" s="3" t="s">
        <v>352</v>
      </c>
      <c r="T23" s="3" t="s">
        <v>353</v>
      </c>
      <c r="U23" s="3" t="s">
        <v>260</v>
      </c>
      <c r="V23" s="3" t="s">
        <v>354</v>
      </c>
    </row>
    <row r="24" spans="1:22" ht="57.6" x14ac:dyDescent="0.3">
      <c r="A24" s="3" t="str">
        <f t="shared" si="0"/>
        <v>MCQ_ITNIC_REQ_EMI_009</v>
      </c>
      <c r="B24" s="6" t="s">
        <v>21</v>
      </c>
      <c r="C24" s="6" t="s">
        <v>22</v>
      </c>
      <c r="D24" s="6" t="s">
        <v>355</v>
      </c>
      <c r="E24" s="6" t="s">
        <v>18</v>
      </c>
      <c r="F24" s="6">
        <v>3</v>
      </c>
      <c r="G24" s="6" t="s">
        <v>16</v>
      </c>
      <c r="H24" s="6" t="s">
        <v>17</v>
      </c>
      <c r="I24" s="6" t="s">
        <v>356</v>
      </c>
      <c r="J24" s="6" t="s">
        <v>129</v>
      </c>
      <c r="K24" s="6">
        <v>1</v>
      </c>
      <c r="L24" s="6" t="s">
        <v>294</v>
      </c>
      <c r="M24" s="3" t="str">
        <f>IF(B24="","","MCQ"&amp;"_"&amp;IFERROR(VLOOKUP(B24,LOOKUPS!$K$2:$L$9,2,FALSE),"UNK")&amp;"_"&amp;IFERROR(VLOOKUP(C24,LOOKUPS!$N$2:$O$8,2,FALSE),"UNK")&amp;"_"&amp;UPPER(L24))</f>
        <v>MCQ_ITNIC_REQ_EMI</v>
      </c>
      <c r="N24" s="3">
        <f>IF(M24="","",COUNTIF($M$2:M24,M24))</f>
        <v>9</v>
      </c>
      <c r="O24" s="6" t="s">
        <v>357</v>
      </c>
      <c r="P24" s="6" t="s">
        <v>358</v>
      </c>
      <c r="Q24" s="3" t="s">
        <v>359</v>
      </c>
      <c r="R24" s="3" t="s">
        <v>360</v>
      </c>
      <c r="S24" s="3" t="s">
        <v>361</v>
      </c>
      <c r="T24" s="3" t="s">
        <v>362</v>
      </c>
      <c r="U24" s="3" t="s">
        <v>262</v>
      </c>
      <c r="V24" s="3" t="s">
        <v>363</v>
      </c>
    </row>
    <row r="25" spans="1:22" ht="43.2" x14ac:dyDescent="0.3">
      <c r="A25" s="3" t="str">
        <f t="shared" si="0"/>
        <v>MCQ_ITNIC_REQ_EMI_010</v>
      </c>
      <c r="B25" s="6" t="s">
        <v>21</v>
      </c>
      <c r="C25" s="6" t="s">
        <v>22</v>
      </c>
      <c r="D25" s="6" t="s">
        <v>355</v>
      </c>
      <c r="E25" s="6" t="s">
        <v>18</v>
      </c>
      <c r="F25" s="6">
        <v>3</v>
      </c>
      <c r="G25" s="6" t="s">
        <v>16</v>
      </c>
      <c r="H25" s="6" t="s">
        <v>17</v>
      </c>
      <c r="I25" s="6" t="s">
        <v>356</v>
      </c>
      <c r="J25" s="6" t="s">
        <v>129</v>
      </c>
      <c r="K25" s="6">
        <v>1</v>
      </c>
      <c r="L25" s="6" t="s">
        <v>294</v>
      </c>
      <c r="M25" s="3" t="str">
        <f>IF(B25="","","MCQ"&amp;"_"&amp;IFERROR(VLOOKUP(B25,LOOKUPS!$K$2:$L$9,2,FALSE),"UNK")&amp;"_"&amp;IFERROR(VLOOKUP(C25,LOOKUPS!$N$2:$O$8,2,FALSE),"UNK")&amp;"_"&amp;UPPER(L25))</f>
        <v>MCQ_ITNIC_REQ_EMI</v>
      </c>
      <c r="N25" s="3">
        <f>IF(M25="","",COUNTIF($M$2:M25,M25))</f>
        <v>10</v>
      </c>
      <c r="O25" s="6" t="s">
        <v>364</v>
      </c>
      <c r="P25" s="6" t="s">
        <v>365</v>
      </c>
      <c r="Q25" s="3" t="s">
        <v>359</v>
      </c>
      <c r="R25" s="3" t="s">
        <v>366</v>
      </c>
      <c r="S25" s="3" t="s">
        <v>367</v>
      </c>
      <c r="T25" s="3" t="s">
        <v>368</v>
      </c>
      <c r="U25" s="3" t="s">
        <v>137</v>
      </c>
      <c r="V25" s="3" t="s">
        <v>369</v>
      </c>
    </row>
    <row r="26" spans="1:22" ht="57.6" x14ac:dyDescent="0.3">
      <c r="A26" s="3" t="str">
        <f t="shared" si="0"/>
        <v>MCQ_ITNIC_REQ_EMI_011</v>
      </c>
      <c r="B26" s="6" t="s">
        <v>21</v>
      </c>
      <c r="C26" s="6" t="s">
        <v>22</v>
      </c>
      <c r="D26" s="6" t="s">
        <v>355</v>
      </c>
      <c r="E26" s="6" t="s">
        <v>18</v>
      </c>
      <c r="F26" s="6">
        <v>3</v>
      </c>
      <c r="G26" s="6" t="s">
        <v>16</v>
      </c>
      <c r="H26" s="6" t="s">
        <v>17</v>
      </c>
      <c r="I26" s="6" t="s">
        <v>356</v>
      </c>
      <c r="J26" s="6" t="s">
        <v>129</v>
      </c>
      <c r="K26" s="6">
        <v>1</v>
      </c>
      <c r="L26" s="6" t="s">
        <v>294</v>
      </c>
      <c r="M26" s="3" t="str">
        <f>IF(B26="","","MCQ"&amp;"_"&amp;IFERROR(VLOOKUP(B26,LOOKUPS!$K$2:$L$9,2,FALSE),"UNK")&amp;"_"&amp;IFERROR(VLOOKUP(C26,LOOKUPS!$N$2:$O$8,2,FALSE),"UNK")&amp;"_"&amp;UPPER(L26))</f>
        <v>MCQ_ITNIC_REQ_EMI</v>
      </c>
      <c r="N26" s="3">
        <f>IF(M26="","",COUNTIF($M$2:M26,M26))</f>
        <v>11</v>
      </c>
      <c r="O26" s="6" t="s">
        <v>370</v>
      </c>
      <c r="P26" s="6" t="s">
        <v>371</v>
      </c>
      <c r="Q26" s="3" t="s">
        <v>372</v>
      </c>
      <c r="R26" s="3" t="s">
        <v>373</v>
      </c>
      <c r="S26" s="3" t="s">
        <v>374</v>
      </c>
      <c r="T26" s="3" t="s">
        <v>375</v>
      </c>
      <c r="U26" s="3" t="s">
        <v>260</v>
      </c>
      <c r="V26" s="3" t="s">
        <v>376</v>
      </c>
    </row>
    <row r="27" spans="1:22" ht="57.6" x14ac:dyDescent="0.3">
      <c r="A27" s="3" t="str">
        <f t="shared" si="0"/>
        <v>MCQ_ITNIC_REQ_EMI_012</v>
      </c>
      <c r="B27" s="6" t="s">
        <v>21</v>
      </c>
      <c r="C27" s="6" t="s">
        <v>22</v>
      </c>
      <c r="D27" s="6" t="s">
        <v>355</v>
      </c>
      <c r="E27" s="6" t="s">
        <v>18</v>
      </c>
      <c r="F27" s="6">
        <v>3</v>
      </c>
      <c r="G27" s="6" t="s">
        <v>16</v>
      </c>
      <c r="H27" s="6" t="s">
        <v>17</v>
      </c>
      <c r="I27" s="6" t="s">
        <v>377</v>
      </c>
      <c r="J27" s="6" t="s">
        <v>129</v>
      </c>
      <c r="K27" s="6">
        <v>1</v>
      </c>
      <c r="L27" s="6" t="s">
        <v>294</v>
      </c>
      <c r="M27" s="3" t="str">
        <f>IF(B27="","","MCQ"&amp;"_"&amp;IFERROR(VLOOKUP(B27,LOOKUPS!$K$2:$L$9,2,FALSE),"UNK")&amp;"_"&amp;IFERROR(VLOOKUP(C27,LOOKUPS!$N$2:$O$8,2,FALSE),"UNK")&amp;"_"&amp;UPPER(L27))</f>
        <v>MCQ_ITNIC_REQ_EMI</v>
      </c>
      <c r="N27" s="3">
        <f>IF(M27="","",COUNTIF($M$2:M27,M27))</f>
        <v>12</v>
      </c>
      <c r="O27" s="6" t="s">
        <v>378</v>
      </c>
      <c r="P27" s="6" t="s">
        <v>379</v>
      </c>
      <c r="Q27" s="3" t="s">
        <v>380</v>
      </c>
      <c r="R27" s="3" t="s">
        <v>381</v>
      </c>
      <c r="S27" s="3" t="s">
        <v>382</v>
      </c>
      <c r="T27" s="3" t="s">
        <v>383</v>
      </c>
      <c r="U27" s="3" t="s">
        <v>261</v>
      </c>
      <c r="V27" s="3" t="s">
        <v>384</v>
      </c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phoneticPr fontId="4" type="noConversion"/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topLeftCell="N1" workbookViewId="0">
      <pane ySplit="1" topLeftCell="A4" activePane="bottomLeft" state="frozen"/>
      <selection pane="bottomLeft" activeCell="AD8" sqref="AD8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 t="shared" ref="A2:A33" si="0">IF(M2="","",M2&amp;"_"&amp;TEXT(N2,"000"))</f>
        <v>LIST_ITNIC_REQ_EIS_001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128</v>
      </c>
      <c r="J2" s="3" t="s">
        <v>129</v>
      </c>
      <c r="K2" s="3">
        <v>1</v>
      </c>
      <c r="L2" s="3" t="s">
        <v>130</v>
      </c>
      <c r="M2" s="3" t="str">
        <f>IF(B2="","","LIST"&amp;"_"&amp;IFERROR(VLOOKUP(B2,LOOKUPS!$K$2:$L$9,2,FALSE),"UNK")&amp;"_"&amp;IFERROR(VLOOKUP(C2,LOOKUPS!$N$2:$O$8,2,FALSE),"UNK")&amp;"_"&amp;UPPER(L2))</f>
        <v>LIST_ITNIC_REQ_EIS</v>
      </c>
      <c r="N2" s="3">
        <f>IF(M2="","",COUNTIF($M$2:M2,M2))</f>
        <v>1</v>
      </c>
      <c r="O2" s="3" t="s">
        <v>149</v>
      </c>
      <c r="P2" s="3">
        <v>4</v>
      </c>
      <c r="Q2" s="3" t="s">
        <v>150</v>
      </c>
      <c r="R2" s="3">
        <v>1000000</v>
      </c>
      <c r="S2" s="3" t="s">
        <v>24</v>
      </c>
      <c r="T2" s="3" t="s">
        <v>151</v>
      </c>
      <c r="U2" s="3">
        <v>0.3</v>
      </c>
      <c r="V2" s="3" t="s">
        <v>24</v>
      </c>
      <c r="W2" s="3" t="s">
        <v>152</v>
      </c>
      <c r="X2" s="3">
        <v>200000</v>
      </c>
      <c r="Y2" s="3" t="s">
        <v>24</v>
      </c>
      <c r="Z2" s="3" t="s">
        <v>153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154</v>
      </c>
    </row>
    <row r="3" spans="1:33" ht="86.4" x14ac:dyDescent="0.3">
      <c r="A3" s="3" t="str">
        <f t="shared" si="0"/>
        <v>LIST_ITNIC_REQ_EIS_002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128</v>
      </c>
      <c r="J3" s="3" t="s">
        <v>129</v>
      </c>
      <c r="K3" s="3">
        <v>1</v>
      </c>
      <c r="L3" s="3" t="s">
        <v>130</v>
      </c>
      <c r="M3" s="3" t="str">
        <f>IF(B3="","","LIST"&amp;"_"&amp;IFERROR(VLOOKUP(B3,LOOKUPS!$K$2:$L$9,2,FALSE),"UNK")&amp;"_"&amp;IFERROR(VLOOKUP(C3,LOOKUPS!$N$2:$O$8,2,FALSE),"UNK")&amp;"_"&amp;UPPER(L3))</f>
        <v>LIST_ITNIC_REQ_EIS</v>
      </c>
      <c r="N3" s="3">
        <f>IF(M3="","",COUNTIF($M$2:M3,M3))</f>
        <v>2</v>
      </c>
      <c r="O3" s="3" t="s">
        <v>155</v>
      </c>
      <c r="P3" s="3">
        <v>3</v>
      </c>
      <c r="Q3" s="3" t="s">
        <v>156</v>
      </c>
      <c r="R3" s="3">
        <v>1</v>
      </c>
      <c r="S3" s="3" t="s">
        <v>24</v>
      </c>
      <c r="T3" s="3" t="s">
        <v>157</v>
      </c>
      <c r="U3" s="3">
        <v>3</v>
      </c>
      <c r="V3" s="3" t="s">
        <v>24</v>
      </c>
      <c r="W3" s="3" t="s">
        <v>158</v>
      </c>
      <c r="X3" s="3" t="s">
        <v>159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160</v>
      </c>
    </row>
    <row r="4" spans="1:33" ht="72" x14ac:dyDescent="0.3">
      <c r="A4" s="3" t="str">
        <f t="shared" si="0"/>
        <v>LIST_ITNIC_REQ_PSC_001</v>
      </c>
      <c r="B4" s="3" t="s">
        <v>21</v>
      </c>
      <c r="C4" s="3" t="s">
        <v>22</v>
      </c>
      <c r="D4" s="3" t="s">
        <v>170</v>
      </c>
      <c r="E4" s="3" t="s">
        <v>31</v>
      </c>
      <c r="F4" s="3">
        <v>3</v>
      </c>
      <c r="G4" s="3" t="s">
        <v>16</v>
      </c>
      <c r="H4" s="3" t="s">
        <v>17</v>
      </c>
      <c r="I4" s="3" t="s">
        <v>180</v>
      </c>
      <c r="J4" s="3" t="s">
        <v>129</v>
      </c>
      <c r="K4" s="3">
        <v>1</v>
      </c>
      <c r="L4" s="3" t="s">
        <v>172</v>
      </c>
      <c r="M4" s="3" t="str">
        <f>IF(B4="","","LIST"&amp;"_"&amp;IFERROR(VLOOKUP(B4,LOOKUPS!$K$2:$L$9,2,FALSE),"UNK")&amp;"_"&amp;IFERROR(VLOOKUP(C4,LOOKUPS!$N$2:$O$8,2,FALSE),"UNK")&amp;"_"&amp;UPPER(L4))</f>
        <v>LIST_ITNIC_REQ_PSC</v>
      </c>
      <c r="N4" s="3">
        <f>IF(M4="","",COUNTIF($M$2:M4,M4))</f>
        <v>1</v>
      </c>
      <c r="O4" s="3" t="s">
        <v>192</v>
      </c>
      <c r="P4" s="3">
        <v>5</v>
      </c>
      <c r="Q4" s="3" t="s">
        <v>193</v>
      </c>
      <c r="R4" s="3" t="s">
        <v>194</v>
      </c>
      <c r="S4" s="3" t="s">
        <v>24</v>
      </c>
      <c r="T4" s="3" t="s">
        <v>195</v>
      </c>
      <c r="U4" s="3" t="s">
        <v>196</v>
      </c>
      <c r="V4" s="3" t="s">
        <v>24</v>
      </c>
      <c r="W4" s="3" t="s">
        <v>197</v>
      </c>
      <c r="X4" s="3" t="s">
        <v>198</v>
      </c>
      <c r="Y4" s="3" t="s">
        <v>24</v>
      </c>
      <c r="Z4" s="3" t="s">
        <v>199</v>
      </c>
      <c r="AA4" s="3" t="s">
        <v>200</v>
      </c>
      <c r="AB4" s="3" t="s">
        <v>24</v>
      </c>
      <c r="AC4" s="3" t="s">
        <v>201</v>
      </c>
      <c r="AD4" s="3" t="s">
        <v>202</v>
      </c>
      <c r="AE4" s="3" t="s">
        <v>24</v>
      </c>
      <c r="AF4" s="3" t="s">
        <v>17</v>
      </c>
      <c r="AG4" s="3" t="s">
        <v>203</v>
      </c>
    </row>
    <row r="5" spans="1:33" ht="100.8" x14ac:dyDescent="0.3">
      <c r="A5" s="3" t="str">
        <f t="shared" si="0"/>
        <v>LIST_ITNIC_REQ_PSC_002</v>
      </c>
      <c r="B5" s="3" t="s">
        <v>21</v>
      </c>
      <c r="C5" s="3" t="s">
        <v>22</v>
      </c>
      <c r="D5" s="3" t="s">
        <v>170</v>
      </c>
      <c r="E5" s="3" t="s">
        <v>31</v>
      </c>
      <c r="F5" s="3">
        <v>3</v>
      </c>
      <c r="G5" s="3" t="s">
        <v>16</v>
      </c>
      <c r="H5" s="3" t="s">
        <v>17</v>
      </c>
      <c r="I5" s="3" t="s">
        <v>204</v>
      </c>
      <c r="J5" s="3" t="s">
        <v>129</v>
      </c>
      <c r="K5" s="3">
        <v>1</v>
      </c>
      <c r="L5" s="3" t="s">
        <v>172</v>
      </c>
      <c r="M5" s="3" t="str">
        <f>IF(B5="","","LIST"&amp;"_"&amp;IFERROR(VLOOKUP(B5,LOOKUPS!$K$2:$L$9,2,FALSE),"UNK")&amp;"_"&amp;IFERROR(VLOOKUP(C5,LOOKUPS!$N$2:$O$8,2,FALSE),"UNK")&amp;"_"&amp;UPPER(L5))</f>
        <v>LIST_ITNIC_REQ_PSC</v>
      </c>
      <c r="N5" s="3">
        <f>IF(M5="","",COUNTIF($M$2:M5,M5))</f>
        <v>2</v>
      </c>
      <c r="O5" s="3" t="s">
        <v>205</v>
      </c>
      <c r="P5" s="3">
        <v>4</v>
      </c>
      <c r="Q5" s="3" t="s">
        <v>206</v>
      </c>
      <c r="R5" s="3" t="s">
        <v>207</v>
      </c>
      <c r="S5" s="3" t="s">
        <v>24</v>
      </c>
      <c r="T5" s="3" t="s">
        <v>208</v>
      </c>
      <c r="U5" s="3" t="s">
        <v>209</v>
      </c>
      <c r="V5" s="3" t="s">
        <v>24</v>
      </c>
      <c r="W5" s="3" t="s">
        <v>210</v>
      </c>
      <c r="X5" s="3">
        <v>45</v>
      </c>
      <c r="Y5" s="3" t="s">
        <v>24</v>
      </c>
      <c r="Z5" s="3" t="s">
        <v>211</v>
      </c>
      <c r="AA5" s="3" t="s">
        <v>212</v>
      </c>
      <c r="AB5" s="3" t="s">
        <v>24</v>
      </c>
      <c r="AC5" s="3"/>
      <c r="AD5" s="3"/>
      <c r="AE5" s="3"/>
      <c r="AF5" s="3" t="s">
        <v>17</v>
      </c>
      <c r="AG5" s="3" t="s">
        <v>213</v>
      </c>
    </row>
    <row r="6" spans="1:33" ht="57.6" x14ac:dyDescent="0.3">
      <c r="A6" s="3" t="str">
        <f t="shared" si="0"/>
        <v>LIST_ITNIC_REQ_SHS_001</v>
      </c>
      <c r="B6" t="s">
        <v>21</v>
      </c>
      <c r="C6" t="s">
        <v>22</v>
      </c>
      <c r="D6" t="s">
        <v>282</v>
      </c>
      <c r="E6" t="s">
        <v>31</v>
      </c>
      <c r="F6">
        <v>3</v>
      </c>
      <c r="G6" t="s">
        <v>16</v>
      </c>
      <c r="H6" t="s">
        <v>17</v>
      </c>
      <c r="I6" t="s">
        <v>283</v>
      </c>
      <c r="J6" t="s">
        <v>129</v>
      </c>
      <c r="K6">
        <v>1</v>
      </c>
      <c r="L6" t="s">
        <v>223</v>
      </c>
      <c r="M6" s="3" t="str">
        <f>IF(B6="","","LIST"&amp;"_"&amp;IFERROR(VLOOKUP(B6,LOOKUPS!$K$2:$L$9,2,FALSE),"UNK")&amp;"_"&amp;IFERROR(VLOOKUP(C6,LOOKUPS!$N$2:$O$8,2,FALSE),"UNK")&amp;"_"&amp;UPPER(L6))</f>
        <v>LIST_ITNIC_REQ_SHS</v>
      </c>
      <c r="N6" s="3">
        <f>IF(M6="","",COUNTIF($M$2:M6,M6))</f>
        <v>1</v>
      </c>
      <c r="O6" t="s">
        <v>284</v>
      </c>
      <c r="P6">
        <v>3</v>
      </c>
      <c r="Q6" t="s">
        <v>285</v>
      </c>
      <c r="R6" t="s">
        <v>286</v>
      </c>
      <c r="S6" t="s">
        <v>24</v>
      </c>
      <c r="T6" t="s">
        <v>287</v>
      </c>
      <c r="U6" t="s">
        <v>288</v>
      </c>
      <c r="V6" t="s">
        <v>24</v>
      </c>
      <c r="W6" t="s">
        <v>289</v>
      </c>
      <c r="X6" t="s">
        <v>290</v>
      </c>
      <c r="Y6" t="s">
        <v>24</v>
      </c>
      <c r="AF6" t="s">
        <v>17</v>
      </c>
      <c r="AG6" s="6" t="s">
        <v>291</v>
      </c>
    </row>
    <row r="7" spans="1:33" ht="72" x14ac:dyDescent="0.3">
      <c r="A7" s="3" t="str">
        <f t="shared" si="0"/>
        <v>LIST_ITNIC_REQ_SHS_002</v>
      </c>
      <c r="B7" s="3" t="s">
        <v>21</v>
      </c>
      <c r="C7" s="3" t="s">
        <v>22</v>
      </c>
      <c r="D7" s="3" t="s">
        <v>221</v>
      </c>
      <c r="E7" s="3" t="s">
        <v>31</v>
      </c>
      <c r="F7" s="3">
        <v>3</v>
      </c>
      <c r="G7" s="3" t="s">
        <v>16</v>
      </c>
      <c r="H7" s="3" t="s">
        <v>17</v>
      </c>
      <c r="I7" s="3" t="s">
        <v>243</v>
      </c>
      <c r="J7" s="3" t="s">
        <v>129</v>
      </c>
      <c r="K7" s="3">
        <v>1</v>
      </c>
      <c r="L7" s="3" t="s">
        <v>223</v>
      </c>
      <c r="M7" s="3" t="str">
        <f>IF(B7="","","LIST"&amp;"_"&amp;IFERROR(VLOOKUP(B7,LOOKUPS!$K$2:$L$9,2,FALSE),"UNK")&amp;"_"&amp;IFERROR(VLOOKUP(C7,LOOKUPS!$N$2:$O$8,2,FALSE),"UNK")&amp;"_"&amp;UPPER(L7))</f>
        <v>LIST_ITNIC_REQ_SHS</v>
      </c>
      <c r="N7" s="3">
        <f>IF(M7="","",COUNTIF($M$2:M7,M7))</f>
        <v>2</v>
      </c>
      <c r="O7" s="3" t="s">
        <v>244</v>
      </c>
      <c r="P7" s="3">
        <v>5</v>
      </c>
      <c r="Q7" s="3" t="s">
        <v>245</v>
      </c>
      <c r="R7" s="3">
        <v>60000</v>
      </c>
      <c r="S7" s="3" t="s">
        <v>24</v>
      </c>
      <c r="T7" s="3" t="s">
        <v>246</v>
      </c>
      <c r="U7" s="3">
        <v>3</v>
      </c>
      <c r="V7" s="3" t="s">
        <v>24</v>
      </c>
      <c r="W7" s="3" t="s">
        <v>247</v>
      </c>
      <c r="X7" s="3">
        <v>10</v>
      </c>
      <c r="Y7" s="3" t="s">
        <v>24</v>
      </c>
      <c r="Z7" s="3" t="s">
        <v>248</v>
      </c>
      <c r="AA7" s="3">
        <v>250000</v>
      </c>
      <c r="AB7" s="3" t="s">
        <v>24</v>
      </c>
      <c r="AC7" s="3" t="s">
        <v>249</v>
      </c>
      <c r="AD7" s="3">
        <v>3000000</v>
      </c>
      <c r="AE7" s="3" t="s">
        <v>24</v>
      </c>
      <c r="AF7" s="3" t="s">
        <v>17</v>
      </c>
      <c r="AG7" s="3" t="s">
        <v>250</v>
      </c>
    </row>
    <row r="8" spans="1:33" ht="100.8" x14ac:dyDescent="0.3">
      <c r="A8" s="3" t="str">
        <f t="shared" si="0"/>
        <v>LIST_ITNIC_REQ_SHS_003</v>
      </c>
      <c r="B8" s="3" t="s">
        <v>21</v>
      </c>
      <c r="C8" s="3" t="s">
        <v>22</v>
      </c>
      <c r="D8" s="3" t="s">
        <v>221</v>
      </c>
      <c r="E8" s="3" t="s">
        <v>31</v>
      </c>
      <c r="F8" s="3">
        <v>3</v>
      </c>
      <c r="G8" s="3" t="s">
        <v>16</v>
      </c>
      <c r="H8" s="3" t="s">
        <v>17</v>
      </c>
      <c r="I8" s="3" t="s">
        <v>251</v>
      </c>
      <c r="J8" s="3" t="s">
        <v>129</v>
      </c>
      <c r="K8" s="3">
        <v>1</v>
      </c>
      <c r="L8" s="3" t="s">
        <v>223</v>
      </c>
      <c r="M8" s="3" t="str">
        <f>IF(B8="","","LIST"&amp;"_"&amp;IFERROR(VLOOKUP(B8,LOOKUPS!$K$2:$L$9,2,FALSE),"UNK")&amp;"_"&amp;IFERROR(VLOOKUP(C8,LOOKUPS!$N$2:$O$8,2,FALSE),"UNK")&amp;"_"&amp;UPPER(L8))</f>
        <v>LIST_ITNIC_REQ_SHS</v>
      </c>
      <c r="N8" s="3">
        <f>IF(M8="","",COUNTIF($M$2:M8,M8))</f>
        <v>3</v>
      </c>
      <c r="O8" s="3" t="s">
        <v>252</v>
      </c>
      <c r="P8" s="3">
        <v>5</v>
      </c>
      <c r="Q8" s="3" t="s">
        <v>253</v>
      </c>
      <c r="R8" s="3">
        <v>5</v>
      </c>
      <c r="S8" s="3" t="s">
        <v>24</v>
      </c>
      <c r="T8" s="3" t="s">
        <v>254</v>
      </c>
      <c r="U8" s="3">
        <v>3</v>
      </c>
      <c r="V8" s="3" t="s">
        <v>24</v>
      </c>
      <c r="W8" s="3" t="s">
        <v>255</v>
      </c>
      <c r="X8" s="3" t="s">
        <v>256</v>
      </c>
      <c r="Y8" s="3" t="s">
        <v>24</v>
      </c>
      <c r="Z8" s="3" t="s">
        <v>257</v>
      </c>
      <c r="AA8" s="3">
        <v>3</v>
      </c>
      <c r="AB8" s="3" t="s">
        <v>24</v>
      </c>
      <c r="AC8" s="3" t="s">
        <v>258</v>
      </c>
      <c r="AD8" s="3">
        <v>5</v>
      </c>
      <c r="AE8" s="3" t="s">
        <v>24</v>
      </c>
      <c r="AF8" s="3" t="s">
        <v>17</v>
      </c>
      <c r="AG8" s="3" t="s">
        <v>259</v>
      </c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ref="A34:A66" si="1">IF(M34="","",M34&amp;"_"&amp;TEXT(N34,"000"))</f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1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1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1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1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1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1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1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1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1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1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1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1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1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1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1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1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1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1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1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1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1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1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1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1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1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1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1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1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1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1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1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1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2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2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2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2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2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2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2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2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2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2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2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2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2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2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2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2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2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2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2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2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2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2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2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2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2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2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2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2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2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2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2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2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2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2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2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2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2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2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2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2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2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2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2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2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2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2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2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2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2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2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2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2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2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2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2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2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2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2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2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2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2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2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2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2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3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3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3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3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3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3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3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3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3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3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3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3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3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3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3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3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3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3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3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3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3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3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3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3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3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3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3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3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3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3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3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3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3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3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3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3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3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3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3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3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3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3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3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3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3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3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3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3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3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3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3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3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3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3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3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3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3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3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3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3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3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3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3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3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4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4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4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4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4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4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5 F7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xr:uid="{00000000-0002-0000-0400-000000000000}">
          <x14:formula1>
            <xm:f>LOOKUPS!$A$2:$A$9</xm:f>
          </x14:formula1>
          <xm:sqref>B2:B5 B7:B1000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H2:H5 H7:H1000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E2:E5 E7:E1000</xm:sqref>
        </x14:dataValidation>
        <x14:dataValidation type="list" allowBlank="1" xr:uid="{4DB459AB-DEEE-424A-BFDE-70D3C9FA60C5}">
          <x14:formula1>
            <xm:f>LOOKUPS!$C$2:$C$8</xm:f>
          </x14:formula1>
          <xm:sqref>C2:C5 C7:C200</xm:sqref>
        </x14:dataValidation>
        <x14:dataValidation type="list" allowBlank="1" xr:uid="{361395C3-3CC4-4CFD-8009-1A70A6383484}">
          <x14:formula1>
            <xm:f>LOOKUPS!$E$2:$E$4</xm:f>
          </x14:formula1>
          <xm:sqref>G2:G5 G7:G200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0"/>
  <sheetViews>
    <sheetView tabSelected="1" topLeftCell="N1" workbookViewId="0">
      <pane ySplit="1" topLeftCell="A7" activePane="bottomLeft" state="frozen"/>
      <selection pane="bottomLeft" activeCell="S7" sqref="S7"/>
    </sheetView>
  </sheetViews>
  <sheetFormatPr defaultRowHeight="14.4" x14ac:dyDescent="0.3"/>
  <cols>
    <col min="1" max="2" width="22" style="3" customWidth="1"/>
    <col min="3" max="3" width="18" style="3" customWidth="1"/>
    <col min="4" max="4" width="22" style="3" customWidth="1"/>
    <col min="5" max="5" width="15" style="3" customWidth="1"/>
    <col min="6" max="6" width="10.33203125" style="3" customWidth="1"/>
    <col min="7" max="7" width="10" style="3" customWidth="1"/>
    <col min="8" max="8" width="8" style="3" customWidth="1"/>
    <col min="9" max="9" width="16" style="3" customWidth="1"/>
    <col min="10" max="10" width="12" style="3" customWidth="1"/>
    <col min="11" max="11" width="9" style="3" customWidth="1"/>
    <col min="12" max="12" width="15.21875" style="3" customWidth="1"/>
    <col min="13" max="13" width="26" style="3" customWidth="1"/>
    <col min="14" max="14" width="36" style="3" customWidth="1"/>
    <col min="15" max="15" width="10" style="3" customWidth="1"/>
    <col min="16" max="17" width="18" style="3" customWidth="1"/>
    <col min="18" max="18" width="20.33203125" style="3" customWidth="1"/>
    <col min="19" max="20" width="45" style="3" customWidth="1"/>
    <col min="21" max="16384" width="8.88671875" style="3"/>
  </cols>
  <sheetData>
    <row r="1" spans="1:32" ht="28.05" customHeight="1" x14ac:dyDescent="0.3">
      <c r="A1" s="7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58</v>
      </c>
      <c r="H1" s="7" t="s">
        <v>59</v>
      </c>
      <c r="I1" s="7" t="s">
        <v>60</v>
      </c>
      <c r="J1" s="7" t="s">
        <v>61</v>
      </c>
      <c r="K1" s="7" t="s">
        <v>62</v>
      </c>
      <c r="L1" s="7" t="s">
        <v>63</v>
      </c>
      <c r="M1" s="7" t="s">
        <v>64</v>
      </c>
      <c r="N1" s="7" t="s">
        <v>65</v>
      </c>
      <c r="O1" s="7" t="s">
        <v>94</v>
      </c>
      <c r="P1" s="7" t="s">
        <v>95</v>
      </c>
      <c r="Q1" s="7" t="s">
        <v>112</v>
      </c>
      <c r="R1" s="7" t="s">
        <v>113</v>
      </c>
      <c r="S1" s="7" t="s">
        <v>96</v>
      </c>
      <c r="T1" s="7" t="s">
        <v>73</v>
      </c>
    </row>
    <row r="2" spans="1:32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H2" s="3" t="s">
        <v>17</v>
      </c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169</v>
      </c>
      <c r="Q2" s="3" t="s">
        <v>115</v>
      </c>
      <c r="R2" s="3" t="s">
        <v>116</v>
      </c>
      <c r="S2" s="3" t="s">
        <v>117</v>
      </c>
    </row>
    <row r="3" spans="1:32" ht="302.39999999999998" x14ac:dyDescent="0.3">
      <c r="A3" s="3" t="str">
        <f t="shared" ref="A3:A66" si="0">IF(M3="","",M3&amp;"_"&amp;TEXT(N3,"000"))</f>
        <v>PF_ITNIC_PF_IR35_001</v>
      </c>
      <c r="B3" s="3" t="s">
        <v>21</v>
      </c>
      <c r="C3" s="3" t="s">
        <v>35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tr">
        <f>IF(B3="","","PF"&amp;"_"&amp;IFERROR(VLOOKUP(B3,LOOKUPS!$K$2:$L$9,2,FALSE),"UNK")&amp;"_"&amp;IFERROR(VLOOKUP(C3,LOOKUPS!$N$2:$O$8,2,FALSE),"UNK")&amp;"_"&amp;UPPER(L3))</f>
        <v>PF_ITNIC_PF_IR35</v>
      </c>
      <c r="N3" s="3">
        <f>IF(M3="","",COUNTIF($M$2:M3,M3))</f>
        <v>1</v>
      </c>
      <c r="O3" s="3" t="s">
        <v>264</v>
      </c>
      <c r="P3" s="3" t="s">
        <v>265</v>
      </c>
      <c r="Q3" s="3" t="s">
        <v>124</v>
      </c>
      <c r="R3" s="3" t="s">
        <v>125</v>
      </c>
      <c r="S3" s="3" t="s">
        <v>126</v>
      </c>
      <c r="T3" s="3" t="s">
        <v>127</v>
      </c>
    </row>
    <row r="4" spans="1:32" ht="374.4" x14ac:dyDescent="0.3">
      <c r="A4" s="3" t="str">
        <f t="shared" si="0"/>
        <v>PF_ITNIC_REQ_EIS_001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128</v>
      </c>
      <c r="J4" s="3" t="s">
        <v>129</v>
      </c>
      <c r="K4" s="3">
        <v>1</v>
      </c>
      <c r="L4" s="3" t="s">
        <v>130</v>
      </c>
      <c r="M4" s="3" t="str">
        <f>IF(B4="","","PF"&amp;"_"&amp;IFERROR(VLOOKUP(B4,LOOKUPS!$K$2:$L$9,2,FALSE),"UNK")&amp;"_"&amp;IFERROR(VLOOKUP(C4,LOOKUPS!$N$2:$O$8,2,FALSE),"UNK")&amp;"_"&amp;UPPER(L4))</f>
        <v>PF_ITNIC_REQ_EIS</v>
      </c>
      <c r="N4" s="3">
        <f>IF(M4="","",COUNTIF($M$2:M4,M4))</f>
        <v>1</v>
      </c>
      <c r="O4" s="3" t="s">
        <v>163</v>
      </c>
      <c r="P4" s="3" t="s">
        <v>164</v>
      </c>
      <c r="Q4" s="3" t="s">
        <v>165</v>
      </c>
      <c r="R4" s="3" t="s">
        <v>166</v>
      </c>
      <c r="S4" s="3" t="s">
        <v>167</v>
      </c>
      <c r="T4" s="3" t="s">
        <v>168</v>
      </c>
    </row>
    <row r="5" spans="1:32" ht="345.6" x14ac:dyDescent="0.3">
      <c r="A5" s="3" t="str">
        <f t="shared" si="0"/>
        <v>PF_ITNIC_REQ_PSC_001</v>
      </c>
      <c r="B5" s="3" t="s">
        <v>21</v>
      </c>
      <c r="C5" s="3" t="s">
        <v>22</v>
      </c>
      <c r="D5" s="3" t="s">
        <v>170</v>
      </c>
      <c r="E5" s="3" t="s">
        <v>36</v>
      </c>
      <c r="F5" s="3">
        <v>3</v>
      </c>
      <c r="G5" s="3" t="s">
        <v>16</v>
      </c>
      <c r="H5" s="3" t="s">
        <v>17</v>
      </c>
      <c r="I5" s="3" t="s">
        <v>214</v>
      </c>
      <c r="J5" s="3" t="s">
        <v>129</v>
      </c>
      <c r="K5" s="3">
        <v>1</v>
      </c>
      <c r="L5" s="3" t="s">
        <v>172</v>
      </c>
      <c r="M5" s="3" t="str">
        <f>IF(B5="","","PF"&amp;"_"&amp;IFERROR(VLOOKUP(B5,LOOKUPS!$K$2:$L$9,2,FALSE),"UNK")&amp;"_"&amp;IFERROR(VLOOKUP(C5,LOOKUPS!$N$2:$O$8,2,FALSE),"UNK")&amp;"_"&amp;UPPER(L5))</f>
        <v>PF_ITNIC_REQ_PSC</v>
      </c>
      <c r="N5" s="3">
        <f>IF(M5="","",COUNTIF($M$2:M5,M5))</f>
        <v>1</v>
      </c>
      <c r="O5" s="3" t="s">
        <v>215</v>
      </c>
      <c r="P5" s="3" t="s">
        <v>216</v>
      </c>
      <c r="Q5" s="3" t="s">
        <v>217</v>
      </c>
      <c r="R5" s="3" t="s">
        <v>218</v>
      </c>
      <c r="S5" s="3" t="s">
        <v>219</v>
      </c>
      <c r="T5" s="3" t="s">
        <v>220</v>
      </c>
      <c r="AF5" s="3" t="s">
        <v>17</v>
      </c>
    </row>
    <row r="6" spans="1:32" ht="158.4" x14ac:dyDescent="0.3">
      <c r="A6" s="3" t="str">
        <f t="shared" si="0"/>
        <v>PF_ITNIC_REQ_PSC_002</v>
      </c>
      <c r="B6" s="3" t="s">
        <v>21</v>
      </c>
      <c r="C6" s="3" t="s">
        <v>22</v>
      </c>
      <c r="D6" s="3" t="s">
        <v>170</v>
      </c>
      <c r="E6" s="3" t="s">
        <v>36</v>
      </c>
      <c r="F6" s="3">
        <v>3</v>
      </c>
      <c r="G6" s="3" t="s">
        <v>16</v>
      </c>
      <c r="H6" s="3" t="s">
        <v>17</v>
      </c>
      <c r="I6" s="3" t="s">
        <v>214</v>
      </c>
      <c r="J6" s="3" t="s">
        <v>129</v>
      </c>
      <c r="K6" s="3">
        <v>1</v>
      </c>
      <c r="L6" s="3" t="s">
        <v>172</v>
      </c>
      <c r="M6" s="3" t="str">
        <f>IF(B6="","","PF"&amp;"_"&amp;IFERROR(VLOOKUP(B6,LOOKUPS!$K$2:$L$9,2,FALSE),"UNK")&amp;"_"&amp;IFERROR(VLOOKUP(C6,LOOKUPS!$N$2:$O$8,2,FALSE),"UNK")&amp;"_"&amp;UPPER(L6))</f>
        <v>PF_ITNIC_REQ_PSC</v>
      </c>
      <c r="N6" s="3">
        <f>IF(M6="","",COUNTIF($M$2:M6,M6))</f>
        <v>2</v>
      </c>
      <c r="O6" s="3" t="s">
        <v>215</v>
      </c>
      <c r="P6" s="3" t="s">
        <v>266</v>
      </c>
      <c r="Q6" s="3" t="s">
        <v>267</v>
      </c>
      <c r="R6" s="3" t="s">
        <v>268</v>
      </c>
      <c r="S6" s="3" t="s">
        <v>269</v>
      </c>
      <c r="T6" s="3" t="s">
        <v>270</v>
      </c>
    </row>
    <row r="7" spans="1:32" ht="409.6" x14ac:dyDescent="0.3">
      <c r="A7" s="3" t="str">
        <f t="shared" si="0"/>
        <v>PF_ITNIC_PF_ITCOMP_001</v>
      </c>
      <c r="B7" s="3" t="s">
        <v>21</v>
      </c>
      <c r="C7" s="3" t="s">
        <v>35</v>
      </c>
      <c r="D7" s="3" t="s">
        <v>385</v>
      </c>
      <c r="E7" s="3" t="s">
        <v>36</v>
      </c>
      <c r="F7" s="3">
        <v>3</v>
      </c>
      <c r="G7" s="3" t="s">
        <v>16</v>
      </c>
      <c r="H7" s="3" t="s">
        <v>17</v>
      </c>
      <c r="I7" s="3" t="s">
        <v>386</v>
      </c>
      <c r="J7" s="3" t="s">
        <v>387</v>
      </c>
      <c r="K7" s="3">
        <v>1</v>
      </c>
      <c r="L7" s="3" t="s">
        <v>388</v>
      </c>
      <c r="M7" s="3" t="str">
        <f>IF(B7="","","PF"&amp;"_"&amp;IFERROR(VLOOKUP(B7,LOOKUPS!$K$2:$L$9,2,FALSE),"UNK")&amp;"_"&amp;IFERROR(VLOOKUP(C7,LOOKUPS!$N$2:$O$8,2,FALSE),"UNK")&amp;"_"&amp;UPPER(L7))</f>
        <v>PF_ITNIC_PF_ITCOMP</v>
      </c>
      <c r="N7" s="3">
        <f>IF(M7="","",COUNTIF($M$2:M7,M7))</f>
        <v>1</v>
      </c>
      <c r="O7" s="3" t="s">
        <v>385</v>
      </c>
      <c r="P7" s="3" t="s">
        <v>389</v>
      </c>
      <c r="Q7" s="3" t="s">
        <v>390</v>
      </c>
      <c r="R7" s="3" t="s">
        <v>391</v>
      </c>
      <c r="S7" s="3" t="s">
        <v>394</v>
      </c>
      <c r="T7" s="3" t="s">
        <v>392</v>
      </c>
    </row>
    <row r="8" spans="1:32" x14ac:dyDescent="0.3">
      <c r="A8" s="3" t="str">
        <f t="shared" si="0"/>
        <v/>
      </c>
      <c r="E8" s="3" t="s">
        <v>36</v>
      </c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</row>
    <row r="9" spans="1:32" x14ac:dyDescent="0.3">
      <c r="A9" s="3" t="str">
        <f t="shared" si="0"/>
        <v/>
      </c>
      <c r="E9" s="3" t="s">
        <v>36</v>
      </c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</row>
    <row r="10" spans="1:32" x14ac:dyDescent="0.3">
      <c r="A10" s="3" t="str">
        <f t="shared" si="0"/>
        <v/>
      </c>
      <c r="E10" s="3" t="s">
        <v>36</v>
      </c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</row>
    <row r="11" spans="1:32" x14ac:dyDescent="0.3">
      <c r="A11" s="3" t="str">
        <f t="shared" si="0"/>
        <v/>
      </c>
      <c r="E11" s="3" t="s">
        <v>36</v>
      </c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</row>
    <row r="12" spans="1:32" x14ac:dyDescent="0.3">
      <c r="A12" s="3" t="str">
        <f t="shared" si="0"/>
        <v/>
      </c>
      <c r="E12" s="3" t="s">
        <v>36</v>
      </c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</row>
    <row r="13" spans="1:32" x14ac:dyDescent="0.3">
      <c r="A13" s="3" t="str">
        <f t="shared" si="0"/>
        <v/>
      </c>
      <c r="E13" s="3" t="s">
        <v>36</v>
      </c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</row>
    <row r="14" spans="1:32" x14ac:dyDescent="0.3">
      <c r="A14" s="3" t="str">
        <f t="shared" si="0"/>
        <v/>
      </c>
      <c r="E14" s="3" t="s">
        <v>36</v>
      </c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</row>
    <row r="15" spans="1:32" x14ac:dyDescent="0.3">
      <c r="A15" s="3" t="str">
        <f t="shared" si="0"/>
        <v/>
      </c>
      <c r="E15" s="3" t="s">
        <v>36</v>
      </c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</row>
    <row r="16" spans="1:32" x14ac:dyDescent="0.3">
      <c r="A16" s="3" t="str">
        <f t="shared" si="0"/>
        <v/>
      </c>
      <c r="E16" s="3" t="s">
        <v>36</v>
      </c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</row>
    <row r="17" spans="1:14" x14ac:dyDescent="0.3">
      <c r="A17" s="3" t="str">
        <f t="shared" si="0"/>
        <v/>
      </c>
      <c r="E17" s="3" t="s">
        <v>36</v>
      </c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</row>
    <row r="18" spans="1:14" x14ac:dyDescent="0.3">
      <c r="A18" s="3" t="str">
        <f t="shared" si="0"/>
        <v/>
      </c>
      <c r="E18" s="3" t="s">
        <v>36</v>
      </c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</row>
    <row r="19" spans="1:14" x14ac:dyDescent="0.3">
      <c r="A19" s="3" t="str">
        <f t="shared" si="0"/>
        <v/>
      </c>
      <c r="E19" s="3" t="s">
        <v>36</v>
      </c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</row>
    <row r="20" spans="1:14" x14ac:dyDescent="0.3">
      <c r="A20" s="3" t="str">
        <f t="shared" si="0"/>
        <v/>
      </c>
      <c r="E20" s="3" t="s">
        <v>36</v>
      </c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</row>
    <row r="21" spans="1:14" x14ac:dyDescent="0.3">
      <c r="A21" s="3" t="str">
        <f t="shared" si="0"/>
        <v/>
      </c>
      <c r="E21" s="3" t="s">
        <v>36</v>
      </c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</row>
    <row r="22" spans="1:14" x14ac:dyDescent="0.3">
      <c r="A22" s="3" t="str">
        <f t="shared" si="0"/>
        <v/>
      </c>
      <c r="E22" s="3" t="s">
        <v>36</v>
      </c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</row>
    <row r="23" spans="1:14" x14ac:dyDescent="0.3">
      <c r="A23" s="3" t="str">
        <f t="shared" si="0"/>
        <v/>
      </c>
      <c r="E23" s="3" t="s">
        <v>36</v>
      </c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</row>
    <row r="24" spans="1:14" x14ac:dyDescent="0.3">
      <c r="A24" s="3" t="str">
        <f t="shared" si="0"/>
        <v/>
      </c>
      <c r="E24" s="3" t="s">
        <v>36</v>
      </c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</row>
    <row r="25" spans="1:14" x14ac:dyDescent="0.3">
      <c r="A25" s="3" t="str">
        <f t="shared" si="0"/>
        <v/>
      </c>
      <c r="E25" s="3" t="s">
        <v>36</v>
      </c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</row>
    <row r="26" spans="1:14" x14ac:dyDescent="0.3">
      <c r="A26" s="3" t="str">
        <f t="shared" si="0"/>
        <v/>
      </c>
      <c r="E26" s="3" t="s">
        <v>36</v>
      </c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</row>
    <row r="27" spans="1:14" x14ac:dyDescent="0.3">
      <c r="A27" s="3" t="str">
        <f t="shared" si="0"/>
        <v/>
      </c>
      <c r="E27" s="3" t="s">
        <v>36</v>
      </c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</row>
    <row r="28" spans="1:14" x14ac:dyDescent="0.3">
      <c r="A28" s="3" t="str">
        <f t="shared" si="0"/>
        <v/>
      </c>
      <c r="E28" s="3" t="s">
        <v>36</v>
      </c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</row>
    <row r="29" spans="1:14" x14ac:dyDescent="0.3">
      <c r="A29" s="3" t="str">
        <f t="shared" si="0"/>
        <v/>
      </c>
      <c r="E29" s="3" t="s">
        <v>36</v>
      </c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</row>
    <row r="30" spans="1:14" x14ac:dyDescent="0.3">
      <c r="A30" s="3" t="str">
        <f t="shared" si="0"/>
        <v/>
      </c>
      <c r="E30" s="3" t="s">
        <v>36</v>
      </c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</row>
    <row r="31" spans="1:14" x14ac:dyDescent="0.3">
      <c r="A31" s="3" t="str">
        <f t="shared" si="0"/>
        <v/>
      </c>
      <c r="E31" s="3" t="s">
        <v>36</v>
      </c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</row>
    <row r="32" spans="1:14" x14ac:dyDescent="0.3">
      <c r="A32" s="3" t="str">
        <f t="shared" si="0"/>
        <v/>
      </c>
      <c r="E32" s="3" t="s">
        <v>36</v>
      </c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</row>
    <row r="33" spans="1:14" x14ac:dyDescent="0.3">
      <c r="A33" s="3" t="str">
        <f t="shared" si="0"/>
        <v/>
      </c>
      <c r="E33" s="3" t="s">
        <v>36</v>
      </c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</row>
    <row r="34" spans="1:14" x14ac:dyDescent="0.3">
      <c r="A34" s="3" t="str">
        <f t="shared" si="0"/>
        <v/>
      </c>
      <c r="E34" s="3" t="s">
        <v>36</v>
      </c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</row>
    <row r="35" spans="1:14" x14ac:dyDescent="0.3">
      <c r="A35" s="3" t="str">
        <f t="shared" si="0"/>
        <v/>
      </c>
      <c r="E35" s="3" t="s">
        <v>36</v>
      </c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</row>
    <row r="36" spans="1:14" x14ac:dyDescent="0.3">
      <c r="A36" s="3" t="str">
        <f t="shared" si="0"/>
        <v/>
      </c>
      <c r="E36" s="3" t="s">
        <v>36</v>
      </c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</row>
    <row r="37" spans="1:14" x14ac:dyDescent="0.3">
      <c r="A37" s="3" t="str">
        <f t="shared" si="0"/>
        <v/>
      </c>
      <c r="E37" s="3" t="s">
        <v>36</v>
      </c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</row>
    <row r="38" spans="1:14" x14ac:dyDescent="0.3">
      <c r="A38" s="3" t="str">
        <f t="shared" si="0"/>
        <v/>
      </c>
      <c r="E38" s="3" t="s">
        <v>36</v>
      </c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</row>
    <row r="39" spans="1:14" x14ac:dyDescent="0.3">
      <c r="A39" s="3" t="str">
        <f t="shared" si="0"/>
        <v/>
      </c>
      <c r="E39" s="3" t="s">
        <v>36</v>
      </c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</row>
    <row r="40" spans="1:14" x14ac:dyDescent="0.3">
      <c r="A40" s="3" t="str">
        <f t="shared" si="0"/>
        <v/>
      </c>
      <c r="E40" s="3" t="s">
        <v>36</v>
      </c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</row>
    <row r="41" spans="1:14" x14ac:dyDescent="0.3">
      <c r="A41" s="3" t="str">
        <f t="shared" si="0"/>
        <v/>
      </c>
      <c r="E41" s="3" t="s">
        <v>36</v>
      </c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</row>
    <row r="42" spans="1:14" x14ac:dyDescent="0.3">
      <c r="A42" s="3" t="str">
        <f t="shared" si="0"/>
        <v/>
      </c>
      <c r="E42" s="3" t="s">
        <v>36</v>
      </c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</row>
    <row r="43" spans="1:14" x14ac:dyDescent="0.3">
      <c r="A43" s="3" t="str">
        <f t="shared" si="0"/>
        <v/>
      </c>
      <c r="E43" s="3" t="s">
        <v>36</v>
      </c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</row>
    <row r="44" spans="1:14" x14ac:dyDescent="0.3">
      <c r="A44" s="3" t="str">
        <f t="shared" si="0"/>
        <v/>
      </c>
      <c r="E44" s="3" t="s">
        <v>36</v>
      </c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</row>
    <row r="45" spans="1:14" x14ac:dyDescent="0.3">
      <c r="A45" s="3" t="str">
        <f t="shared" si="0"/>
        <v/>
      </c>
      <c r="E45" s="3" t="s">
        <v>36</v>
      </c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</row>
    <row r="46" spans="1:14" x14ac:dyDescent="0.3">
      <c r="A46" s="3" t="str">
        <f t="shared" si="0"/>
        <v/>
      </c>
      <c r="E46" s="3" t="s">
        <v>36</v>
      </c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</row>
    <row r="47" spans="1:14" x14ac:dyDescent="0.3">
      <c r="A47" s="3" t="str">
        <f t="shared" si="0"/>
        <v/>
      </c>
      <c r="E47" s="3" t="s">
        <v>36</v>
      </c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</row>
    <row r="48" spans="1:14" x14ac:dyDescent="0.3">
      <c r="A48" s="3" t="str">
        <f t="shared" si="0"/>
        <v/>
      </c>
      <c r="E48" s="3" t="s">
        <v>36</v>
      </c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</row>
    <row r="49" spans="1:14" x14ac:dyDescent="0.3">
      <c r="A49" s="3" t="str">
        <f t="shared" si="0"/>
        <v/>
      </c>
      <c r="E49" s="3" t="s">
        <v>36</v>
      </c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</row>
    <row r="50" spans="1:14" x14ac:dyDescent="0.3">
      <c r="A50" s="3" t="str">
        <f t="shared" si="0"/>
        <v/>
      </c>
      <c r="E50" s="3" t="s">
        <v>36</v>
      </c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</row>
    <row r="51" spans="1:14" x14ac:dyDescent="0.3">
      <c r="A51" s="3" t="str">
        <f t="shared" si="0"/>
        <v/>
      </c>
      <c r="E51" s="3" t="s">
        <v>36</v>
      </c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</row>
    <row r="52" spans="1:14" x14ac:dyDescent="0.3">
      <c r="A52" s="3" t="str">
        <f t="shared" si="0"/>
        <v/>
      </c>
      <c r="E52" s="3" t="s">
        <v>36</v>
      </c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</row>
    <row r="53" spans="1:14" x14ac:dyDescent="0.3">
      <c r="A53" s="3" t="str">
        <f t="shared" si="0"/>
        <v/>
      </c>
      <c r="E53" s="3" t="s">
        <v>36</v>
      </c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</row>
    <row r="54" spans="1:14" x14ac:dyDescent="0.3">
      <c r="A54" s="3" t="str">
        <f t="shared" si="0"/>
        <v/>
      </c>
      <c r="E54" s="3" t="s">
        <v>36</v>
      </c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</row>
    <row r="55" spans="1:14" x14ac:dyDescent="0.3">
      <c r="A55" s="3" t="str">
        <f t="shared" si="0"/>
        <v/>
      </c>
      <c r="E55" s="3" t="s">
        <v>36</v>
      </c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</row>
    <row r="56" spans="1:14" x14ac:dyDescent="0.3">
      <c r="A56" s="3" t="str">
        <f t="shared" si="0"/>
        <v/>
      </c>
      <c r="E56" s="3" t="s">
        <v>36</v>
      </c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</row>
    <row r="57" spans="1:14" x14ac:dyDescent="0.3">
      <c r="A57" s="3" t="str">
        <f t="shared" si="0"/>
        <v/>
      </c>
      <c r="E57" s="3" t="s">
        <v>36</v>
      </c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</row>
    <row r="58" spans="1:14" x14ac:dyDescent="0.3">
      <c r="A58" s="3" t="str">
        <f t="shared" si="0"/>
        <v/>
      </c>
      <c r="E58" s="3" t="s">
        <v>36</v>
      </c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</row>
    <row r="59" spans="1:14" x14ac:dyDescent="0.3">
      <c r="A59" s="3" t="str">
        <f t="shared" si="0"/>
        <v/>
      </c>
      <c r="E59" s="3" t="s">
        <v>36</v>
      </c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</row>
    <row r="60" spans="1:14" x14ac:dyDescent="0.3">
      <c r="A60" s="3" t="str">
        <f t="shared" si="0"/>
        <v/>
      </c>
      <c r="E60" s="3" t="s">
        <v>36</v>
      </c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</row>
    <row r="61" spans="1:14" x14ac:dyDescent="0.3">
      <c r="A61" s="3" t="str">
        <f t="shared" si="0"/>
        <v/>
      </c>
      <c r="E61" s="3" t="s">
        <v>36</v>
      </c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</row>
    <row r="62" spans="1:14" x14ac:dyDescent="0.3">
      <c r="A62" s="3" t="str">
        <f t="shared" si="0"/>
        <v/>
      </c>
      <c r="E62" s="3" t="s">
        <v>36</v>
      </c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</row>
    <row r="63" spans="1:14" x14ac:dyDescent="0.3">
      <c r="A63" s="3" t="str">
        <f t="shared" si="0"/>
        <v/>
      </c>
      <c r="E63" s="3" t="s">
        <v>36</v>
      </c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</row>
    <row r="64" spans="1:14" x14ac:dyDescent="0.3">
      <c r="A64" s="3" t="str">
        <f t="shared" si="0"/>
        <v/>
      </c>
      <c r="E64" s="3" t="s">
        <v>36</v>
      </c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</row>
    <row r="65" spans="1:14" x14ac:dyDescent="0.3">
      <c r="A65" s="3" t="str">
        <f t="shared" si="0"/>
        <v/>
      </c>
      <c r="E65" s="3" t="s">
        <v>36</v>
      </c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</row>
    <row r="66" spans="1:14" x14ac:dyDescent="0.3">
      <c r="A66" s="3" t="str">
        <f t="shared" si="0"/>
        <v/>
      </c>
      <c r="E66" s="3" t="s">
        <v>36</v>
      </c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</row>
    <row r="67" spans="1:14" x14ac:dyDescent="0.3">
      <c r="A67" s="3" t="str">
        <f t="shared" ref="A67:A130" si="1">IF(M67="","",M67&amp;"_"&amp;TEXT(N67,"000"))</f>
        <v/>
      </c>
      <c r="E67" s="3" t="s">
        <v>36</v>
      </c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</row>
    <row r="68" spans="1:14" x14ac:dyDescent="0.3">
      <c r="A68" s="3" t="str">
        <f t="shared" si="1"/>
        <v/>
      </c>
      <c r="E68" s="3" t="s">
        <v>36</v>
      </c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</row>
    <row r="69" spans="1:14" x14ac:dyDescent="0.3">
      <c r="A69" s="3" t="str">
        <f t="shared" si="1"/>
        <v/>
      </c>
      <c r="E69" s="3" t="s">
        <v>36</v>
      </c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</row>
    <row r="70" spans="1:14" x14ac:dyDescent="0.3">
      <c r="A70" s="3" t="str">
        <f t="shared" si="1"/>
        <v/>
      </c>
      <c r="E70" s="3" t="s">
        <v>36</v>
      </c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</row>
    <row r="71" spans="1:14" x14ac:dyDescent="0.3">
      <c r="A71" s="3" t="str">
        <f t="shared" si="1"/>
        <v/>
      </c>
      <c r="E71" s="3" t="s">
        <v>36</v>
      </c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</row>
    <row r="72" spans="1:14" x14ac:dyDescent="0.3">
      <c r="A72" s="3" t="str">
        <f t="shared" si="1"/>
        <v/>
      </c>
      <c r="E72" s="3" t="s">
        <v>36</v>
      </c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</row>
    <row r="73" spans="1:14" x14ac:dyDescent="0.3">
      <c r="A73" s="3" t="str">
        <f t="shared" si="1"/>
        <v/>
      </c>
      <c r="E73" s="3" t="s">
        <v>36</v>
      </c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</row>
    <row r="74" spans="1:14" x14ac:dyDescent="0.3">
      <c r="A74" s="3" t="str">
        <f t="shared" si="1"/>
        <v/>
      </c>
      <c r="E74" s="3" t="s">
        <v>36</v>
      </c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</row>
    <row r="75" spans="1:14" x14ac:dyDescent="0.3">
      <c r="A75" s="3" t="str">
        <f t="shared" si="1"/>
        <v/>
      </c>
      <c r="E75" s="3" t="s">
        <v>36</v>
      </c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</row>
    <row r="76" spans="1:14" x14ac:dyDescent="0.3">
      <c r="A76" s="3" t="str">
        <f t="shared" si="1"/>
        <v/>
      </c>
      <c r="E76" s="3" t="s">
        <v>36</v>
      </c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</row>
    <row r="77" spans="1:14" x14ac:dyDescent="0.3">
      <c r="A77" s="3" t="str">
        <f t="shared" si="1"/>
        <v/>
      </c>
      <c r="E77" s="3" t="s">
        <v>36</v>
      </c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</row>
    <row r="78" spans="1:14" x14ac:dyDescent="0.3">
      <c r="A78" s="3" t="str">
        <f t="shared" si="1"/>
        <v/>
      </c>
      <c r="E78" s="3" t="s">
        <v>36</v>
      </c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</row>
    <row r="79" spans="1:14" x14ac:dyDescent="0.3">
      <c r="A79" s="3" t="str">
        <f t="shared" si="1"/>
        <v/>
      </c>
      <c r="E79" s="3" t="s">
        <v>36</v>
      </c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</row>
    <row r="80" spans="1:14" x14ac:dyDescent="0.3">
      <c r="A80" s="3" t="str">
        <f t="shared" si="1"/>
        <v/>
      </c>
      <c r="E80" s="3" t="s">
        <v>36</v>
      </c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</row>
    <row r="81" spans="1:14" x14ac:dyDescent="0.3">
      <c r="A81" s="3" t="str">
        <f t="shared" si="1"/>
        <v/>
      </c>
      <c r="E81" s="3" t="s">
        <v>36</v>
      </c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</row>
    <row r="82" spans="1:14" x14ac:dyDescent="0.3">
      <c r="A82" s="3" t="str">
        <f t="shared" si="1"/>
        <v/>
      </c>
      <c r="E82" s="3" t="s">
        <v>36</v>
      </c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</row>
    <row r="83" spans="1:14" x14ac:dyDescent="0.3">
      <c r="A83" s="3" t="str">
        <f t="shared" si="1"/>
        <v/>
      </c>
      <c r="E83" s="3" t="s">
        <v>36</v>
      </c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</row>
    <row r="84" spans="1:14" x14ac:dyDescent="0.3">
      <c r="A84" s="3" t="str">
        <f t="shared" si="1"/>
        <v/>
      </c>
      <c r="E84" s="3" t="s">
        <v>36</v>
      </c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</row>
    <row r="85" spans="1:14" x14ac:dyDescent="0.3">
      <c r="A85" s="3" t="str">
        <f t="shared" si="1"/>
        <v/>
      </c>
      <c r="E85" s="3" t="s">
        <v>36</v>
      </c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</row>
    <row r="86" spans="1:14" x14ac:dyDescent="0.3">
      <c r="A86" s="3" t="str">
        <f t="shared" si="1"/>
        <v/>
      </c>
      <c r="E86" s="3" t="s">
        <v>36</v>
      </c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</row>
    <row r="87" spans="1:14" x14ac:dyDescent="0.3">
      <c r="A87" s="3" t="str">
        <f t="shared" si="1"/>
        <v/>
      </c>
      <c r="E87" s="3" t="s">
        <v>36</v>
      </c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</row>
    <row r="88" spans="1:14" x14ac:dyDescent="0.3">
      <c r="A88" s="3" t="str">
        <f t="shared" si="1"/>
        <v/>
      </c>
      <c r="E88" s="3" t="s">
        <v>36</v>
      </c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</row>
    <row r="89" spans="1:14" x14ac:dyDescent="0.3">
      <c r="A89" s="3" t="str">
        <f t="shared" si="1"/>
        <v/>
      </c>
      <c r="E89" s="3" t="s">
        <v>36</v>
      </c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</row>
    <row r="90" spans="1:14" x14ac:dyDescent="0.3">
      <c r="A90" s="3" t="str">
        <f t="shared" si="1"/>
        <v/>
      </c>
      <c r="E90" s="3" t="s">
        <v>36</v>
      </c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</row>
    <row r="91" spans="1:14" x14ac:dyDescent="0.3">
      <c r="A91" s="3" t="str">
        <f t="shared" si="1"/>
        <v/>
      </c>
      <c r="E91" s="3" t="s">
        <v>36</v>
      </c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</row>
    <row r="92" spans="1:14" x14ac:dyDescent="0.3">
      <c r="A92" s="3" t="str">
        <f t="shared" si="1"/>
        <v/>
      </c>
      <c r="E92" s="3" t="s">
        <v>36</v>
      </c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</row>
    <row r="93" spans="1:14" x14ac:dyDescent="0.3">
      <c r="A93" s="3" t="str">
        <f t="shared" si="1"/>
        <v/>
      </c>
      <c r="E93" s="3" t="s">
        <v>36</v>
      </c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</row>
    <row r="94" spans="1:14" x14ac:dyDescent="0.3">
      <c r="A94" s="3" t="str">
        <f t="shared" si="1"/>
        <v/>
      </c>
      <c r="E94" s="3" t="s">
        <v>36</v>
      </c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</row>
    <row r="95" spans="1:14" x14ac:dyDescent="0.3">
      <c r="A95" s="3" t="str">
        <f t="shared" si="1"/>
        <v/>
      </c>
      <c r="E95" s="3" t="s">
        <v>36</v>
      </c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</row>
    <row r="96" spans="1:14" x14ac:dyDescent="0.3">
      <c r="A96" s="3" t="str">
        <f t="shared" si="1"/>
        <v/>
      </c>
      <c r="E96" s="3" t="s">
        <v>36</v>
      </c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</row>
    <row r="97" spans="1:14" x14ac:dyDescent="0.3">
      <c r="A97" s="3" t="str">
        <f t="shared" si="1"/>
        <v/>
      </c>
      <c r="E97" s="3" t="s">
        <v>36</v>
      </c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</row>
    <row r="98" spans="1:14" x14ac:dyDescent="0.3">
      <c r="A98" s="3" t="str">
        <f t="shared" si="1"/>
        <v/>
      </c>
      <c r="E98" s="3" t="s">
        <v>36</v>
      </c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</row>
    <row r="99" spans="1:14" x14ac:dyDescent="0.3">
      <c r="A99" s="3" t="str">
        <f t="shared" si="1"/>
        <v/>
      </c>
      <c r="E99" s="3" t="s">
        <v>36</v>
      </c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</row>
    <row r="100" spans="1:14" x14ac:dyDescent="0.3">
      <c r="A100" s="3" t="str">
        <f t="shared" si="1"/>
        <v/>
      </c>
      <c r="E100" s="3" t="s">
        <v>36</v>
      </c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</row>
    <row r="101" spans="1:14" x14ac:dyDescent="0.3">
      <c r="A101" s="3" t="str">
        <f t="shared" si="1"/>
        <v/>
      </c>
      <c r="E101" s="3" t="s">
        <v>36</v>
      </c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</row>
    <row r="102" spans="1:14" x14ac:dyDescent="0.3">
      <c r="A102" s="3" t="str">
        <f t="shared" si="1"/>
        <v/>
      </c>
      <c r="E102" s="3" t="s">
        <v>36</v>
      </c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</row>
    <row r="103" spans="1:14" x14ac:dyDescent="0.3">
      <c r="A103" s="3" t="str">
        <f t="shared" si="1"/>
        <v/>
      </c>
      <c r="E103" s="3" t="s">
        <v>36</v>
      </c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</row>
    <row r="104" spans="1:14" x14ac:dyDescent="0.3">
      <c r="A104" s="3" t="str">
        <f t="shared" si="1"/>
        <v/>
      </c>
      <c r="E104" s="3" t="s">
        <v>36</v>
      </c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</row>
    <row r="105" spans="1:14" x14ac:dyDescent="0.3">
      <c r="A105" s="3" t="str">
        <f t="shared" si="1"/>
        <v/>
      </c>
      <c r="E105" s="3" t="s">
        <v>36</v>
      </c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</row>
    <row r="106" spans="1:14" x14ac:dyDescent="0.3">
      <c r="A106" s="3" t="str">
        <f t="shared" si="1"/>
        <v/>
      </c>
      <c r="E106" s="3" t="s">
        <v>36</v>
      </c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</row>
    <row r="107" spans="1:14" x14ac:dyDescent="0.3">
      <c r="A107" s="3" t="str">
        <f t="shared" si="1"/>
        <v/>
      </c>
      <c r="E107" s="3" t="s">
        <v>36</v>
      </c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</row>
    <row r="108" spans="1:14" x14ac:dyDescent="0.3">
      <c r="A108" s="3" t="str">
        <f t="shared" si="1"/>
        <v/>
      </c>
      <c r="E108" s="3" t="s">
        <v>36</v>
      </c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</row>
    <row r="109" spans="1:14" x14ac:dyDescent="0.3">
      <c r="A109" s="3" t="str">
        <f t="shared" si="1"/>
        <v/>
      </c>
      <c r="E109" s="3" t="s">
        <v>36</v>
      </c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</row>
    <row r="110" spans="1:14" x14ac:dyDescent="0.3">
      <c r="A110" s="3" t="str">
        <f t="shared" si="1"/>
        <v/>
      </c>
      <c r="E110" s="3" t="s">
        <v>36</v>
      </c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</row>
    <row r="111" spans="1:14" x14ac:dyDescent="0.3">
      <c r="A111" s="3" t="str">
        <f t="shared" si="1"/>
        <v/>
      </c>
      <c r="E111" s="3" t="s">
        <v>36</v>
      </c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</row>
    <row r="112" spans="1:14" x14ac:dyDescent="0.3">
      <c r="A112" s="3" t="str">
        <f t="shared" si="1"/>
        <v/>
      </c>
      <c r="E112" s="3" t="s">
        <v>36</v>
      </c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</row>
    <row r="113" spans="1:14" x14ac:dyDescent="0.3">
      <c r="A113" s="3" t="str">
        <f t="shared" si="1"/>
        <v/>
      </c>
      <c r="E113" s="3" t="s">
        <v>36</v>
      </c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</row>
    <row r="114" spans="1:14" x14ac:dyDescent="0.3">
      <c r="A114" s="3" t="str">
        <f t="shared" si="1"/>
        <v/>
      </c>
      <c r="E114" s="3" t="s">
        <v>36</v>
      </c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</row>
    <row r="115" spans="1:14" x14ac:dyDescent="0.3">
      <c r="A115" s="3" t="str">
        <f t="shared" si="1"/>
        <v/>
      </c>
      <c r="E115" s="3" t="s">
        <v>36</v>
      </c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</row>
    <row r="116" spans="1:14" x14ac:dyDescent="0.3">
      <c r="A116" s="3" t="str">
        <f t="shared" si="1"/>
        <v/>
      </c>
      <c r="E116" s="3" t="s">
        <v>36</v>
      </c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</row>
    <row r="117" spans="1:14" x14ac:dyDescent="0.3">
      <c r="A117" s="3" t="str">
        <f t="shared" si="1"/>
        <v/>
      </c>
      <c r="E117" s="3" t="s">
        <v>36</v>
      </c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</row>
    <row r="118" spans="1:14" x14ac:dyDescent="0.3">
      <c r="A118" s="3" t="str">
        <f t="shared" si="1"/>
        <v/>
      </c>
      <c r="E118" s="3" t="s">
        <v>36</v>
      </c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</row>
    <row r="119" spans="1:14" x14ac:dyDescent="0.3">
      <c r="A119" s="3" t="str">
        <f t="shared" si="1"/>
        <v/>
      </c>
      <c r="E119" s="3" t="s">
        <v>36</v>
      </c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</row>
    <row r="120" spans="1:14" x14ac:dyDescent="0.3">
      <c r="A120" s="3" t="str">
        <f t="shared" si="1"/>
        <v/>
      </c>
      <c r="E120" s="3" t="s">
        <v>36</v>
      </c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</row>
    <row r="121" spans="1:14" x14ac:dyDescent="0.3">
      <c r="A121" s="3" t="str">
        <f t="shared" si="1"/>
        <v/>
      </c>
      <c r="E121" s="3" t="s">
        <v>36</v>
      </c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</row>
    <row r="122" spans="1:14" x14ac:dyDescent="0.3">
      <c r="A122" s="3" t="str">
        <f t="shared" si="1"/>
        <v/>
      </c>
      <c r="E122" s="3" t="s">
        <v>36</v>
      </c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</row>
    <row r="123" spans="1:14" x14ac:dyDescent="0.3">
      <c r="A123" s="3" t="str">
        <f t="shared" si="1"/>
        <v/>
      </c>
      <c r="E123" s="3" t="s">
        <v>36</v>
      </c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</row>
    <row r="124" spans="1:14" x14ac:dyDescent="0.3">
      <c r="A124" s="3" t="str">
        <f t="shared" si="1"/>
        <v/>
      </c>
      <c r="E124" s="3" t="s">
        <v>36</v>
      </c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</row>
    <row r="125" spans="1:14" x14ac:dyDescent="0.3">
      <c r="A125" s="3" t="str">
        <f t="shared" si="1"/>
        <v/>
      </c>
      <c r="E125" s="3" t="s">
        <v>36</v>
      </c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</row>
    <row r="126" spans="1:14" x14ac:dyDescent="0.3">
      <c r="A126" s="3" t="str">
        <f t="shared" si="1"/>
        <v/>
      </c>
      <c r="E126" s="3" t="s">
        <v>36</v>
      </c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</row>
    <row r="127" spans="1:14" x14ac:dyDescent="0.3">
      <c r="A127" s="3" t="str">
        <f t="shared" si="1"/>
        <v/>
      </c>
      <c r="E127" s="3" t="s">
        <v>36</v>
      </c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</row>
    <row r="128" spans="1:14" x14ac:dyDescent="0.3">
      <c r="A128" s="3" t="str">
        <f t="shared" si="1"/>
        <v/>
      </c>
      <c r="E128" s="3" t="s">
        <v>36</v>
      </c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</row>
    <row r="129" spans="1:14" x14ac:dyDescent="0.3">
      <c r="A129" s="3" t="str">
        <f t="shared" si="1"/>
        <v/>
      </c>
      <c r="E129" s="3" t="s">
        <v>36</v>
      </c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</row>
    <row r="130" spans="1:14" x14ac:dyDescent="0.3">
      <c r="A130" s="3" t="str">
        <f t="shared" si="1"/>
        <v/>
      </c>
      <c r="E130" s="3" t="s">
        <v>36</v>
      </c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</row>
    <row r="131" spans="1:14" x14ac:dyDescent="0.3">
      <c r="A131" s="3" t="str">
        <f t="shared" ref="A131:A194" si="2">IF(M131="","",M131&amp;"_"&amp;TEXT(N131,"000"))</f>
        <v/>
      </c>
      <c r="E131" s="3" t="s">
        <v>36</v>
      </c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</row>
    <row r="132" spans="1:14" x14ac:dyDescent="0.3">
      <c r="A132" s="3" t="str">
        <f t="shared" si="2"/>
        <v/>
      </c>
      <c r="E132" s="3" t="s">
        <v>36</v>
      </c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</row>
    <row r="133" spans="1:14" x14ac:dyDescent="0.3">
      <c r="A133" s="3" t="str">
        <f t="shared" si="2"/>
        <v/>
      </c>
      <c r="E133" s="3" t="s">
        <v>36</v>
      </c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</row>
    <row r="134" spans="1:14" x14ac:dyDescent="0.3">
      <c r="A134" s="3" t="str">
        <f t="shared" si="2"/>
        <v/>
      </c>
      <c r="E134" s="3" t="s">
        <v>36</v>
      </c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</row>
    <row r="135" spans="1:14" x14ac:dyDescent="0.3">
      <c r="A135" s="3" t="str">
        <f t="shared" si="2"/>
        <v/>
      </c>
      <c r="E135" s="3" t="s">
        <v>36</v>
      </c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</row>
    <row r="136" spans="1:14" x14ac:dyDescent="0.3">
      <c r="A136" s="3" t="str">
        <f t="shared" si="2"/>
        <v/>
      </c>
      <c r="E136" s="3" t="s">
        <v>36</v>
      </c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</row>
    <row r="137" spans="1:14" x14ac:dyDescent="0.3">
      <c r="A137" s="3" t="str">
        <f t="shared" si="2"/>
        <v/>
      </c>
      <c r="E137" s="3" t="s">
        <v>36</v>
      </c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</row>
    <row r="138" spans="1:14" x14ac:dyDescent="0.3">
      <c r="A138" s="3" t="str">
        <f t="shared" si="2"/>
        <v/>
      </c>
      <c r="E138" s="3" t="s">
        <v>36</v>
      </c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</row>
    <row r="139" spans="1:14" x14ac:dyDescent="0.3">
      <c r="A139" s="3" t="str">
        <f t="shared" si="2"/>
        <v/>
      </c>
      <c r="E139" s="3" t="s">
        <v>36</v>
      </c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</row>
    <row r="140" spans="1:14" x14ac:dyDescent="0.3">
      <c r="A140" s="3" t="str">
        <f t="shared" si="2"/>
        <v/>
      </c>
      <c r="E140" s="3" t="s">
        <v>36</v>
      </c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</row>
    <row r="141" spans="1:14" x14ac:dyDescent="0.3">
      <c r="A141" s="3" t="str">
        <f t="shared" si="2"/>
        <v/>
      </c>
      <c r="E141" s="3" t="s">
        <v>36</v>
      </c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</row>
    <row r="142" spans="1:14" x14ac:dyDescent="0.3">
      <c r="A142" s="3" t="str">
        <f t="shared" si="2"/>
        <v/>
      </c>
      <c r="E142" s="3" t="s">
        <v>36</v>
      </c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</row>
    <row r="143" spans="1:14" x14ac:dyDescent="0.3">
      <c r="A143" s="3" t="str">
        <f t="shared" si="2"/>
        <v/>
      </c>
      <c r="E143" s="3" t="s">
        <v>36</v>
      </c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</row>
    <row r="144" spans="1:14" x14ac:dyDescent="0.3">
      <c r="A144" s="3" t="str">
        <f t="shared" si="2"/>
        <v/>
      </c>
      <c r="E144" s="3" t="s">
        <v>36</v>
      </c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</row>
    <row r="145" spans="1:14" x14ac:dyDescent="0.3">
      <c r="A145" s="3" t="str">
        <f t="shared" si="2"/>
        <v/>
      </c>
      <c r="E145" s="3" t="s">
        <v>36</v>
      </c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</row>
    <row r="146" spans="1:14" x14ac:dyDescent="0.3">
      <c r="A146" s="3" t="str">
        <f t="shared" si="2"/>
        <v/>
      </c>
      <c r="E146" s="3" t="s">
        <v>36</v>
      </c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</row>
    <row r="147" spans="1:14" x14ac:dyDescent="0.3">
      <c r="A147" s="3" t="str">
        <f t="shared" si="2"/>
        <v/>
      </c>
      <c r="E147" s="3" t="s">
        <v>36</v>
      </c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</row>
    <row r="148" spans="1:14" x14ac:dyDescent="0.3">
      <c r="A148" s="3" t="str">
        <f t="shared" si="2"/>
        <v/>
      </c>
      <c r="E148" s="3" t="s">
        <v>36</v>
      </c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</row>
    <row r="149" spans="1:14" x14ac:dyDescent="0.3">
      <c r="A149" s="3" t="str">
        <f t="shared" si="2"/>
        <v/>
      </c>
      <c r="E149" s="3" t="s">
        <v>36</v>
      </c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</row>
    <row r="150" spans="1:14" x14ac:dyDescent="0.3">
      <c r="A150" s="3" t="str">
        <f t="shared" si="2"/>
        <v/>
      </c>
      <c r="E150" s="3" t="s">
        <v>36</v>
      </c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</row>
    <row r="151" spans="1:14" x14ac:dyDescent="0.3">
      <c r="A151" s="3" t="str">
        <f t="shared" si="2"/>
        <v/>
      </c>
      <c r="E151" s="3" t="s">
        <v>36</v>
      </c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</row>
    <row r="152" spans="1:14" x14ac:dyDescent="0.3">
      <c r="A152" s="3" t="str">
        <f t="shared" si="2"/>
        <v/>
      </c>
      <c r="E152" s="3" t="s">
        <v>36</v>
      </c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</row>
    <row r="153" spans="1:14" x14ac:dyDescent="0.3">
      <c r="A153" s="3" t="str">
        <f t="shared" si="2"/>
        <v/>
      </c>
      <c r="E153" s="3" t="s">
        <v>36</v>
      </c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</row>
    <row r="154" spans="1:14" x14ac:dyDescent="0.3">
      <c r="A154" s="3" t="str">
        <f t="shared" si="2"/>
        <v/>
      </c>
      <c r="E154" s="3" t="s">
        <v>36</v>
      </c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</row>
    <row r="155" spans="1:14" x14ac:dyDescent="0.3">
      <c r="A155" s="3" t="str">
        <f t="shared" si="2"/>
        <v/>
      </c>
      <c r="E155" s="3" t="s">
        <v>36</v>
      </c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</row>
    <row r="156" spans="1:14" x14ac:dyDescent="0.3">
      <c r="A156" s="3" t="str">
        <f t="shared" si="2"/>
        <v/>
      </c>
      <c r="E156" s="3" t="s">
        <v>36</v>
      </c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</row>
    <row r="157" spans="1:14" x14ac:dyDescent="0.3">
      <c r="A157" s="3" t="str">
        <f t="shared" si="2"/>
        <v/>
      </c>
      <c r="E157" s="3" t="s">
        <v>36</v>
      </c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</row>
    <row r="158" spans="1:14" x14ac:dyDescent="0.3">
      <c r="A158" s="3" t="str">
        <f t="shared" si="2"/>
        <v/>
      </c>
      <c r="E158" s="3" t="s">
        <v>36</v>
      </c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</row>
    <row r="159" spans="1:14" x14ac:dyDescent="0.3">
      <c r="A159" s="3" t="str">
        <f t="shared" si="2"/>
        <v/>
      </c>
      <c r="E159" s="3" t="s">
        <v>36</v>
      </c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</row>
    <row r="160" spans="1:14" x14ac:dyDescent="0.3">
      <c r="A160" s="3" t="str">
        <f t="shared" si="2"/>
        <v/>
      </c>
      <c r="E160" s="3" t="s">
        <v>36</v>
      </c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</row>
    <row r="161" spans="1:14" x14ac:dyDescent="0.3">
      <c r="A161" s="3" t="str">
        <f t="shared" si="2"/>
        <v/>
      </c>
      <c r="E161" s="3" t="s">
        <v>36</v>
      </c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</row>
    <row r="162" spans="1:14" x14ac:dyDescent="0.3">
      <c r="A162" s="3" t="str">
        <f t="shared" si="2"/>
        <v/>
      </c>
      <c r="E162" s="3" t="s">
        <v>36</v>
      </c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</row>
    <row r="163" spans="1:14" x14ac:dyDescent="0.3">
      <c r="A163" s="3" t="str">
        <f t="shared" si="2"/>
        <v/>
      </c>
      <c r="E163" s="3" t="s">
        <v>36</v>
      </c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</row>
    <row r="164" spans="1:14" x14ac:dyDescent="0.3">
      <c r="A164" s="3" t="str">
        <f t="shared" si="2"/>
        <v/>
      </c>
      <c r="E164" s="3" t="s">
        <v>36</v>
      </c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</row>
    <row r="165" spans="1:14" x14ac:dyDescent="0.3">
      <c r="A165" s="3" t="str">
        <f t="shared" si="2"/>
        <v/>
      </c>
      <c r="E165" s="3" t="s">
        <v>36</v>
      </c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</row>
    <row r="166" spans="1:14" x14ac:dyDescent="0.3">
      <c r="A166" s="3" t="str">
        <f t="shared" si="2"/>
        <v/>
      </c>
      <c r="E166" s="3" t="s">
        <v>36</v>
      </c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</row>
    <row r="167" spans="1:14" x14ac:dyDescent="0.3">
      <c r="A167" s="3" t="str">
        <f t="shared" si="2"/>
        <v/>
      </c>
      <c r="E167" s="3" t="s">
        <v>36</v>
      </c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</row>
    <row r="168" spans="1:14" x14ac:dyDescent="0.3">
      <c r="A168" s="3" t="str">
        <f t="shared" si="2"/>
        <v/>
      </c>
      <c r="E168" s="3" t="s">
        <v>36</v>
      </c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</row>
    <row r="169" spans="1:14" x14ac:dyDescent="0.3">
      <c r="A169" s="3" t="str">
        <f t="shared" si="2"/>
        <v/>
      </c>
      <c r="E169" s="3" t="s">
        <v>36</v>
      </c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</row>
    <row r="170" spans="1:14" x14ac:dyDescent="0.3">
      <c r="A170" s="3" t="str">
        <f t="shared" si="2"/>
        <v/>
      </c>
      <c r="E170" s="3" t="s">
        <v>36</v>
      </c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</row>
    <row r="171" spans="1:14" x14ac:dyDescent="0.3">
      <c r="A171" s="3" t="str">
        <f t="shared" si="2"/>
        <v/>
      </c>
      <c r="E171" s="3" t="s">
        <v>36</v>
      </c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</row>
    <row r="172" spans="1:14" x14ac:dyDescent="0.3">
      <c r="A172" s="3" t="str">
        <f t="shared" si="2"/>
        <v/>
      </c>
      <c r="E172" s="3" t="s">
        <v>36</v>
      </c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</row>
    <row r="173" spans="1:14" x14ac:dyDescent="0.3">
      <c r="A173" s="3" t="str">
        <f t="shared" si="2"/>
        <v/>
      </c>
      <c r="E173" s="3" t="s">
        <v>36</v>
      </c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</row>
    <row r="174" spans="1:14" x14ac:dyDescent="0.3">
      <c r="A174" s="3" t="str">
        <f t="shared" si="2"/>
        <v/>
      </c>
      <c r="E174" s="3" t="s">
        <v>36</v>
      </c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</row>
    <row r="175" spans="1:14" x14ac:dyDescent="0.3">
      <c r="A175" s="3" t="str">
        <f t="shared" si="2"/>
        <v/>
      </c>
      <c r="E175" s="3" t="s">
        <v>36</v>
      </c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</row>
    <row r="176" spans="1:14" x14ac:dyDescent="0.3">
      <c r="A176" s="3" t="str">
        <f t="shared" si="2"/>
        <v/>
      </c>
      <c r="E176" s="3" t="s">
        <v>36</v>
      </c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</row>
    <row r="177" spans="1:14" x14ac:dyDescent="0.3">
      <c r="A177" s="3" t="str">
        <f t="shared" si="2"/>
        <v/>
      </c>
      <c r="E177" s="3" t="s">
        <v>36</v>
      </c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</row>
    <row r="178" spans="1:14" x14ac:dyDescent="0.3">
      <c r="A178" s="3" t="str">
        <f t="shared" si="2"/>
        <v/>
      </c>
      <c r="E178" s="3" t="s">
        <v>36</v>
      </c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</row>
    <row r="179" spans="1:14" x14ac:dyDescent="0.3">
      <c r="A179" s="3" t="str">
        <f t="shared" si="2"/>
        <v/>
      </c>
      <c r="E179" s="3" t="s">
        <v>36</v>
      </c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</row>
    <row r="180" spans="1:14" x14ac:dyDescent="0.3">
      <c r="A180" s="3" t="str">
        <f t="shared" si="2"/>
        <v/>
      </c>
      <c r="E180" s="3" t="s">
        <v>36</v>
      </c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</row>
    <row r="181" spans="1:14" x14ac:dyDescent="0.3">
      <c r="A181" s="3" t="str">
        <f t="shared" si="2"/>
        <v/>
      </c>
      <c r="E181" s="3" t="s">
        <v>36</v>
      </c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</row>
    <row r="182" spans="1:14" x14ac:dyDescent="0.3">
      <c r="A182" s="3" t="str">
        <f t="shared" si="2"/>
        <v/>
      </c>
      <c r="E182" s="3" t="s">
        <v>36</v>
      </c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</row>
    <row r="183" spans="1:14" x14ac:dyDescent="0.3">
      <c r="A183" s="3" t="str">
        <f t="shared" si="2"/>
        <v/>
      </c>
      <c r="E183" s="3" t="s">
        <v>36</v>
      </c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</row>
    <row r="184" spans="1:14" x14ac:dyDescent="0.3">
      <c r="A184" s="3" t="str">
        <f t="shared" si="2"/>
        <v/>
      </c>
      <c r="E184" s="3" t="s">
        <v>36</v>
      </c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</row>
    <row r="185" spans="1:14" x14ac:dyDescent="0.3">
      <c r="A185" s="3" t="str">
        <f t="shared" si="2"/>
        <v/>
      </c>
      <c r="E185" s="3" t="s">
        <v>36</v>
      </c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</row>
    <row r="186" spans="1:14" x14ac:dyDescent="0.3">
      <c r="A186" s="3" t="str">
        <f t="shared" si="2"/>
        <v/>
      </c>
      <c r="E186" s="3" t="s">
        <v>36</v>
      </c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</row>
    <row r="187" spans="1:14" x14ac:dyDescent="0.3">
      <c r="A187" s="3" t="str">
        <f t="shared" si="2"/>
        <v/>
      </c>
      <c r="E187" s="3" t="s">
        <v>36</v>
      </c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</row>
    <row r="188" spans="1:14" x14ac:dyDescent="0.3">
      <c r="A188" s="3" t="str">
        <f t="shared" si="2"/>
        <v/>
      </c>
      <c r="E188" s="3" t="s">
        <v>36</v>
      </c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</row>
    <row r="189" spans="1:14" x14ac:dyDescent="0.3">
      <c r="A189" s="3" t="str">
        <f t="shared" si="2"/>
        <v/>
      </c>
      <c r="E189" s="3" t="s">
        <v>36</v>
      </c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</row>
    <row r="190" spans="1:14" x14ac:dyDescent="0.3">
      <c r="A190" s="3" t="str">
        <f t="shared" si="2"/>
        <v/>
      </c>
      <c r="E190" s="3" t="s">
        <v>36</v>
      </c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</row>
    <row r="191" spans="1:14" x14ac:dyDescent="0.3">
      <c r="A191" s="3" t="str">
        <f t="shared" si="2"/>
        <v/>
      </c>
      <c r="E191" s="3" t="s">
        <v>36</v>
      </c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</row>
    <row r="192" spans="1:14" x14ac:dyDescent="0.3">
      <c r="A192" s="3" t="str">
        <f t="shared" si="2"/>
        <v/>
      </c>
      <c r="E192" s="3" t="s">
        <v>36</v>
      </c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</row>
    <row r="193" spans="1:14" x14ac:dyDescent="0.3">
      <c r="A193" s="3" t="str">
        <f t="shared" si="2"/>
        <v/>
      </c>
      <c r="E193" s="3" t="s">
        <v>36</v>
      </c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</row>
    <row r="194" spans="1:14" x14ac:dyDescent="0.3">
      <c r="A194" s="3" t="str">
        <f t="shared" si="2"/>
        <v/>
      </c>
      <c r="E194" s="3" t="s">
        <v>36</v>
      </c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</row>
    <row r="195" spans="1:14" x14ac:dyDescent="0.3">
      <c r="A195" s="3" t="str">
        <f t="shared" ref="A195:A200" si="3">IF(M195="","",M195&amp;"_"&amp;TEXT(N195,"000"))</f>
        <v/>
      </c>
      <c r="E195" s="3" t="s">
        <v>36</v>
      </c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</row>
    <row r="196" spans="1:14" x14ac:dyDescent="0.3">
      <c r="A196" s="3" t="str">
        <f t="shared" si="3"/>
        <v/>
      </c>
      <c r="E196" s="3" t="s">
        <v>36</v>
      </c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</row>
    <row r="197" spans="1:14" x14ac:dyDescent="0.3">
      <c r="A197" s="3" t="str">
        <f t="shared" si="3"/>
        <v/>
      </c>
      <c r="E197" s="3" t="s">
        <v>36</v>
      </c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</row>
    <row r="198" spans="1:14" x14ac:dyDescent="0.3">
      <c r="A198" s="3" t="str">
        <f t="shared" si="3"/>
        <v/>
      </c>
      <c r="E198" s="3" t="s">
        <v>36</v>
      </c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</row>
    <row r="199" spans="1:14" x14ac:dyDescent="0.3">
      <c r="A199" s="3" t="str">
        <f t="shared" si="3"/>
        <v/>
      </c>
      <c r="E199" s="3" t="s">
        <v>36</v>
      </c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</row>
    <row r="200" spans="1:14" x14ac:dyDescent="0.3">
      <c r="A200" s="3" t="str">
        <f t="shared" si="3"/>
        <v/>
      </c>
      <c r="E200" s="3" t="s">
        <v>36</v>
      </c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 H5:H6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H2:H4 H7:H200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497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MCQ_ITNIC_REQ_EIS_001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MCQ_ITNIC_CALC_EIS_001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MCQ_ITNIC_DEF_EIS_001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ht="28.8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MCQ_ITNIC_DEF_PSC_001</v>
      </c>
      <c r="B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psc;ir35;employment_status</v>
      </c>
      <c r="J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ht="28.8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MCQ_ITNIC_REQ_PSC_001</v>
      </c>
      <c r="B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ht="28.8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MCQ_ITNIC_REQ_PSC_002</v>
      </c>
      <c r="B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ir35;sds;ddp;medium_large_entity</v>
      </c>
      <c r="J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ht="28.8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MCQ_ITNIC_DEF_SHS_001</v>
      </c>
      <c r="B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saye;share_schemes</v>
      </c>
      <c r="J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ht="28.8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MCQ_ITNIC_DEF_SHS_002</v>
      </c>
      <c r="B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csop;share_options</v>
      </c>
      <c r="J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ht="28.8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MCQ_ITNIC_DEF_SHS_003</v>
      </c>
      <c r="B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emi;discount;nic</v>
      </c>
      <c r="J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ht="28.8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MCQ_ITNIC_REQ_EMI_001</v>
      </c>
      <c r="B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ht="28.8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MCQ_ITNIC_REQ_EMI_002</v>
      </c>
      <c r="B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ht="28.8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MCQ_ITNIC_REQ_EMI_003</v>
      </c>
      <c r="B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ht="28.8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MCQ_ITNIC_REQ_EMI_004</v>
      </c>
      <c r="B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ht="28.8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MCQ_ITNIC_REQ_EMI_005</v>
      </c>
      <c r="B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(company)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emi;company_rules</v>
      </c>
      <c r="J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ht="28.8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MCQ_ITNIC_REQ_EMI_006</v>
      </c>
      <c r="B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(employees)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emi;employee_rules</v>
      </c>
      <c r="J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ht="28.8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MCQ_ITNIC_REQ_EMI_007</v>
      </c>
      <c r="B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(employees)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emi;employee_rules</v>
      </c>
      <c r="J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ht="28.8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MCQ_ITNIC_REQ_EMI_008</v>
      </c>
      <c r="B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(shares)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emi;share_conditions</v>
      </c>
      <c r="J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ht="28.8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MCQ_ITNIC_REQ_EMI_009</v>
      </c>
      <c r="B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ht="28.8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MCQ_ITNIC_REQ_EMI_010</v>
      </c>
      <c r="B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ht="28.8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MCQ_ITNIC_REQ_EMI_011</v>
      </c>
      <c r="B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</v>
      </c>
      <c r="J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ht="28.8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MCQ_ITNIC_REQ_EMI_012</v>
      </c>
      <c r="B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EMI scheme rules (limits)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emi;limits;interaction</v>
      </c>
      <c r="J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ht="28.8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LIST_ITNIC_REQ_EIS_001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ht="28.8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LIST_ITNIC_REQ_EIS_002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ht="28.8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LIST_ITNIC_REQ_PSC_001</v>
      </c>
      <c r="B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ht="28.8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LIST_ITNIC_REQ_PSC_002</v>
      </c>
      <c r="B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ir35;medium_large_entity;sds;ddp</v>
      </c>
      <c r="J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ht="28.8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LIST_ITNIC_REQ_SHS_001</v>
      </c>
      <c r="B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terminology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share_options;terminology</v>
      </c>
      <c r="J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ht="28.8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LIST_ITNIC_REQ_SHS_002</v>
      </c>
      <c r="B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csop;emi;limits</v>
      </c>
      <c r="J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ht="28.8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LIST_ITNIC_REQ_SHS_003</v>
      </c>
      <c r="B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sip;hold_period;withdrawal</v>
      </c>
      <c r="J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PF_ITNIC_PF_IR35_001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PF_ITNIC_REQ_EIS_001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ht="28.8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PF_ITNIC_REQ_PSC_001</v>
      </c>
      <c r="B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ht="28.8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PF_ITNIC_REQ_PSC_002</v>
      </c>
      <c r="B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ht="28.8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PF_ITNIC_PF_ITCOMP_001</v>
      </c>
      <c r="B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proformas</v>
      </c>
      <c r="D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Income tax payable computation (individual)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it-computation</v>
      </c>
      <c r="J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image-proforma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161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128</v>
      </c>
      <c r="J2" t="s">
        <v>129</v>
      </c>
      <c r="K2">
        <v>1</v>
      </c>
      <c r="L2" t="s">
        <v>130</v>
      </c>
      <c r="M2" t="s">
        <v>162</v>
      </c>
      <c r="N2">
        <v>1</v>
      </c>
      <c r="O2" t="s">
        <v>163</v>
      </c>
      <c r="P2" t="s">
        <v>164</v>
      </c>
      <c r="Q2" t="s">
        <v>165</v>
      </c>
      <c r="R2" s="4" t="s">
        <v>166</v>
      </c>
      <c r="S2" t="s">
        <v>167</v>
      </c>
      <c r="T2" t="s">
        <v>168</v>
      </c>
      <c r="U2" s="5"/>
      <c r="X2" s="4"/>
      <c r="AA2" s="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2026-02-20T11:18:30Z</dcterms:modified>
</cp:coreProperties>
</file>