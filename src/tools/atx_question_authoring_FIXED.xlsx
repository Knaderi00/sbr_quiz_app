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596" documentId="11_1A3CAAE0EE81980AE886C8AC59EAF3A67F286A16" xr6:coauthVersionLast="47" xr6:coauthVersionMax="47" xr10:uidLastSave="{BF625D58-E015-4ADA-BC11-EEB864855EAC}"/>
  <bookViews>
    <workbookView xWindow="-108" yWindow="-108" windowWidth="23256" windowHeight="13896"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N2" i="5"/>
  <c r="N3" i="5"/>
  <c r="N4" i="5"/>
  <c r="N5" i="5"/>
  <c r="N6" i="5"/>
  <c r="N7" i="5"/>
  <c r="N8" i="5"/>
  <c r="N27" i="5"/>
  <c r="N28" i="5"/>
  <c r="N29" i="5"/>
  <c r="M2" i="5"/>
  <c r="M3" i="5"/>
  <c r="M4" i="5"/>
  <c r="M5" i="5"/>
  <c r="M6" i="5"/>
  <c r="M7" i="5"/>
  <c r="M8" i="5"/>
  <c r="N3" i="6" l="1"/>
  <c r="N7" i="6"/>
  <c r="A7" i="6" s="1"/>
  <c r="N2" i="6"/>
  <c r="N6" i="6"/>
  <c r="N5" i="6"/>
  <c r="N4" i="6"/>
  <c r="A46" i="3"/>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<sst xmlns="http://schemas.openxmlformats.org/spreadsheetml/2006/main" count="2407" uniqueCount="847">
  <si>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</si>
  <si>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</si>
  <si>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</si>
  <si>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</si>
  <si>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</si>
  <si>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</si>
  <si>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</si>
  <si>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</si>
  <si>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</si>
  <si>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</si>
  <si>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</si>
  <si>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</si>
  <si>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</si>
  <si>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</si>
  <si>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</si>
  <si>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</si>
  <si>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</si>
  <si>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</si>
  <si>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</si>
  <si>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</si>
  <si>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</si>
  <si>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</si>
  <si>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</si>
  <si>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</si>
  <si>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</si>
  <si>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</si>
  <si>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</si>
  <si>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</si>
  <si>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</si>
  <si>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</si>
  <si>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</si>
  <si>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</si>
  <si>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</si>
  <si>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</si>
  <si>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</si>
  <si>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</si>
  <si>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</si>
  <si>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</si>
  <si>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</si>
  <si>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</si>
  <si>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</si>
  <si>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</si>
  <si>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</si>
  <si>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</si>
  <si>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</si>
  <si>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</si>
  <si>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</si>
  <si>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</si>
  <si>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</si>
  <si>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</si>
  <si>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</si>
  <si>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</si>
  <si>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</si>
  <si>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</si>
  <si>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</si>
  <si>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</si>
  <si>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</si>
  <si>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</si>
  <si>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</si>
  <si>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</si>
  <si>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</si>
  <si>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</si>
  <si>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</si>
  <si>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</si>
  <si>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</si>
  <si>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</si>
  <si>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</si>
  <si>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</si>
  <si>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</si>
  <si>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</si>
  <si>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</si>
  <si>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</si>
  <si>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</si>
  <si>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</si>
  <si>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</si>
  <si>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</si>
  <si>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</si>
  <si>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</si>
  <si>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</si>
  <si>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</si>
  <si>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</si>
  <si>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</si>
  <si>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</si>
  <si>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</si>
  <si>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</si>
  <si>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</si>
  <si>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</si>
  <si>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</si>
  <si>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</si>
  <si>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</si>
  <si>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</si>
  <si>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</si>
  <si>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</si>
  <si>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</si>
  <si>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</si>
  <si>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</si>
  <si>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</si>
  <si>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</si>
  <si>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</si>
  <si>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</si>
  <si>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</si>
  <si>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</si>
  <si>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</si>
  <si>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</si>
  <si>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</si>
  <si>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</si>
  <si>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</si>
  <si>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</si>
  <si>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</si>
  <si>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</si>
  <si>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</si>
  <si>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</si>
  <si>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</si>
  <si>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</si>
  <si>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</si>
  <si>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</si>
  <si>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</si>
  <si>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</si>
  <si>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</si>
  <si>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</si>
  <si>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</si>
  <si>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</si>
  <si>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</si>
  <si>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</si>
  <si>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</si>
  <si>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</si>
  <si>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</si>
  <si>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</si>
  <si>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</si>
  <si>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</si>
  <si>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</si>
  <si>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</si>
  <si>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</si>
  <si>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</si>
  <si>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</si>
  <si>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</si>
  <si>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</si>
  <si>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</si>
  <si>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</si>
  <si>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</si>
  <si>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</si>
  <si>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</si>
  <si>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</si>
  <si>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</si>
  <si>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</si>
  <si>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</si>
  <si>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</si>
  <si>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</si>
  <si>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</si>
  <si>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</si>
  <si>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</si>
  <si>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</si>
  <si>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</si>
  <si>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</si>
  <si>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</si>
  <si>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</si>
  <si>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</si>
  <si>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</si>
  <si>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</si>
  <si>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</si>
  <si>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</si>
  <si>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</si>
  <si>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</si>
  <si>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</si>
  <si>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</si>
  <si>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</si>
  <si>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</si>
  <si>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</si>
  <si>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</si>
  <si>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</si>
  <si>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</si>
  <si>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</si>
  <si>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</si>
  <si>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</si>
  <si>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</si>
  <si>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</si>
  <si>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</si>
  <si>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</si>
  <si>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</si>
  <si>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</si>
  <si>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</si>
  <si>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</si>
  <si>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</si>
  <si>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</si>
  <si>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</si>
  <si>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</si>
  <si>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</si>
  <si>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</si>
  <si>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</si>
  <si>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</si>
  <si>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</si>
  <si>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</si>
  <si>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</si>
  <si>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</si>
  <si>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</si>
  <si>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</si>
  <si>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</si>
  <si>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</si>
  <si>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</si>
  <si>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</si>
  <si>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</si>
  <si>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</si>
  <si>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</si>
  <si>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Employee share schemes (SAYE / CSOP / EMI / SIP)</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</si>
  <si>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</si>
  <si>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</si>
  <si>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</si>
  <si>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</si>
  <si>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</si>
  <si>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</si>
  <si>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</si>
  <si>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</si>
  <si>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</si>
  <si>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</si>
  <si>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</si>
  <si>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</si>
  <si>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</si>
  <si>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</si>
  <si>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</si>
  <si>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</si>
  <si>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</si>
  <si>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</si>
  <si>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</si>
  <si>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</si>
  <si>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</si>
  <si>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</si>
  <si>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</si>
  <si>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</si>
  <si>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</si>
  <si>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</si>
  <si>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</si>
  <si>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</si>
  <si>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</si>
  <si>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</si>
  <si>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</si>
  <si>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</si>
  <si>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</si>
  <si>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</si>
  <si>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</si>
  <si>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</si>
  <si>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</si>
  <si>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</si>
  <si>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</si>
  <si>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</si>
  <si>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</si>
  <si>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</si>
  <si>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</si>
  <si>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</si>
  <si>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</si>
  <si>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</si>
  <si>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</si>
  <si>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</si>
  <si>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</si>
  <si>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</si>
  <si>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</si>
  <si>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</si>
  <si>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</si>
  <si>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</si>
  <si>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</si>
  <si>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</si>
  <si>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</si>
  <si>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</si>
  <si>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</si>
  <si>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</si>
  <si>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</si>
  <si>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</si>
  <si>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</si>
  <si>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</si>
  <si>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</si>
  <si>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</si>
  <si>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</si>
  <si>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</si>
  <si>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</si>
  <si>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</si>
  <si>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</si>
  <si>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</si>
  <si>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</si>
  <si>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</si>
  <si>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</si>
  <si>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</si>
  <si>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</si>
  <si>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</si>
  <si>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</si>
  <si>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</si>
  <si>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</si>
  <si>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 scheme rules (employees)</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</si>
  <si>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</si>
  <si>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</si>
  <si>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</si>
  <si>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</si>
  <si>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</si>
  <si>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</si>
  <si>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</si>
  <si>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</si>
  <si>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</si>
  <si>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</si>
  <si>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</si>
  <si>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</si>
  <si>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 scheme rules (shares)</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</si>
  <si>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</si>
  <si>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</si>
  <si>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</si>
  <si>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</si>
  <si>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</si>
  <si>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</si>
  <si>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</si>
  <si>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</si>
  <si>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</si>
  <si>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</si>
  <si>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</si>
  <si>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</si>
  <si>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</si>
  <si>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</si>
  <si>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</si>
  <si>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</si>
  <si>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</si>
  <si>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</si>
  <si>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</si>
  <si>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</si>
  <si>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</si>
  <si>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</si>
  <si>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</si>
  <si>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</si>
  <si>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</si>
  <si>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</si>
  <si>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</si>
  <si>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</si>
  <si>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</si>
  <si>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</si>
  <si>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</si>
  <si>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</si>
  <si>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</si>
  <si>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</si>
  <si>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</si>
  <si>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</si>
  <si>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</si>
  <si>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</si>
  <si>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</si>
  <si>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</si>
  <si>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</si>
  <si>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</si>
  <si>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</si>
  <si>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</si>
  <si>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</si>
  <si>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</si>
  <si>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</si>
  <si>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</si>
  <si>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</si>
  <si>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</si>
  <si>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</si>
  <si>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</si>
  <si>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</si>
  <si>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</si>
  <si>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</si>
  <si>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</si>
  <si>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</si>
  <si>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</si>
  <si>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</si>
  <si>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</si>
  <si>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</si>
  <si>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</si>
  <si>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</si>
  <si>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</si>
  <si>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</si>
  <si>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</si>
  <si>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</si>
  <si>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</si>
  <si>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</si>
  <si>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</si>
  <si>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</si>
  <si>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</si>
  <si>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</si>
  <si>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</si>
  <si>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</si>
  <si>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</si>
  <si>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</si>
  <si>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</si>
  <si>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</si>
  <si>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</si>
  <si>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</si>
  <si>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</si>
  <si>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</si>
  <si>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</si>
  <si>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</si>
  <si>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</si>
  <si>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</si>
  <si>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</si>
  <si>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</si>
  <si>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</si>
  <si>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</si>
  <si>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</si>
  <si>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</si>
  <si>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</si>
  <si>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</si>
  <si>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</si>
  <si>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</si>
  <si>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</si>
  <si>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</si>
  <si>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</si>
  <si>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</si>
  <si>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</si>
  <si>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</si>
  <si>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</si>
  <si>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</si>
  <si>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</si>
  <si>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</si>
  <si>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</si>
  <si>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</si>
  <si>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</si>
  <si>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</si>
  <si>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</si>
  <si>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</si>
  <si>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</si>
  <si>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</si>
  <si>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</si>
  <si>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</si>
  <si>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</si>
  <si>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</si>
  <si>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</si>
  <si>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</si>
  <si>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</si>
  <si>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</si>
  <si>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</si>
  <si>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</si>
  <si>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</si>
  <si>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</si>
  <si>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</si>
  <si>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</si>
  <si>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</si>
  <si>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</si>
  <si>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</si>
  <si>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</si>
  <si>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</si>
  <si>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</si>
  <si>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</si>
  <si>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</si>
  <si>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</si>
  <si>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</si>
  <si>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</si>
  <si>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</si>
  <si>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</si>
  <si>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</si>
  <si>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</si>
  <si>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</si>
  <si>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</si>
  <si>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</si>
  <si>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</si>
  <si>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</si>
  <si>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</si>
  <si>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</si>
  <si>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</si>
  <si>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</si>
  <si>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</si>
  <si>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</si>
  <si>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</si>
  <si>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</si>
  <si>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</si>
  <si>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</si>
  <si>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</si>
  <si>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</si>
  <si>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</si>
  <si>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</si>
  <si>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</si>
  <si>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</si>
  <si>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</si>
  <si>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</si>
  <si>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</si>
  <si>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</si>
  <si>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</si>
  <si>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</si>
  <si>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</si>
  <si>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</si>
  <si>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</si>
  <si>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</si>
  <si>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</si>
  <si>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</si>
  <si>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</si>
  <si>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</si>
  <si>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</si>
  <si>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</si>
  <si>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</si>
  <si>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</si>
  <si>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</si>
  <si>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</si>
  <si>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</si>
  <si>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</si>
  <si>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</si>
  <si>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</si>
  <si>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</si>
  <si>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</si>
  <si>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</si>
  <si>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</si>
  <si>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</si>
  <si>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</si>
  <si>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</si>
  <si>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</si>
  <si>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</si>
  <si>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</si>
  <si>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</si>
  <si>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</si>
  <si>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</si>
  <si>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</si>
  <si>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</si>
  <si>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</si>
  <si>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</si>
  <si>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</si>
  <si>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</si>
  <si>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</si>
  <si>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</si>
  <si>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</si>
  <si>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</si>
  <si>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</si>
  <si>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</si>
  <si>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</si>
  <si>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</si>
  <si>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</si>
  <si>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</si>
  <si>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</si>
  <si>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</si>
  <si>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</si>
  <si>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</si>
  <si>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</si>
  <si>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</si>
  <si>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</si>
  <si>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</si>
  <si>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</si>
  <si>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</si>
  <si>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</si>
  <si>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</si>
  <si>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</si>
  <si>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</si>
  <si>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</si>
  <si>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</si>
  <si>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</si>
  <si>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</si>
  <si>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</si>
  <si>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</si>
  <si>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</si>
  <si>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</si>
  <si>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</si>
  <si>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</si>
  <si>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</si>
  <si>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</si>
  <si>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</si>
  <si>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</si>
  <si>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</si>
  <si>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</si>
  <si>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</si>
  <si>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</si>
  <si>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</si>
  <si>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</si>
  <si>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</si>
  <si>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</si>
  <si>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</si>
  <si>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</si>
  <si>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</si>
  <si>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</si>
  <si>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</si>
  <si>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</si>
  <si>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</si>
  <si>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</si>
  <si>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</si>
  <si>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</si>
  <si>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</si>
  <si>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</si>
  <si>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</si>
  <si>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</si>
  <si>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</si>
  <si>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</si>
  <si>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</si>
  <si>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</si>
  <si>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</si>
  <si>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</si>
  <si>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</si>
  <si>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</si>
  <si>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</si>
  <si>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</si>
  <si>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</si>
  <si>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</si>
  <si>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</si>
  <si>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</si>
  <si>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</si>
  <si>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</si>
  <si>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</si>
  <si>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</si>
  <si>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</si>
  <si>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</si>
  <si>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</si>
  <si>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</si>
  <si>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</si>
  <si>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</si>
  <si>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</si>
  <si>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</si>
  <si>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</si>
  <si>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</si>
  <si>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</si>
  <si>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</si>
  <si>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</si>
  <si>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</si>
  <si>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</si>
  <si>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</si>
  <si>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</si>
  <si>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</si>
  <si>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</si>
  <si>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</si>
  <si>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</si>
  <si>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</si>
  <si>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</si>
  <si>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</si>
  <si>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</si>
  <si>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</si>
  <si>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</si>
  <si>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</si>
  <si>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</si>
  <si>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</si>
  <si>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</si>
  <si>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</si>
  <si>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</si>
  <si>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</si>
  <si>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</si>
  <si>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</si>
  <si>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</si>
  <si>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</si>
  <si>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</si>
  <si>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</si>
  <si>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</si>
  <si>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</si>
  <si>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</si>
  <si>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</si>
  <si>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</si>
  <si>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</si>
  <si>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</si>
  <si>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</si>
  <si>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</si>
  <si>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</si>
  <si>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</si>
  <si>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</si>
  <si>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</si>
  <si>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</si>
  <si>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</si>
  <si>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</si>
  <si>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</si>
  <si>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</si>
  <si>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</si>
  <si>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</si>
  <si>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</si>
  <si>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</si>
  <si>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</si>
  <si>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</si>
  <si>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</si>
  <si>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</si>
  <si>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</si>
  <si>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</si>
  <si>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</si>
  <si>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</si>
  <si>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</si>
  <si>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</si>
  <si>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</si>
  <si>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</si>
  <si>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</si>
  <si>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</si>
  <si>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</si>
  <si>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</si>
  <si>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</si>
  <si>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</si>
  <si>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</si>
  <si>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</si>
  <si>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</si>
  <si>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</si>
  <si>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</si>
  <si>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</si>
  <si>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</si>
  <si>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</si>
  <si>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</si>
  <si>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</si>
  <si>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</si>
  <si>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</si>
  <si>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</si>
  <si>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</si>
  <si>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</si>
  <si>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</si>
  <si>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</si>
  <si>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</si>
  <si>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</si>
  <si>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</si>
  <si>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</si>
  <si>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</si>
  <si>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</si>
  <si>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</si>
  <si>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</si>
  <si>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</si>
  <si>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</si>
  <si>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</si>
  <si>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</si>
  <si>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</si>
  <si>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</si>
  <si>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</si>
  <si>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</si>
  <si>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</si>
  <si>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</si>
  <si>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</si>
  <si>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</si>
  <si>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</si>
  <si>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</si>
  <si>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</si>
  <si>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</si>
  <si>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</si>
  <si>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</si>
  <si>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</si>
  <si>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</si>
  <si>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</si>
  <si>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</si>
  <si>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</si>
  <si>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</si>
  <si>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</si>
  <si>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</si>
  <si>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</si>
  <si>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</si>
  <si>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</si>
  <si>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</si>
  <si>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</si>
  <si>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</si>
  <si>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</si>
  <si>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</si>
  <si>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</si>
  <si>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</si>
  <si>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</si>
  <si>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</si>
  <si>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</si>
  <si>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</si>
  <si>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</si>
  <si>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</si>
  <si>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</si>
  <si>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</si>
  <si>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</si>
  <si>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</si>
  <si>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</si>
  <si>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</si>
  <si>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</si>
  <si>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</si>
  <si>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</si>
  <si>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</si>
  <si>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</si>
  <si>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</si>
  <si>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</si>
  <si>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</si>
  <si>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</si>
  <si>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</si>
  <si>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</si>
  <si>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</si>
  <si>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</si>
  <si>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</si>
  <si>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</si>
  <si>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</si>
  <si>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</si>
  <si>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</si>
  <si>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</si>
  <si>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</si>
  <si>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</si>
  <si>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</si>
  <si>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</si>
  <si>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</si>
  <si>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</si>
  <si>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</si>
  <si>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</si>
  <si>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</si>
  <si>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</si>
  <si>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</si>
  <si>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</si>
  <si>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</si>
  <si>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</si>
  <si>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</si>
  <si>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</si>
  <si>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</si>
  <si>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</si>
  <si>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</si>
  <si>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</si>
  <si>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</si>
  <si>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</si>
  <si>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</si>
  <si>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</si>
  <si>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</si>
  <si>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</si>
  <si>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</si>
  <si>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</si>
  <si>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</si>
  <si>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</si>
  <si>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</si>
  <si>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</si>
  <si>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</si>
  <si>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</si>
  <si>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</si>
  <si>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</si>
  <si>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</si>
  <si>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</si>
  <si>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</si>
  <si>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</si>
  <si>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</si>
  <si>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</si>
  <si>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</si>
  <si>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</si>
  <si>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</si>
  <si>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</si>
  <si>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</si>
  <si>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</si>
  <si>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</si>
  <si>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Employee share schemes (SAYE / CSOP / EMI / Share Incentive Plan (SIP))</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</si>
  <si>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</si>
  <si>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</si>
  <si>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</si>
  <si>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</si>
  <si>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</si>
  <si>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</si>
  <si>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</si>
  <si>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</si>
  <si>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</si>
  <si>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</si>
  <si>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</si>
  <si>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</si>
  <si>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</si>
  <si>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</si>
  <si>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</si>
  <si>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</si>
  <si>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</si>
  <si>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</si>
  <si>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</si>
  <si>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</si>
  <si>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</si>
  <si>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</si>
  <si>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</si>
  <si>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</si>
  <si>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</si>
  <si>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</si>
  <si>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</si>
  <si>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</si>
  <si>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</si>
  <si>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</si>
  <si>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</si>
  <si>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</si>
  <si>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</si>
  <si>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 which additional condition applies to the long-term resident deemed domicile route?</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</si>
  <si>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</si>
  <si>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</si>
  <si>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xml:space="preserve"> for medium/large entities the client determines status and issues an SDS (with a 45-day challenge window), operates PAYE/NIC on the DDP, and the DDP is used to prevent double taxation when the PSC later remunerates the individual.</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</si>
  <si>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"S1",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"S2",
        "text": "Ensure the investor is not ‘connected’ (not an employee and does not own &gt;30% share capital)",
        "is_distractor": false
    }
]</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</si>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</sst>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P1" workbookViewId="0">
      <pane ySplit="1" topLeftCell="A16" activePane="bottomLeft" state="frozen"/>
      <selection pane="bottomLeft" activeCell="V21" sqref="V2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229</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230</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135</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231</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232</v>
      </c>
      <c r="V6" s="3" t="s">
        <v>111</v>
      </c>
    </row>
    <row r="7" spans="1:22" ht="86.4"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709</v>
      </c>
      <c r="P7" s="3" t="s">
        <v>130</v>
      </c>
      <c r="Q7" s="3" t="s">
        <v>131</v>
      </c>
      <c r="R7" s="3" t="s">
        <v>132</v>
      </c>
      <c r="S7" s="3" t="s">
        <v>133</v>
      </c>
      <c r="T7" s="3" t="s">
        <v>134</v>
      </c>
      <c r="U7" s="3" t="s">
        <v>135</v>
      </c>
      <c r="V7" s="3" t="s">
        <v>710</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823</v>
      </c>
      <c r="P8" s="3" t="s">
        <v>239</v>
      </c>
      <c r="Q8" s="3" t="s">
        <v>136</v>
      </c>
      <c r="R8" s="3" t="s">
        <v>137</v>
      </c>
      <c r="S8" s="3" t="s">
        <v>240</v>
      </c>
      <c r="T8" s="3" t="s">
        <v>138</v>
      </c>
      <c r="U8" s="3" t="s">
        <v>232</v>
      </c>
      <c r="V8" s="3" t="s">
        <v>139</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807</v>
      </c>
      <c r="P9" s="3" t="s">
        <v>241</v>
      </c>
      <c r="Q9" s="3" t="s">
        <v>140</v>
      </c>
      <c r="R9" s="3" t="s">
        <v>141</v>
      </c>
      <c r="S9" s="3" t="s">
        <v>142</v>
      </c>
      <c r="T9" s="3" t="s">
        <v>242</v>
      </c>
      <c r="U9" s="3" t="s">
        <v>230</v>
      </c>
      <c r="V9" s="3" t="s">
        <v>143</v>
      </c>
    </row>
    <row r="10" spans="1:22" ht="100.8" x14ac:dyDescent="0.3">
      <c r="A10" s="3" t="str">
        <f t="shared" si="0"/>
        <v>MCQ_ITNIC_DEF_PSC_001</v>
      </c>
      <c r="B10" s="3" t="s">
        <v>21</v>
      </c>
      <c r="C10" s="3" t="s">
        <v>15</v>
      </c>
      <c r="D10" s="3" t="s">
        <v>160</v>
      </c>
      <c r="E10" s="3" t="s">
        <v>18</v>
      </c>
      <c r="F10" s="3">
        <v>3</v>
      </c>
      <c r="G10" s="3" t="s">
        <v>16</v>
      </c>
      <c r="H10" s="3" t="s">
        <v>17</v>
      </c>
      <c r="I10" s="3" t="s">
        <v>161</v>
      </c>
      <c r="J10" s="3" t="s">
        <v>128</v>
      </c>
      <c r="K10" s="3">
        <v>1</v>
      </c>
      <c r="L10" s="3" t="s">
        <v>162</v>
      </c>
      <c r="M10" s="3" t="str">
        <f>IF(B10="","","MCQ"&amp;"_"&amp;IFERROR(VLOOKUP(B10,LOOKUPS!$K$2:$L$9,2,FALSE),"UNK")&amp;"_"&amp;IFERROR(VLOOKUP(C10,LOOKUPS!$N$2:$O$8,2,FALSE),"UNK")&amp;"_"&amp;UPPER(L10))</f>
        <v>MCQ_ITNIC_DEF_PSC</v>
      </c>
      <c r="N10" s="3">
        <f>IF(M10="","",COUNTIF($M$2:M10,M10))</f>
        <v>1</v>
      </c>
      <c r="O10" s="3" t="s">
        <v>163</v>
      </c>
      <c r="P10" s="3" t="s">
        <v>164</v>
      </c>
      <c r="Q10" s="3" t="s">
        <v>165</v>
      </c>
      <c r="R10" s="3" t="s">
        <v>166</v>
      </c>
      <c r="S10" s="3" t="s">
        <v>167</v>
      </c>
      <c r="T10" s="3" t="s">
        <v>168</v>
      </c>
      <c r="U10" s="3" t="s">
        <v>135</v>
      </c>
      <c r="V10" s="3" t="s">
        <v>169</v>
      </c>
    </row>
    <row r="11" spans="1:22" ht="100.8" x14ac:dyDescent="0.3">
      <c r="A11" s="3" t="str">
        <f t="shared" si="0"/>
        <v>MCQ_ITNIC_REQ_PSC_001</v>
      </c>
      <c r="B11" s="3" t="s">
        <v>21</v>
      </c>
      <c r="C11" s="3" t="s">
        <v>22</v>
      </c>
      <c r="D11" s="3" t="s">
        <v>160</v>
      </c>
      <c r="E11" s="3" t="s">
        <v>18</v>
      </c>
      <c r="F11" s="3">
        <v>3</v>
      </c>
      <c r="G11" s="3" t="s">
        <v>16</v>
      </c>
      <c r="H11" s="3" t="s">
        <v>17</v>
      </c>
      <c r="I11" s="3" t="s">
        <v>170</v>
      </c>
      <c r="J11" s="3" t="s">
        <v>128</v>
      </c>
      <c r="K11" s="3">
        <v>1</v>
      </c>
      <c r="L11" s="3" t="s">
        <v>162</v>
      </c>
      <c r="M11" s="3" t="str">
        <f>IF(B11="","","MCQ"&amp;"_"&amp;IFERROR(VLOOKUP(B11,LOOKUPS!$K$2:$L$9,2,FALSE),"UNK")&amp;"_"&amp;IFERROR(VLOOKUP(C11,LOOKUPS!$N$2:$O$8,2,FALSE),"UNK")&amp;"_"&amp;UPPER(L11))</f>
        <v>MCQ_ITNIC_REQ_PSC</v>
      </c>
      <c r="N11" s="3">
        <f>IF(M11="","",COUNTIF($M$2:M11,M11))</f>
        <v>1</v>
      </c>
      <c r="O11" s="3" t="s">
        <v>808</v>
      </c>
      <c r="P11" s="3" t="s">
        <v>243</v>
      </c>
      <c r="Q11" s="3" t="s">
        <v>244</v>
      </c>
      <c r="R11" s="3" t="s">
        <v>171</v>
      </c>
      <c r="S11" s="3" t="s">
        <v>172</v>
      </c>
      <c r="T11" s="3" t="s">
        <v>173</v>
      </c>
      <c r="U11" s="3" t="s">
        <v>231</v>
      </c>
      <c r="V11" s="3" t="s">
        <v>822</v>
      </c>
    </row>
    <row r="12" spans="1:22" ht="86.4" x14ac:dyDescent="0.3">
      <c r="A12" s="3" t="str">
        <f t="shared" si="0"/>
        <v>MCQ_ITNIC_REQ_PSC_002</v>
      </c>
      <c r="B12" s="3" t="s">
        <v>21</v>
      </c>
      <c r="C12" s="3" t="s">
        <v>22</v>
      </c>
      <c r="D12" s="3" t="s">
        <v>160</v>
      </c>
      <c r="E12" s="3" t="s">
        <v>18</v>
      </c>
      <c r="F12" s="3">
        <v>3</v>
      </c>
      <c r="G12" s="3" t="s">
        <v>16</v>
      </c>
      <c r="H12" s="3" t="s">
        <v>17</v>
      </c>
      <c r="I12" s="3" t="s">
        <v>174</v>
      </c>
      <c r="J12" s="3" t="s">
        <v>128</v>
      </c>
      <c r="K12" s="3">
        <v>1</v>
      </c>
      <c r="L12" s="3" t="s">
        <v>162</v>
      </c>
      <c r="M12" s="3" t="str">
        <f>IF(B12="","","MCQ"&amp;"_"&amp;IFERROR(VLOOKUP(B12,LOOKUPS!$K$2:$L$9,2,FALSE),"UNK")&amp;"_"&amp;IFERROR(VLOOKUP(C12,LOOKUPS!$N$2:$O$8,2,FALSE),"UNK")&amp;"_"&amp;UPPER(L12))</f>
        <v>MCQ_ITNIC_REQ_PSC</v>
      </c>
      <c r="N12" s="3">
        <f>IF(M12="","",COUNTIF($M$2:M12,M12))</f>
        <v>2</v>
      </c>
      <c r="O12" s="3" t="s">
        <v>809</v>
      </c>
      <c r="P12" s="3" t="s">
        <v>245</v>
      </c>
      <c r="Q12" s="3" t="s">
        <v>175</v>
      </c>
      <c r="R12" s="3" t="s">
        <v>176</v>
      </c>
      <c r="S12" s="3" t="s">
        <v>246</v>
      </c>
      <c r="T12" s="3" t="s">
        <v>177</v>
      </c>
      <c r="U12" s="3" t="s">
        <v>232</v>
      </c>
      <c r="V12" s="3" t="s">
        <v>826</v>
      </c>
    </row>
    <row r="13" spans="1:22" ht="100.8" x14ac:dyDescent="0.3">
      <c r="A13" s="3" t="str">
        <f t="shared" si="0"/>
        <v>MCQ_ITNIC_DEF_SHS_001</v>
      </c>
      <c r="B13" s="3" t="s">
        <v>21</v>
      </c>
      <c r="C13" s="3" t="s">
        <v>15</v>
      </c>
      <c r="D13" s="3" t="s">
        <v>203</v>
      </c>
      <c r="E13" s="3" t="s">
        <v>18</v>
      </c>
      <c r="F13" s="3">
        <v>3</v>
      </c>
      <c r="G13" s="3" t="s">
        <v>16</v>
      </c>
      <c r="H13" s="3" t="s">
        <v>17</v>
      </c>
      <c r="I13" s="3" t="s">
        <v>204</v>
      </c>
      <c r="J13" s="3" t="s">
        <v>128</v>
      </c>
      <c r="K13" s="3">
        <v>1</v>
      </c>
      <c r="L13" s="3" t="s">
        <v>205</v>
      </c>
      <c r="M13" s="3" t="str">
        <f>IF(B13="","","MCQ"&amp;"_"&amp;IFERROR(VLOOKUP(B13,LOOKUPS!$K$2:$L$9,2,FALSE),"UNK")&amp;"_"&amp;IFERROR(VLOOKUP(C13,LOOKUPS!$N$2:$O$8,2,FALSE),"UNK")&amp;"_"&amp;UPPER(L13))</f>
        <v>MCQ_ITNIC_DEF_SHS</v>
      </c>
      <c r="N13" s="3">
        <f>IF(M13="","",COUNTIF($M$2:M13,M13))</f>
        <v>1</v>
      </c>
      <c r="O13" s="3" t="s">
        <v>833</v>
      </c>
      <c r="P13" s="3" t="s">
        <v>206</v>
      </c>
      <c r="Q13" s="3" t="s">
        <v>207</v>
      </c>
      <c r="R13" s="3" t="s">
        <v>721</v>
      </c>
      <c r="S13" s="3" t="s">
        <v>722</v>
      </c>
      <c r="T13" s="3" t="s">
        <v>723</v>
      </c>
      <c r="U13" s="3" t="s">
        <v>135</v>
      </c>
      <c r="V13" s="3" t="s">
        <v>208</v>
      </c>
    </row>
    <row r="14" spans="1:22" ht="115.2" x14ac:dyDescent="0.3">
      <c r="A14" s="3" t="str">
        <f t="shared" si="0"/>
        <v>MCQ_ITNIC_DEF_SHS_002</v>
      </c>
      <c r="B14" s="3" t="s">
        <v>21</v>
      </c>
      <c r="C14" s="3" t="s">
        <v>15</v>
      </c>
      <c r="D14" s="3" t="s">
        <v>203</v>
      </c>
      <c r="E14" s="3" t="s">
        <v>18</v>
      </c>
      <c r="F14" s="3">
        <v>3</v>
      </c>
      <c r="G14" s="3" t="s">
        <v>16</v>
      </c>
      <c r="H14" s="3" t="s">
        <v>17</v>
      </c>
      <c r="I14" s="3" t="s">
        <v>209</v>
      </c>
      <c r="J14" s="3" t="s">
        <v>128</v>
      </c>
      <c r="K14" s="3">
        <v>1</v>
      </c>
      <c r="L14" s="3" t="s">
        <v>205</v>
      </c>
      <c r="M14" s="3" t="str">
        <f>IF(B14="","","MCQ"&amp;"_"&amp;IFERROR(VLOOKUP(B14,LOOKUPS!$K$2:$L$9,2,FALSE),"UNK")&amp;"_"&amp;IFERROR(VLOOKUP(C14,LOOKUPS!$N$2:$O$8,2,FALSE),"UNK")&amp;"_"&amp;UPPER(L14))</f>
        <v>MCQ_ITNIC_DEF_SHS</v>
      </c>
      <c r="N14" s="3">
        <f>IF(M14="","",COUNTIF($M$2:M14,M14))</f>
        <v>2</v>
      </c>
      <c r="O14" s="3" t="s">
        <v>824</v>
      </c>
      <c r="P14" s="3" t="s">
        <v>763</v>
      </c>
      <c r="Q14" s="3" t="s">
        <v>210</v>
      </c>
      <c r="R14" s="3" t="s">
        <v>211</v>
      </c>
      <c r="S14" s="3" t="s">
        <v>212</v>
      </c>
      <c r="T14" s="3" t="s">
        <v>247</v>
      </c>
      <c r="U14" s="3" t="s">
        <v>230</v>
      </c>
      <c r="V14" s="3" t="s">
        <v>768</v>
      </c>
    </row>
    <row r="15" spans="1:22" ht="115.2" x14ac:dyDescent="0.3">
      <c r="A15" s="3" t="str">
        <f t="shared" si="0"/>
        <v>MCQ_ITNIC_DEF_SHS_003</v>
      </c>
      <c r="B15" s="3" t="s">
        <v>21</v>
      </c>
      <c r="C15" s="3" t="s">
        <v>15</v>
      </c>
      <c r="D15" s="3" t="s">
        <v>203</v>
      </c>
      <c r="E15" s="3" t="s">
        <v>18</v>
      </c>
      <c r="F15" s="3">
        <v>3</v>
      </c>
      <c r="G15" s="3" t="s">
        <v>16</v>
      </c>
      <c r="H15" s="3" t="s">
        <v>17</v>
      </c>
      <c r="I15" s="3" t="s">
        <v>213</v>
      </c>
      <c r="J15" s="3" t="s">
        <v>128</v>
      </c>
      <c r="K15" s="3">
        <v>1</v>
      </c>
      <c r="L15" s="3" t="s">
        <v>205</v>
      </c>
      <c r="M15" s="3" t="str">
        <f>IF(B15="","","MCQ"&amp;"_"&amp;IFERROR(VLOOKUP(B15,LOOKUPS!$K$2:$L$9,2,FALSE),"UNK")&amp;"_"&amp;IFERROR(VLOOKUP(C15,LOOKUPS!$N$2:$O$8,2,FALSE),"UNK")&amp;"_"&amp;UPPER(L15))</f>
        <v>MCQ_ITNIC_DEF_SHS</v>
      </c>
      <c r="N15" s="3">
        <f>IF(M15="","",COUNTIF($M$2:M15,M15))</f>
        <v>3</v>
      </c>
      <c r="O15" s="3" t="s">
        <v>825</v>
      </c>
      <c r="P15" s="3" t="s">
        <v>248</v>
      </c>
      <c r="Q15" s="3" t="s">
        <v>724</v>
      </c>
      <c r="R15" s="3" t="s">
        <v>324</v>
      </c>
      <c r="S15" s="3" t="s">
        <v>214</v>
      </c>
      <c r="T15" s="3" t="s">
        <v>215</v>
      </c>
      <c r="U15" s="3" t="s">
        <v>229</v>
      </c>
      <c r="V15" s="3" t="s">
        <v>725</v>
      </c>
    </row>
    <row r="16" spans="1:22" ht="57.6" x14ac:dyDescent="0.3">
      <c r="A16" s="3" t="str">
        <f t="shared" si="0"/>
        <v>MCQ_ITNIC_REQ_EMI_001</v>
      </c>
      <c r="B16" s="6" t="s">
        <v>21</v>
      </c>
      <c r="C16" s="6" t="s">
        <v>22</v>
      </c>
      <c r="D16" s="6" t="s">
        <v>259</v>
      </c>
      <c r="E16" s="6" t="s">
        <v>18</v>
      </c>
      <c r="F16" s="6">
        <v>3</v>
      </c>
      <c r="G16" s="6" t="s">
        <v>16</v>
      </c>
      <c r="H16" s="6" t="s">
        <v>17</v>
      </c>
      <c r="I16" s="6" t="s">
        <v>260</v>
      </c>
      <c r="J16" s="6" t="s">
        <v>128</v>
      </c>
      <c r="K16" s="6">
        <v>1</v>
      </c>
      <c r="L16" s="6" t="s">
        <v>261</v>
      </c>
      <c r="M16" s="3" t="str">
        <f>IF(B16="","","MCQ"&amp;"_"&amp;IFERROR(VLOOKUP(B16,LOOKUPS!$K$2:$L$9,2,FALSE),"UNK")&amp;"_"&amp;IFERROR(VLOOKUP(C16,LOOKUPS!$N$2:$O$8,2,FALSE),"UNK")&amp;"_"&amp;UPPER(L16))</f>
        <v>MCQ_ITNIC_REQ_EMI</v>
      </c>
      <c r="N16" s="3">
        <f>IF(M16="","",COUNTIF($M$2:M16,M16))</f>
        <v>1</v>
      </c>
      <c r="O16" s="6" t="s">
        <v>810</v>
      </c>
      <c r="P16" s="6" t="s">
        <v>262</v>
      </c>
      <c r="Q16" s="3" t="s">
        <v>263</v>
      </c>
      <c r="R16" s="3" t="s">
        <v>264</v>
      </c>
      <c r="S16" s="3" t="s">
        <v>265</v>
      </c>
      <c r="T16" s="3" t="s">
        <v>266</v>
      </c>
      <c r="U16" s="3" t="s">
        <v>135</v>
      </c>
      <c r="V16" s="3" t="s">
        <v>827</v>
      </c>
    </row>
    <row r="17" spans="1:22" ht="100.8" x14ac:dyDescent="0.3">
      <c r="A17" s="3" t="str">
        <f t="shared" si="0"/>
        <v>MCQ_ITNIC_REQ_EMI_002</v>
      </c>
      <c r="B17" s="6" t="s">
        <v>21</v>
      </c>
      <c r="C17" s="6" t="s">
        <v>22</v>
      </c>
      <c r="D17" s="6" t="s">
        <v>259</v>
      </c>
      <c r="E17" s="6" t="s">
        <v>18</v>
      </c>
      <c r="F17" s="6">
        <v>3</v>
      </c>
      <c r="G17" s="6" t="s">
        <v>16</v>
      </c>
      <c r="H17" s="6" t="s">
        <v>17</v>
      </c>
      <c r="I17" s="6" t="s">
        <v>260</v>
      </c>
      <c r="J17" s="6" t="s">
        <v>128</v>
      </c>
      <c r="K17" s="6">
        <v>1</v>
      </c>
      <c r="L17" s="6" t="s">
        <v>261</v>
      </c>
      <c r="M17" s="3" t="str">
        <f>IF(B17="","","MCQ"&amp;"_"&amp;IFERROR(VLOOKUP(B17,LOOKUPS!$K$2:$L$9,2,FALSE),"UNK")&amp;"_"&amp;IFERROR(VLOOKUP(C17,LOOKUPS!$N$2:$O$8,2,FALSE),"UNK")&amp;"_"&amp;UPPER(L17))</f>
        <v>MCQ_ITNIC_REQ_EMI</v>
      </c>
      <c r="N17" s="3">
        <f>IF(M17="","",COUNTIF($M$2:M17,M17))</f>
        <v>2</v>
      </c>
      <c r="O17" s="6" t="s">
        <v>811</v>
      </c>
      <c r="P17" s="6" t="s">
        <v>726</v>
      </c>
      <c r="Q17" s="3" t="s">
        <v>727</v>
      </c>
      <c r="R17" s="3" t="s">
        <v>267</v>
      </c>
      <c r="S17" s="3" t="s">
        <v>728</v>
      </c>
      <c r="T17" s="3" t="s">
        <v>268</v>
      </c>
      <c r="U17" s="3" t="s">
        <v>231</v>
      </c>
      <c r="V17" s="3" t="s">
        <v>269</v>
      </c>
    </row>
    <row r="18" spans="1:22" ht="43.2" x14ac:dyDescent="0.3">
      <c r="A18" s="3" t="str">
        <f t="shared" si="0"/>
        <v>MCQ_ITNIC_REQ_EMI_003</v>
      </c>
      <c r="B18" s="6" t="s">
        <v>21</v>
      </c>
      <c r="C18" s="6" t="s">
        <v>22</v>
      </c>
      <c r="D18" s="6" t="s">
        <v>259</v>
      </c>
      <c r="E18" s="6" t="s">
        <v>18</v>
      </c>
      <c r="F18" s="6">
        <v>3</v>
      </c>
      <c r="G18" s="6" t="s">
        <v>16</v>
      </c>
      <c r="H18" s="6" t="s">
        <v>17</v>
      </c>
      <c r="I18" s="6" t="s">
        <v>260</v>
      </c>
      <c r="J18" s="6" t="s">
        <v>128</v>
      </c>
      <c r="K18" s="6">
        <v>1</v>
      </c>
      <c r="L18" s="6" t="s">
        <v>261</v>
      </c>
      <c r="M18" s="3" t="str">
        <f>IF(B18="","","MCQ"&amp;"_"&amp;IFERROR(VLOOKUP(B18,LOOKUPS!$K$2:$L$9,2,FALSE),"UNK")&amp;"_"&amp;IFERROR(VLOOKUP(C18,LOOKUPS!$N$2:$O$8,2,FALSE),"UNK")&amp;"_"&amp;UPPER(L18))</f>
        <v>MCQ_ITNIC_REQ_EMI</v>
      </c>
      <c r="N18" s="3">
        <f>IF(M18="","",COUNTIF($M$2:M18,M18))</f>
        <v>3</v>
      </c>
      <c r="O18" s="6" t="s">
        <v>812</v>
      </c>
      <c r="P18" s="6" t="s">
        <v>270</v>
      </c>
      <c r="Q18" s="3" t="s">
        <v>271</v>
      </c>
      <c r="R18" s="3" t="s">
        <v>272</v>
      </c>
      <c r="S18" s="3" t="s">
        <v>273</v>
      </c>
      <c r="T18" s="3" t="s">
        <v>274</v>
      </c>
      <c r="U18" s="3" t="s">
        <v>229</v>
      </c>
      <c r="V18" s="3" t="s">
        <v>828</v>
      </c>
    </row>
    <row r="19" spans="1:22" ht="57.6" x14ac:dyDescent="0.3">
      <c r="A19" s="3" t="str">
        <f t="shared" si="0"/>
        <v>MCQ_ITNIC_REQ_EMI_004</v>
      </c>
      <c r="B19" s="6" t="s">
        <v>21</v>
      </c>
      <c r="C19" s="6" t="s">
        <v>22</v>
      </c>
      <c r="D19" s="6" t="s">
        <v>259</v>
      </c>
      <c r="E19" s="6" t="s">
        <v>18</v>
      </c>
      <c r="F19" s="6">
        <v>3</v>
      </c>
      <c r="G19" s="6" t="s">
        <v>16</v>
      </c>
      <c r="H19" s="6" t="s">
        <v>17</v>
      </c>
      <c r="I19" s="6" t="s">
        <v>260</v>
      </c>
      <c r="J19" s="6" t="s">
        <v>128</v>
      </c>
      <c r="K19" s="6">
        <v>1</v>
      </c>
      <c r="L19" s="6" t="s">
        <v>261</v>
      </c>
      <c r="M19" s="3" t="str">
        <f>IF(B19="","","MCQ"&amp;"_"&amp;IFERROR(VLOOKUP(B19,LOOKUPS!$K$2:$L$9,2,FALSE),"UNK")&amp;"_"&amp;IFERROR(VLOOKUP(C19,LOOKUPS!$N$2:$O$8,2,FALSE),"UNK")&amp;"_"&amp;UPPER(L19))</f>
        <v>MCQ_ITNIC_REQ_EMI</v>
      </c>
      <c r="N19" s="3">
        <f>IF(M19="","",COUNTIF($M$2:M19,M19))</f>
        <v>4</v>
      </c>
      <c r="O19" s="6" t="s">
        <v>813</v>
      </c>
      <c r="P19" s="6" t="s">
        <v>275</v>
      </c>
      <c r="Q19" s="3" t="s">
        <v>276</v>
      </c>
      <c r="R19" s="3" t="s">
        <v>277</v>
      </c>
      <c r="S19" s="3" t="s">
        <v>278</v>
      </c>
      <c r="T19" s="3" t="s">
        <v>279</v>
      </c>
      <c r="U19" s="3" t="s">
        <v>232</v>
      </c>
      <c r="V19" s="3" t="s">
        <v>280</v>
      </c>
    </row>
    <row r="20" spans="1:22" ht="72" x14ac:dyDescent="0.3">
      <c r="A20" s="3" t="str">
        <f t="shared" si="0"/>
        <v>MCQ_ITNIC_REQ_EMI_005</v>
      </c>
      <c r="B20" s="3" t="s">
        <v>21</v>
      </c>
      <c r="C20" s="3" t="s">
        <v>22</v>
      </c>
      <c r="D20" s="3" t="s">
        <v>259</v>
      </c>
      <c r="E20" s="3" t="s">
        <v>18</v>
      </c>
      <c r="F20" s="3">
        <v>3</v>
      </c>
      <c r="G20" s="3" t="s">
        <v>16</v>
      </c>
      <c r="H20" s="3" t="s">
        <v>17</v>
      </c>
      <c r="I20" s="3" t="s">
        <v>260</v>
      </c>
      <c r="J20" s="3" t="s">
        <v>128</v>
      </c>
      <c r="K20" s="3">
        <v>1</v>
      </c>
      <c r="L20" s="3" t="s">
        <v>261</v>
      </c>
      <c r="M20" s="3" t="str">
        <f>IF(B20="","","MCQ"&amp;"_"&amp;IFERROR(VLOOKUP(B20,LOOKUPS!$K$2:$L$9,2,FALSE),"UNK")&amp;"_"&amp;IFERROR(VLOOKUP(C20,LOOKUPS!$N$2:$O$8,2,FALSE),"UNK")&amp;"_"&amp;UPPER(L20))</f>
        <v>MCQ_ITNIC_REQ_EMI</v>
      </c>
      <c r="N20" s="3">
        <f>IF(M20="","",COUNTIF($M$2:M20,M20))</f>
        <v>5</v>
      </c>
      <c r="O20" s="3" t="s">
        <v>814</v>
      </c>
      <c r="P20" s="3" t="s">
        <v>281</v>
      </c>
      <c r="Q20" s="3" t="s">
        <v>282</v>
      </c>
      <c r="R20" s="3" t="s">
        <v>283</v>
      </c>
      <c r="S20" s="3" t="s">
        <v>729</v>
      </c>
      <c r="T20" s="3" t="s">
        <v>284</v>
      </c>
      <c r="U20" s="3" t="s">
        <v>230</v>
      </c>
      <c r="V20" s="3" t="s">
        <v>829</v>
      </c>
    </row>
    <row r="21" spans="1:22" ht="72" x14ac:dyDescent="0.3">
      <c r="A21" s="3" t="str">
        <f t="shared" si="0"/>
        <v>MCQ_ITNIC_REQ_EMI_006</v>
      </c>
      <c r="B21" s="3" t="s">
        <v>21</v>
      </c>
      <c r="C21" s="3" t="s">
        <v>22</v>
      </c>
      <c r="D21" s="3" t="s">
        <v>285</v>
      </c>
      <c r="E21" s="3" t="s">
        <v>18</v>
      </c>
      <c r="F21" s="3">
        <v>3</v>
      </c>
      <c r="G21" s="3" t="s">
        <v>16</v>
      </c>
      <c r="H21" s="3" t="s">
        <v>17</v>
      </c>
      <c r="I21" s="3" t="s">
        <v>286</v>
      </c>
      <c r="J21" s="3" t="s">
        <v>128</v>
      </c>
      <c r="K21" s="3">
        <v>1</v>
      </c>
      <c r="L21" s="3" t="s">
        <v>261</v>
      </c>
      <c r="M21" s="3" t="str">
        <f>IF(B21="","","MCQ"&amp;"_"&amp;IFERROR(VLOOKUP(B21,LOOKUPS!$K$2:$L$9,2,FALSE),"UNK")&amp;"_"&amp;IFERROR(VLOOKUP(C21,LOOKUPS!$N$2:$O$8,2,FALSE),"UNK")&amp;"_"&amp;UPPER(L21))</f>
        <v>MCQ_ITNIC_REQ_EMI</v>
      </c>
      <c r="N21" s="3">
        <f>IF(M21="","",COUNTIF($M$2:M21,M21))</f>
        <v>6</v>
      </c>
      <c r="O21" s="3" t="s">
        <v>815</v>
      </c>
      <c r="P21" s="3" t="s">
        <v>287</v>
      </c>
      <c r="Q21" s="3" t="s">
        <v>288</v>
      </c>
      <c r="R21" s="3" t="s">
        <v>289</v>
      </c>
      <c r="S21" s="3" t="s">
        <v>290</v>
      </c>
      <c r="T21" s="3" t="s">
        <v>291</v>
      </c>
      <c r="U21" s="3" t="s">
        <v>230</v>
      </c>
      <c r="V21" s="3" t="s">
        <v>292</v>
      </c>
    </row>
    <row r="22" spans="1:22" ht="57.6" x14ac:dyDescent="0.3">
      <c r="A22" s="3" t="str">
        <f t="shared" si="0"/>
        <v>MCQ_ITNIC_REQ_EMI_007</v>
      </c>
      <c r="B22" s="3" t="s">
        <v>21</v>
      </c>
      <c r="C22" s="3" t="s">
        <v>22</v>
      </c>
      <c r="D22" s="3" t="s">
        <v>285</v>
      </c>
      <c r="E22" s="3" t="s">
        <v>18</v>
      </c>
      <c r="F22" s="3">
        <v>3</v>
      </c>
      <c r="G22" s="3" t="s">
        <v>16</v>
      </c>
      <c r="H22" s="3" t="s">
        <v>17</v>
      </c>
      <c r="I22" s="3" t="s">
        <v>286</v>
      </c>
      <c r="J22" s="3" t="s">
        <v>128</v>
      </c>
      <c r="K22" s="3">
        <v>1</v>
      </c>
      <c r="L22" s="3" t="s">
        <v>261</v>
      </c>
      <c r="M22" s="3" t="str">
        <f>IF(B22="","","MCQ"&amp;"_"&amp;IFERROR(VLOOKUP(B22,LOOKUPS!$K$2:$L$9,2,FALSE),"UNK")&amp;"_"&amp;IFERROR(VLOOKUP(C22,LOOKUPS!$N$2:$O$8,2,FALSE),"UNK")&amp;"_"&amp;UPPER(L22))</f>
        <v>MCQ_ITNIC_REQ_EMI</v>
      </c>
      <c r="N22" s="3">
        <f>IF(M22="","",COUNTIF($M$2:M22,M22))</f>
        <v>7</v>
      </c>
      <c r="O22" s="3" t="s">
        <v>816</v>
      </c>
      <c r="P22" s="3" t="s">
        <v>293</v>
      </c>
      <c r="Q22" s="3" t="s">
        <v>294</v>
      </c>
      <c r="R22" s="3" t="s">
        <v>295</v>
      </c>
      <c r="S22" s="3" t="s">
        <v>296</v>
      </c>
      <c r="T22" s="3" t="s">
        <v>297</v>
      </c>
      <c r="U22" s="3" t="s">
        <v>232</v>
      </c>
      <c r="V22" s="3" t="s">
        <v>830</v>
      </c>
    </row>
    <row r="23" spans="1:22" ht="86.4" x14ac:dyDescent="0.3">
      <c r="A23" s="3" t="str">
        <f t="shared" si="0"/>
        <v>MCQ_ITNIC_REQ_EMI_008</v>
      </c>
      <c r="B23" s="3" t="s">
        <v>21</v>
      </c>
      <c r="C23" s="3" t="s">
        <v>22</v>
      </c>
      <c r="D23" s="3" t="s">
        <v>298</v>
      </c>
      <c r="E23" s="3" t="s">
        <v>18</v>
      </c>
      <c r="F23" s="3">
        <v>3</v>
      </c>
      <c r="G23" s="3" t="s">
        <v>16</v>
      </c>
      <c r="H23" s="3" t="s">
        <v>17</v>
      </c>
      <c r="I23" s="3" t="s">
        <v>299</v>
      </c>
      <c r="J23" s="3" t="s">
        <v>128</v>
      </c>
      <c r="K23" s="3">
        <v>1</v>
      </c>
      <c r="L23" s="3" t="s">
        <v>261</v>
      </c>
      <c r="M23" s="3" t="str">
        <f>IF(B23="","","MCQ"&amp;"_"&amp;IFERROR(VLOOKUP(B23,LOOKUPS!$K$2:$L$9,2,FALSE),"UNK")&amp;"_"&amp;IFERROR(VLOOKUP(C23,LOOKUPS!$N$2:$O$8,2,FALSE),"UNK")&amp;"_"&amp;UPPER(L23))</f>
        <v>MCQ_ITNIC_REQ_EMI</v>
      </c>
      <c r="N23" s="3">
        <f>IF(M23="","",COUNTIF($M$2:M23,M23))</f>
        <v>8</v>
      </c>
      <c r="O23" s="3" t="s">
        <v>817</v>
      </c>
      <c r="P23" s="3" t="s">
        <v>300</v>
      </c>
      <c r="Q23" s="3" t="s">
        <v>301</v>
      </c>
      <c r="R23" s="3" t="s">
        <v>302</v>
      </c>
      <c r="S23" s="3" t="s">
        <v>303</v>
      </c>
      <c r="T23" s="3" t="s">
        <v>304</v>
      </c>
      <c r="U23" s="3" t="s">
        <v>229</v>
      </c>
      <c r="V23" s="3" t="s">
        <v>305</v>
      </c>
    </row>
    <row r="24" spans="1:22" ht="43.2" x14ac:dyDescent="0.3">
      <c r="A24" s="3" t="str">
        <f t="shared" si="0"/>
        <v>MCQ_ITNIC_REQ_EMI_009</v>
      </c>
      <c r="B24" s="3" t="s">
        <v>21</v>
      </c>
      <c r="C24" s="3" t="s">
        <v>22</v>
      </c>
      <c r="D24" s="3" t="s">
        <v>306</v>
      </c>
      <c r="E24" s="3" t="s">
        <v>18</v>
      </c>
      <c r="F24" s="3">
        <v>3</v>
      </c>
      <c r="G24" s="3" t="s">
        <v>16</v>
      </c>
      <c r="H24" s="3" t="s">
        <v>17</v>
      </c>
      <c r="I24" s="3" t="s">
        <v>307</v>
      </c>
      <c r="J24" s="3" t="s">
        <v>128</v>
      </c>
      <c r="K24" s="3">
        <v>1</v>
      </c>
      <c r="L24" s="3" t="s">
        <v>261</v>
      </c>
      <c r="M24" s="3" t="str">
        <f>IF(B24="","","MCQ"&amp;"_"&amp;IFERROR(VLOOKUP(B24,LOOKUPS!$K$2:$L$9,2,FALSE),"UNK")&amp;"_"&amp;IFERROR(VLOOKUP(C24,LOOKUPS!$N$2:$O$8,2,FALSE),"UNK")&amp;"_"&amp;UPPER(L24))</f>
        <v>MCQ_ITNIC_REQ_EMI</v>
      </c>
      <c r="N24" s="3">
        <f>IF(M24="","",COUNTIF($M$2:M24,M24))</f>
        <v>9</v>
      </c>
      <c r="O24" s="3" t="s">
        <v>818</v>
      </c>
      <c r="P24" s="3" t="s">
        <v>308</v>
      </c>
      <c r="Q24" s="3" t="s">
        <v>309</v>
      </c>
      <c r="R24" s="3" t="s">
        <v>310</v>
      </c>
      <c r="S24" s="3" t="s">
        <v>311</v>
      </c>
      <c r="T24" s="3" t="s">
        <v>312</v>
      </c>
      <c r="U24" s="3" t="s">
        <v>231</v>
      </c>
      <c r="V24" s="3" t="s">
        <v>831</v>
      </c>
    </row>
    <row r="25" spans="1:22" ht="43.2" x14ac:dyDescent="0.3">
      <c r="A25" s="3" t="str">
        <f t="shared" si="0"/>
        <v>MCQ_ITNIC_REQ_EMI_010</v>
      </c>
      <c r="B25" s="3" t="s">
        <v>21</v>
      </c>
      <c r="C25" s="3" t="s">
        <v>22</v>
      </c>
      <c r="D25" s="3" t="s">
        <v>306</v>
      </c>
      <c r="E25" s="3" t="s">
        <v>18</v>
      </c>
      <c r="F25" s="3">
        <v>3</v>
      </c>
      <c r="G25" s="3" t="s">
        <v>16</v>
      </c>
      <c r="H25" s="3" t="s">
        <v>17</v>
      </c>
      <c r="I25" s="3" t="s">
        <v>307</v>
      </c>
      <c r="J25" s="3" t="s">
        <v>128</v>
      </c>
      <c r="K25" s="3">
        <v>1</v>
      </c>
      <c r="L25" s="3" t="s">
        <v>261</v>
      </c>
      <c r="M25" s="3" t="str">
        <f>IF(B25="","","MCQ"&amp;"_"&amp;IFERROR(VLOOKUP(B25,LOOKUPS!$K$2:$L$9,2,FALSE),"UNK")&amp;"_"&amp;IFERROR(VLOOKUP(C25,LOOKUPS!$N$2:$O$8,2,FALSE),"UNK")&amp;"_"&amp;UPPER(L25))</f>
        <v>MCQ_ITNIC_REQ_EMI</v>
      </c>
      <c r="N25" s="3">
        <f>IF(M25="","",COUNTIF($M$2:M25,M25))</f>
        <v>10</v>
      </c>
      <c r="O25" s="3" t="s">
        <v>819</v>
      </c>
      <c r="P25" s="3" t="s">
        <v>313</v>
      </c>
      <c r="Q25" s="3" t="s">
        <v>309</v>
      </c>
      <c r="R25" s="3" t="s">
        <v>314</v>
      </c>
      <c r="S25" s="3" t="s">
        <v>315</v>
      </c>
      <c r="T25" s="3" t="s">
        <v>316</v>
      </c>
      <c r="U25" s="3" t="s">
        <v>135</v>
      </c>
      <c r="V25" s="3" t="s">
        <v>317</v>
      </c>
    </row>
    <row r="26" spans="1:22" ht="86.4" x14ac:dyDescent="0.3">
      <c r="A26" s="3" t="str">
        <f t="shared" si="0"/>
        <v>MCQ_ITNIC_REQ_EMI_011</v>
      </c>
      <c r="B26" s="3" t="s">
        <v>21</v>
      </c>
      <c r="C26" s="3" t="s">
        <v>22</v>
      </c>
      <c r="D26" s="3" t="s">
        <v>306</v>
      </c>
      <c r="E26" s="3" t="s">
        <v>18</v>
      </c>
      <c r="F26" s="3">
        <v>3</v>
      </c>
      <c r="G26" s="3" t="s">
        <v>16</v>
      </c>
      <c r="H26" s="3" t="s">
        <v>17</v>
      </c>
      <c r="I26" s="3" t="s">
        <v>307</v>
      </c>
      <c r="J26" s="3" t="s">
        <v>128</v>
      </c>
      <c r="K26" s="3">
        <v>1</v>
      </c>
      <c r="L26" s="3" t="s">
        <v>261</v>
      </c>
      <c r="M26" s="3" t="str">
        <f>IF(B26="","","MCQ"&amp;"_"&amp;IFERROR(VLOOKUP(B26,LOOKUPS!$K$2:$L$9,2,FALSE),"UNK")&amp;"_"&amp;IFERROR(VLOOKUP(C26,LOOKUPS!$N$2:$O$8,2,FALSE),"UNK")&amp;"_"&amp;UPPER(L26))</f>
        <v>MCQ_ITNIC_REQ_EMI</v>
      </c>
      <c r="N26" s="3">
        <f>IF(M26="","",COUNTIF($M$2:M26,M26))</f>
        <v>11</v>
      </c>
      <c r="O26" s="3" t="s">
        <v>820</v>
      </c>
      <c r="P26" s="3" t="s">
        <v>730</v>
      </c>
      <c r="Q26" s="3" t="s">
        <v>731</v>
      </c>
      <c r="R26" s="3" t="s">
        <v>732</v>
      </c>
      <c r="S26" s="3" t="s">
        <v>733</v>
      </c>
      <c r="T26" s="3" t="s">
        <v>734</v>
      </c>
      <c r="U26" s="3" t="s">
        <v>229</v>
      </c>
      <c r="V26" s="3" t="s">
        <v>832</v>
      </c>
    </row>
    <row r="27" spans="1:22" ht="100.8" x14ac:dyDescent="0.3">
      <c r="A27" s="3" t="str">
        <f t="shared" si="0"/>
        <v>MCQ_ITNIC_REQ_EMI_012</v>
      </c>
      <c r="B27" s="3" t="s">
        <v>21</v>
      </c>
      <c r="C27" s="3" t="s">
        <v>22</v>
      </c>
      <c r="D27" s="3" t="s">
        <v>306</v>
      </c>
      <c r="E27" s="3" t="s">
        <v>18</v>
      </c>
      <c r="F27" s="3">
        <v>3</v>
      </c>
      <c r="G27" s="3" t="s">
        <v>16</v>
      </c>
      <c r="H27" s="3" t="s">
        <v>17</v>
      </c>
      <c r="I27" s="3" t="s">
        <v>318</v>
      </c>
      <c r="J27" s="3" t="s">
        <v>128</v>
      </c>
      <c r="K27" s="3">
        <v>1</v>
      </c>
      <c r="L27" s="3" t="s">
        <v>261</v>
      </c>
      <c r="M27" s="3" t="str">
        <f>IF(B27="","","MCQ"&amp;"_"&amp;IFERROR(VLOOKUP(B27,LOOKUPS!$K$2:$L$9,2,FALSE),"UNK")&amp;"_"&amp;IFERROR(VLOOKUP(C27,LOOKUPS!$N$2:$O$8,2,FALSE),"UNK")&amp;"_"&amp;UPPER(L27))</f>
        <v>MCQ_ITNIC_REQ_EMI</v>
      </c>
      <c r="N27" s="3">
        <f>IF(M27="","",COUNTIF($M$2:M27,M27))</f>
        <v>12</v>
      </c>
      <c r="O27" s="3" t="s">
        <v>821</v>
      </c>
      <c r="P27" s="3" t="s">
        <v>785</v>
      </c>
      <c r="Q27" s="3" t="s">
        <v>764</v>
      </c>
      <c r="R27" s="3" t="s">
        <v>765</v>
      </c>
      <c r="S27" s="3" t="s">
        <v>766</v>
      </c>
      <c r="T27" s="3" t="s">
        <v>767</v>
      </c>
      <c r="U27" s="3" t="s">
        <v>230</v>
      </c>
      <c r="V27" s="3" t="s">
        <v>769</v>
      </c>
    </row>
    <row r="28" spans="1:22" ht="57.6" x14ac:dyDescent="0.3">
      <c r="A28" s="3" t="str">
        <f t="shared" si="0"/>
        <v>MCQ_CGT_REQ_RESDOM_001</v>
      </c>
      <c r="B28" s="3" t="s">
        <v>28</v>
      </c>
      <c r="C28" s="3" t="s">
        <v>22</v>
      </c>
      <c r="D28" s="3" t="s">
        <v>484</v>
      </c>
      <c r="E28" s="3" t="s">
        <v>18</v>
      </c>
      <c r="F28" s="3">
        <v>3</v>
      </c>
      <c r="G28" s="3" t="s">
        <v>16</v>
      </c>
      <c r="H28" s="3" t="s">
        <v>17</v>
      </c>
      <c r="I28" s="3" t="s">
        <v>485</v>
      </c>
      <c r="J28" s="3" t="s">
        <v>443</v>
      </c>
      <c r="K28" s="3">
        <v>1</v>
      </c>
      <c r="L28" s="3" t="s">
        <v>486</v>
      </c>
      <c r="M28" s="3" t="str">
        <f>IF(B28="","","MCQ"&amp;"_"&amp;IFERROR(VLOOKUP(B28,LOOKUPS!$K$2:$L$9,2,FALSE),"UNK")&amp;"_"&amp;IFERROR(VLOOKUP(C28,LOOKUPS!$N$2:$O$8,2,FALSE),"UNK")&amp;"_"&amp;UPPER(L28))</f>
        <v>MCQ_CGT_REQ_RESDOM</v>
      </c>
      <c r="N28" s="3">
        <f>IF(M28="","",COUNTIF($M$2:M28,M28))</f>
        <v>1</v>
      </c>
      <c r="O28" s="3" t="s">
        <v>612</v>
      </c>
      <c r="P28" s="3" t="s">
        <v>611</v>
      </c>
      <c r="Q28" s="3" t="s">
        <v>610</v>
      </c>
      <c r="R28" s="3" t="s">
        <v>609</v>
      </c>
      <c r="S28" s="3" t="s">
        <v>608</v>
      </c>
      <c r="T28" s="3"/>
      <c r="U28" s="3" t="s">
        <v>135</v>
      </c>
      <c r="V28" s="3" t="s">
        <v>607</v>
      </c>
    </row>
    <row r="29" spans="1:22" ht="57.6" x14ac:dyDescent="0.3">
      <c r="A29" s="3" t="str">
        <f t="shared" si="0"/>
        <v>MCQ_CGT_REQ_RESDOM_002</v>
      </c>
      <c r="B29" s="3" t="s">
        <v>28</v>
      </c>
      <c r="C29" s="3" t="s">
        <v>22</v>
      </c>
      <c r="D29" s="3" t="s">
        <v>484</v>
      </c>
      <c r="E29" s="3" t="s">
        <v>18</v>
      </c>
      <c r="F29" s="3">
        <v>3</v>
      </c>
      <c r="G29" s="3" t="s">
        <v>16</v>
      </c>
      <c r="H29" s="3" t="s">
        <v>17</v>
      </c>
      <c r="I29" s="3" t="s">
        <v>485</v>
      </c>
      <c r="J29" s="3" t="s">
        <v>443</v>
      </c>
      <c r="K29" s="3">
        <v>1</v>
      </c>
      <c r="L29" s="3" t="s">
        <v>486</v>
      </c>
      <c r="M29" s="3" t="str">
        <f>IF(B29="","","MCQ"&amp;"_"&amp;IFERROR(VLOOKUP(B29,LOOKUPS!$K$2:$L$9,2,FALSE),"UNK")&amp;"_"&amp;IFERROR(VLOOKUP(C29,LOOKUPS!$N$2:$O$8,2,FALSE),"UNK")&amp;"_"&amp;UPPER(L29))</f>
        <v>MCQ_CGT_REQ_RESDOM</v>
      </c>
      <c r="N29" s="3">
        <f>IF(M29="","",COUNTIF($M$2:M29,M29))</f>
        <v>2</v>
      </c>
      <c r="O29" s="3" t="s">
        <v>606</v>
      </c>
      <c r="P29" s="3" t="s">
        <v>605</v>
      </c>
      <c r="Q29" s="3" t="s">
        <v>604</v>
      </c>
      <c r="R29" s="3" t="s">
        <v>603</v>
      </c>
      <c r="S29" s="3" t="s">
        <v>602</v>
      </c>
      <c r="T29" s="3"/>
      <c r="U29" s="3" t="s">
        <v>231</v>
      </c>
      <c r="V29" s="3" t="s">
        <v>601</v>
      </c>
    </row>
    <row r="30" spans="1:22" ht="28.8" x14ac:dyDescent="0.3">
      <c r="A30" s="3" t="str">
        <f t="shared" si="0"/>
        <v>MCQ_CGT_REQ_RESDOM_003</v>
      </c>
      <c r="B30" s="3" t="s">
        <v>28</v>
      </c>
      <c r="C30" s="3" t="s">
        <v>22</v>
      </c>
      <c r="D30" s="3" t="s">
        <v>484</v>
      </c>
      <c r="E30" s="3" t="s">
        <v>18</v>
      </c>
      <c r="F30" s="3">
        <v>3</v>
      </c>
      <c r="G30" s="3" t="s">
        <v>16</v>
      </c>
      <c r="H30" s="3" t="s">
        <v>17</v>
      </c>
      <c r="I30" s="3" t="s">
        <v>494</v>
      </c>
      <c r="J30" s="3" t="s">
        <v>443</v>
      </c>
      <c r="K30" s="3">
        <v>1</v>
      </c>
      <c r="L30" s="3" t="s">
        <v>486</v>
      </c>
      <c r="M30" s="3" t="str">
        <f>IF(B30="","","MCQ"&amp;"_"&amp;IFERROR(VLOOKUP(B30,LOOKUPS!$K$2:$L$9,2,FALSE),"UNK")&amp;"_"&amp;IFERROR(VLOOKUP(C30,LOOKUPS!$N$2:$O$8,2,FALSE),"UNK")&amp;"_"&amp;UPPER(L30))</f>
        <v>MCQ_CGT_REQ_RESDOM</v>
      </c>
      <c r="N30" s="3">
        <f>IF(M30="","",COUNTIF($M$2:M30,M30))</f>
        <v>3</v>
      </c>
      <c r="O30" s="3" t="s">
        <v>600</v>
      </c>
      <c r="P30" s="3" t="s">
        <v>599</v>
      </c>
      <c r="Q30" s="3" t="s">
        <v>598</v>
      </c>
      <c r="R30" s="3" t="s">
        <v>597</v>
      </c>
      <c r="S30" s="3" t="s">
        <v>596</v>
      </c>
      <c r="T30" s="3"/>
      <c r="U30" s="3" t="s">
        <v>229</v>
      </c>
      <c r="V30" s="3" t="s">
        <v>595</v>
      </c>
    </row>
    <row r="31" spans="1:22" ht="43.2" x14ac:dyDescent="0.3">
      <c r="A31" s="3" t="str">
        <f t="shared" si="0"/>
        <v>MCQ_CGT_REQ_RESDOM_004</v>
      </c>
      <c r="B31" s="3" t="s">
        <v>28</v>
      </c>
      <c r="C31" s="3" t="s">
        <v>22</v>
      </c>
      <c r="D31" s="3" t="s">
        <v>484</v>
      </c>
      <c r="E31" s="3" t="s">
        <v>18</v>
      </c>
      <c r="F31" s="3">
        <v>3</v>
      </c>
      <c r="G31" s="3" t="s">
        <v>16</v>
      </c>
      <c r="H31" s="3" t="s">
        <v>17</v>
      </c>
      <c r="I31" s="3" t="s">
        <v>499</v>
      </c>
      <c r="J31" s="3" t="s">
        <v>443</v>
      </c>
      <c r="K31" s="3">
        <v>1</v>
      </c>
      <c r="L31" s="3" t="s">
        <v>486</v>
      </c>
      <c r="M31" s="3" t="str">
        <f>IF(B31="","","MCQ"&amp;"_"&amp;IFERROR(VLOOKUP(B31,LOOKUPS!$K$2:$L$9,2,FALSE),"UNK")&amp;"_"&amp;IFERROR(VLOOKUP(C31,LOOKUPS!$N$2:$O$8,2,FALSE),"UNK")&amp;"_"&amp;UPPER(L31))</f>
        <v>MCQ_CGT_REQ_RESDOM</v>
      </c>
      <c r="N31" s="3">
        <f>IF(M31="","",COUNTIF($M$2:M31,M31))</f>
        <v>4</v>
      </c>
      <c r="O31" s="3" t="s">
        <v>594</v>
      </c>
      <c r="P31" s="3" t="s">
        <v>593</v>
      </c>
      <c r="Q31" s="3" t="s">
        <v>592</v>
      </c>
      <c r="R31" s="3" t="s">
        <v>591</v>
      </c>
      <c r="S31" s="3" t="s">
        <v>590</v>
      </c>
      <c r="T31" s="3"/>
      <c r="U31" s="3" t="s">
        <v>231</v>
      </c>
      <c r="V31" s="3" t="s">
        <v>589</v>
      </c>
    </row>
    <row r="32" spans="1:22" ht="43.2" x14ac:dyDescent="0.3">
      <c r="A32" s="3" t="str">
        <f t="shared" si="0"/>
        <v>MCQ_CGT_REQ_RESDOM_005</v>
      </c>
      <c r="B32" s="3" t="s">
        <v>28</v>
      </c>
      <c r="C32" s="3" t="s">
        <v>22</v>
      </c>
      <c r="D32" s="3" t="s">
        <v>484</v>
      </c>
      <c r="E32" s="3" t="s">
        <v>18</v>
      </c>
      <c r="F32" s="3">
        <v>3</v>
      </c>
      <c r="G32" s="3" t="s">
        <v>16</v>
      </c>
      <c r="H32" s="3" t="s">
        <v>17</v>
      </c>
      <c r="I32" s="3" t="s">
        <v>505</v>
      </c>
      <c r="J32" s="3" t="s">
        <v>443</v>
      </c>
      <c r="K32" s="3">
        <v>1</v>
      </c>
      <c r="L32" s="3" t="s">
        <v>486</v>
      </c>
      <c r="M32" s="3" t="str">
        <f>IF(B32="","","MCQ"&amp;"_"&amp;IFERROR(VLOOKUP(B32,LOOKUPS!$K$2:$L$9,2,FALSE),"UNK")&amp;"_"&amp;IFERROR(VLOOKUP(C32,LOOKUPS!$N$2:$O$8,2,FALSE),"UNK")&amp;"_"&amp;UPPER(L32))</f>
        <v>MCQ_CGT_REQ_RESDOM</v>
      </c>
      <c r="N32" s="3">
        <f>IF(M32="","",COUNTIF($M$2:M32,M32))</f>
        <v>5</v>
      </c>
      <c r="O32" s="3" t="s">
        <v>588</v>
      </c>
      <c r="P32" s="3" t="s">
        <v>587</v>
      </c>
      <c r="Q32" s="3" t="s">
        <v>586</v>
      </c>
      <c r="R32" s="3" t="s">
        <v>585</v>
      </c>
      <c r="S32" s="3" t="s">
        <v>584</v>
      </c>
      <c r="T32" s="3"/>
      <c r="U32" s="3" t="s">
        <v>229</v>
      </c>
      <c r="V32" s="3" t="s">
        <v>583</v>
      </c>
    </row>
    <row r="33" spans="1:27" ht="43.2" x14ac:dyDescent="0.3">
      <c r="A33" s="3" t="str">
        <f t="shared" si="0"/>
        <v>MCQ_CGT_REQ_RESDOM_006</v>
      </c>
      <c r="B33" s="3" t="s">
        <v>28</v>
      </c>
      <c r="C33" s="3" t="s">
        <v>22</v>
      </c>
      <c r="D33" s="3" t="s">
        <v>484</v>
      </c>
      <c r="E33" s="3" t="s">
        <v>18</v>
      </c>
      <c r="F33" s="3">
        <v>3</v>
      </c>
      <c r="G33" s="3" t="s">
        <v>16</v>
      </c>
      <c r="H33" s="3" t="s">
        <v>17</v>
      </c>
      <c r="I33" s="3" t="s">
        <v>582</v>
      </c>
      <c r="J33" s="3" t="s">
        <v>443</v>
      </c>
      <c r="K33" s="3">
        <v>1</v>
      </c>
      <c r="L33" s="3" t="s">
        <v>486</v>
      </c>
      <c r="M33" s="3" t="str">
        <f>IF(B33="","","MCQ"&amp;"_"&amp;IFERROR(VLOOKUP(B33,LOOKUPS!$K$2:$L$9,2,FALSE),"UNK")&amp;"_"&amp;IFERROR(VLOOKUP(C33,LOOKUPS!$N$2:$O$8,2,FALSE),"UNK")&amp;"_"&amp;UPPER(L33))</f>
        <v>MCQ_CGT_REQ_RESDOM</v>
      </c>
      <c r="N33" s="3">
        <f>IF(M33="","",COUNTIF($M$2:M33,M33))</f>
        <v>6</v>
      </c>
      <c r="O33" s="3" t="s">
        <v>581</v>
      </c>
      <c r="P33" s="3" t="s">
        <v>580</v>
      </c>
      <c r="Q33" s="3" t="s">
        <v>579</v>
      </c>
      <c r="R33" s="3" t="s">
        <v>578</v>
      </c>
      <c r="S33" s="3" t="s">
        <v>577</v>
      </c>
      <c r="T33" s="3"/>
      <c r="U33" s="3" t="s">
        <v>135</v>
      </c>
      <c r="V33" s="3" t="s">
        <v>576</v>
      </c>
    </row>
    <row r="34" spans="1:27" ht="43.2" x14ac:dyDescent="0.3">
      <c r="A34" s="3" t="str">
        <f t="shared" si="0"/>
        <v>MCQ_CGT_REQ_RESDOM_007</v>
      </c>
      <c r="B34" s="3" t="s">
        <v>28</v>
      </c>
      <c r="C34" s="3" t="s">
        <v>22</v>
      </c>
      <c r="D34" s="3" t="s">
        <v>484</v>
      </c>
      <c r="E34" s="3" t="s">
        <v>18</v>
      </c>
      <c r="F34" s="3">
        <v>3</v>
      </c>
      <c r="G34" s="3" t="s">
        <v>16</v>
      </c>
      <c r="H34" s="3" t="s">
        <v>17</v>
      </c>
      <c r="I34" s="3" t="s">
        <v>575</v>
      </c>
      <c r="J34" s="3" t="s">
        <v>443</v>
      </c>
      <c r="K34" s="3">
        <v>1</v>
      </c>
      <c r="L34" s="3" t="s">
        <v>486</v>
      </c>
      <c r="M34" s="3" t="str">
        <f>IF(B34="","","MCQ"&amp;"_"&amp;IFERROR(VLOOKUP(B34,LOOKUPS!$K$2:$L$9,2,FALSE),"UNK")&amp;"_"&amp;IFERROR(VLOOKUP(C34,LOOKUPS!$N$2:$O$8,2,FALSE),"UNK")&amp;"_"&amp;UPPER(L34))</f>
        <v>MCQ_CGT_REQ_RESDOM</v>
      </c>
      <c r="N34" s="3">
        <f>IF(M34="","",COUNTIF($M$2:M34,M34))</f>
        <v>7</v>
      </c>
      <c r="O34" s="3" t="s">
        <v>574</v>
      </c>
      <c r="P34" s="3" t="s">
        <v>573</v>
      </c>
      <c r="Q34" s="3" t="s">
        <v>572</v>
      </c>
      <c r="R34" s="3" t="s">
        <v>571</v>
      </c>
      <c r="S34" s="3" t="s">
        <v>570</v>
      </c>
      <c r="T34" s="3"/>
      <c r="U34" s="3" t="s">
        <v>229</v>
      </c>
      <c r="V34" s="3" t="s">
        <v>569</v>
      </c>
    </row>
    <row r="35" spans="1:27" ht="28.8" x14ac:dyDescent="0.3">
      <c r="A35" s="3" t="str">
        <f t="shared" si="0"/>
        <v>MCQ_CGT_REQ_RESDOM_008</v>
      </c>
      <c r="B35" t="s">
        <v>28</v>
      </c>
      <c r="C35" t="s">
        <v>22</v>
      </c>
      <c r="D35" t="s">
        <v>484</v>
      </c>
      <c r="E35" t="s">
        <v>18</v>
      </c>
      <c r="F35">
        <v>3</v>
      </c>
      <c r="G35" t="s">
        <v>16</v>
      </c>
      <c r="H35" t="s">
        <v>17</v>
      </c>
      <c r="I35" t="s">
        <v>568</v>
      </c>
      <c r="J35" t="s">
        <v>443</v>
      </c>
      <c r="K35">
        <v>1</v>
      </c>
      <c r="L35" t="s">
        <v>486</v>
      </c>
      <c r="M35" s="3" t="str">
        <f>IF(B35="","","MCQ"&amp;"_"&amp;IFERROR(VLOOKUP(B35,LOOKUPS!$K$2:$L$9,2,FALSE),"UNK")&amp;"_"&amp;IFERROR(VLOOKUP(C35,LOOKUPS!$N$2:$O$8,2,FALSE),"UNK")&amp;"_"&amp;UPPER(L35))</f>
        <v>MCQ_CGT_REQ_RESDOM</v>
      </c>
      <c r="N35" s="3">
        <f>IF(M35="","",COUNTIF($M$2:M35,M35))</f>
        <v>8</v>
      </c>
      <c r="O35" t="s">
        <v>840</v>
      </c>
      <c r="P35" t="s">
        <v>567</v>
      </c>
      <c r="Q35" t="s">
        <v>566</v>
      </c>
      <c r="R35" t="s">
        <v>565</v>
      </c>
      <c r="S35" t="s">
        <v>564</v>
      </c>
      <c r="T35"/>
      <c r="U35" t="s">
        <v>231</v>
      </c>
      <c r="V35" t="s">
        <v>563</v>
      </c>
    </row>
    <row r="36" spans="1:27" ht="28.8" x14ac:dyDescent="0.3">
      <c r="A36" s="3" t="str">
        <f t="shared" si="0"/>
        <v>MCQ_CGT_REQ_SPLITYR_001</v>
      </c>
      <c r="B36" t="s">
        <v>28</v>
      </c>
      <c r="C36" t="s">
        <v>22</v>
      </c>
      <c r="D36" t="s">
        <v>441</v>
      </c>
      <c r="E36" t="s">
        <v>18</v>
      </c>
      <c r="F36">
        <v>3</v>
      </c>
      <c r="G36" t="s">
        <v>16</v>
      </c>
      <c r="H36" t="s">
        <v>17</v>
      </c>
      <c r="I36" t="s">
        <v>442</v>
      </c>
      <c r="J36" t="s">
        <v>443</v>
      </c>
      <c r="K36">
        <v>1</v>
      </c>
      <c r="L36" t="s">
        <v>444</v>
      </c>
      <c r="M36" s="3" t="str">
        <f>IF(B36="","","MCQ"&amp;"_"&amp;IFERROR(VLOOKUP(B36,LOOKUPS!$K$2:$L$9,2,FALSE),"UNK")&amp;"_"&amp;IFERROR(VLOOKUP(C36,LOOKUPS!$N$2:$O$8,2,FALSE),"UNK")&amp;"_"&amp;UPPER(L36))</f>
        <v>MCQ_CGT_REQ_SPLITYR</v>
      </c>
      <c r="N36" s="3">
        <f>IF(M36="","",COUNTIF($M$2:M36,M36))</f>
        <v>1</v>
      </c>
      <c r="O36" t="s">
        <v>562</v>
      </c>
      <c r="P36" t="s">
        <v>561</v>
      </c>
      <c r="Q36" t="s">
        <v>560</v>
      </c>
      <c r="R36" t="s">
        <v>559</v>
      </c>
      <c r="S36" t="s">
        <v>558</v>
      </c>
      <c r="T36"/>
      <c r="U36" t="s">
        <v>135</v>
      </c>
      <c r="V36" t="s">
        <v>557</v>
      </c>
    </row>
    <row r="37" spans="1:27" ht="28.8" x14ac:dyDescent="0.3">
      <c r="A37" s="3" t="str">
        <f t="shared" si="0"/>
        <v>MCQ_CGT_REQ_SPLITYR_002</v>
      </c>
      <c r="B37" t="s">
        <v>28</v>
      </c>
      <c r="C37" t="s">
        <v>22</v>
      </c>
      <c r="D37" t="s">
        <v>441</v>
      </c>
      <c r="E37" t="s">
        <v>18</v>
      </c>
      <c r="F37">
        <v>3</v>
      </c>
      <c r="G37" t="s">
        <v>16</v>
      </c>
      <c r="H37" t="s">
        <v>17</v>
      </c>
      <c r="I37" t="s">
        <v>451</v>
      </c>
      <c r="J37" t="s">
        <v>443</v>
      </c>
      <c r="K37">
        <v>1</v>
      </c>
      <c r="L37" t="s">
        <v>444</v>
      </c>
      <c r="M37" s="3" t="str">
        <f>IF(B37="","","MCQ"&amp;"_"&amp;IFERROR(VLOOKUP(B37,LOOKUPS!$K$2:$L$9,2,FALSE),"UNK")&amp;"_"&amp;IFERROR(VLOOKUP(C37,LOOKUPS!$N$2:$O$8,2,FALSE),"UNK")&amp;"_"&amp;UPPER(L37))</f>
        <v>MCQ_CGT_REQ_SPLITYR</v>
      </c>
      <c r="N37" s="3">
        <f>IF(M37="","",COUNTIF($M$2:M37,M37))</f>
        <v>2</v>
      </c>
      <c r="O37" t="s">
        <v>556</v>
      </c>
      <c r="P37" t="s">
        <v>555</v>
      </c>
      <c r="Q37" t="s">
        <v>554</v>
      </c>
      <c r="R37" t="s">
        <v>553</v>
      </c>
      <c r="S37" t="s">
        <v>552</v>
      </c>
      <c r="T37"/>
      <c r="U37" t="s">
        <v>231</v>
      </c>
      <c r="V37" t="s">
        <v>551</v>
      </c>
    </row>
    <row r="38" spans="1:27" ht="28.8" x14ac:dyDescent="0.3">
      <c r="A38" s="3" t="str">
        <f t="shared" si="0"/>
        <v>MCQ_CGT_REQ_SPLITYR_003</v>
      </c>
      <c r="B38" t="s">
        <v>28</v>
      </c>
      <c r="C38" t="s">
        <v>22</v>
      </c>
      <c r="D38" t="s">
        <v>441</v>
      </c>
      <c r="E38" t="s">
        <v>18</v>
      </c>
      <c r="F38">
        <v>3</v>
      </c>
      <c r="G38" t="s">
        <v>16</v>
      </c>
      <c r="H38" t="s">
        <v>17</v>
      </c>
      <c r="I38" t="s">
        <v>550</v>
      </c>
      <c r="J38" t="s">
        <v>443</v>
      </c>
      <c r="K38">
        <v>1</v>
      </c>
      <c r="L38" t="s">
        <v>444</v>
      </c>
      <c r="M38" s="3" t="str">
        <f>IF(B38="","","MCQ"&amp;"_"&amp;IFERROR(VLOOKUP(B38,LOOKUPS!$K$2:$L$9,2,FALSE),"UNK")&amp;"_"&amp;IFERROR(VLOOKUP(C38,LOOKUPS!$N$2:$O$8,2,FALSE),"UNK")&amp;"_"&amp;UPPER(L38))</f>
        <v>MCQ_CGT_REQ_SPLITYR</v>
      </c>
      <c r="N38" s="3">
        <f>IF(M38="","",COUNTIF($M$2:M38,M38))</f>
        <v>3</v>
      </c>
      <c r="O38" t="s">
        <v>839</v>
      </c>
      <c r="P38" t="s">
        <v>549</v>
      </c>
      <c r="Q38" t="s">
        <v>548</v>
      </c>
      <c r="R38" t="s">
        <v>547</v>
      </c>
      <c r="S38" t="s">
        <v>546</v>
      </c>
      <c r="T38"/>
      <c r="U38" t="s">
        <v>135</v>
      </c>
      <c r="V38" t="s">
        <v>545</v>
      </c>
    </row>
    <row r="39" spans="1:27" ht="28.8" x14ac:dyDescent="0.3">
      <c r="A39" s="3" t="str">
        <f t="shared" si="0"/>
        <v>MCQ_CGT_REQ_SPLITYR_004</v>
      </c>
      <c r="B39" t="s">
        <v>28</v>
      </c>
      <c r="C39" t="s">
        <v>22</v>
      </c>
      <c r="D39" t="s">
        <v>441</v>
      </c>
      <c r="E39" t="s">
        <v>18</v>
      </c>
      <c r="F39">
        <v>3</v>
      </c>
      <c r="G39" t="s">
        <v>16</v>
      </c>
      <c r="H39" t="s">
        <v>17</v>
      </c>
      <c r="I39" t="s">
        <v>544</v>
      </c>
      <c r="J39" t="s">
        <v>443</v>
      </c>
      <c r="K39">
        <v>1</v>
      </c>
      <c r="L39" t="s">
        <v>444</v>
      </c>
      <c r="M39" s="3" t="str">
        <f>IF(B39="","","MCQ"&amp;"_"&amp;IFERROR(VLOOKUP(B39,LOOKUPS!$K$2:$L$9,2,FALSE),"UNK")&amp;"_"&amp;IFERROR(VLOOKUP(C39,LOOKUPS!$N$2:$O$8,2,FALSE),"UNK")&amp;"_"&amp;UPPER(L39))</f>
        <v>MCQ_CGT_REQ_SPLITYR</v>
      </c>
      <c r="N39" s="3">
        <f>IF(M39="","",COUNTIF($M$2:M39,M39))</f>
        <v>4</v>
      </c>
      <c r="O39" t="s">
        <v>543</v>
      </c>
      <c r="P39" t="s">
        <v>542</v>
      </c>
      <c r="Q39" t="s">
        <v>541</v>
      </c>
      <c r="R39" t="s">
        <v>540</v>
      </c>
      <c r="S39" t="s">
        <v>539</v>
      </c>
      <c r="T39"/>
      <c r="U39" t="s">
        <v>229</v>
      </c>
      <c r="V39" t="s">
        <v>538</v>
      </c>
    </row>
    <row r="40" spans="1:27" ht="28.8" x14ac:dyDescent="0.3">
      <c r="A40" s="3" t="str">
        <f t="shared" si="0"/>
        <v>MCQ_CGT_REQ_SPLITYR_005</v>
      </c>
      <c r="B40" t="s">
        <v>28</v>
      </c>
      <c r="C40" t="s">
        <v>22</v>
      </c>
      <c r="D40" t="s">
        <v>441</v>
      </c>
      <c r="E40" t="s">
        <v>18</v>
      </c>
      <c r="F40">
        <v>3</v>
      </c>
      <c r="G40" t="s">
        <v>16</v>
      </c>
      <c r="H40" t="s">
        <v>17</v>
      </c>
      <c r="I40" t="s">
        <v>465</v>
      </c>
      <c r="J40" t="s">
        <v>443</v>
      </c>
      <c r="K40">
        <v>1</v>
      </c>
      <c r="L40" t="s">
        <v>444</v>
      </c>
      <c r="M40" s="3" t="str">
        <f>IF(B40="","","MCQ"&amp;"_"&amp;IFERROR(VLOOKUP(B40,LOOKUPS!$K$2:$L$9,2,FALSE),"UNK")&amp;"_"&amp;IFERROR(VLOOKUP(C40,LOOKUPS!$N$2:$O$8,2,FALSE),"UNK")&amp;"_"&amp;UPPER(L40))</f>
        <v>MCQ_CGT_REQ_SPLITYR</v>
      </c>
      <c r="N40" s="3">
        <f>IF(M40="","",COUNTIF($M$2:M40,M40))</f>
        <v>5</v>
      </c>
      <c r="O40" t="s">
        <v>537</v>
      </c>
      <c r="P40" t="s">
        <v>536</v>
      </c>
      <c r="Q40" t="s">
        <v>535</v>
      </c>
      <c r="R40" t="s">
        <v>534</v>
      </c>
      <c r="S40" t="s">
        <v>533</v>
      </c>
      <c r="T40"/>
      <c r="U40" t="s">
        <v>231</v>
      </c>
      <c r="V40" t="s">
        <v>532</v>
      </c>
    </row>
    <row r="41" spans="1:27" ht="28.8" x14ac:dyDescent="0.3">
      <c r="A41" s="3" t="str">
        <f t="shared" si="0"/>
        <v>MCQ_CGT_REQ_SPLITYR_006</v>
      </c>
      <c r="B41" t="s">
        <v>28</v>
      </c>
      <c r="C41" t="s">
        <v>22</v>
      </c>
      <c r="D41" t="s">
        <v>441</v>
      </c>
      <c r="E41" t="s">
        <v>18</v>
      </c>
      <c r="F41">
        <v>3</v>
      </c>
      <c r="G41" t="s">
        <v>16</v>
      </c>
      <c r="H41" t="s">
        <v>17</v>
      </c>
      <c r="I41" t="s">
        <v>472</v>
      </c>
      <c r="J41" t="s">
        <v>443</v>
      </c>
      <c r="K41">
        <v>1</v>
      </c>
      <c r="L41" t="s">
        <v>444</v>
      </c>
      <c r="M41" s="3" t="str">
        <f>IF(B41="","","MCQ"&amp;"_"&amp;IFERROR(VLOOKUP(B41,LOOKUPS!$K$2:$L$9,2,FALSE),"UNK")&amp;"_"&amp;IFERROR(VLOOKUP(C41,LOOKUPS!$N$2:$O$8,2,FALSE),"UNK")&amp;"_"&amp;UPPER(L41))</f>
        <v>MCQ_CGT_REQ_SPLITYR</v>
      </c>
      <c r="N41" s="3">
        <f>IF(M41="","",COUNTIF($M$2:M41,M41))</f>
        <v>6</v>
      </c>
      <c r="O41" t="s">
        <v>531</v>
      </c>
      <c r="P41" t="s">
        <v>530</v>
      </c>
      <c r="Q41" t="s">
        <v>529</v>
      </c>
      <c r="R41" t="s">
        <v>528</v>
      </c>
      <c r="S41" t="s">
        <v>527</v>
      </c>
      <c r="T41"/>
      <c r="U41" t="s">
        <v>229</v>
      </c>
      <c r="V41" t="s">
        <v>526</v>
      </c>
    </row>
    <row r="42" spans="1:27" ht="28.8" x14ac:dyDescent="0.3">
      <c r="A42" s="3" t="str">
        <f t="shared" si="0"/>
        <v>MCQ_CGT_REQ_SPLITYR_007</v>
      </c>
      <c r="B42" t="s">
        <v>28</v>
      </c>
      <c r="C42" t="s">
        <v>22</v>
      </c>
      <c r="D42" t="s">
        <v>441</v>
      </c>
      <c r="E42" t="s">
        <v>18</v>
      </c>
      <c r="F42">
        <v>3</v>
      </c>
      <c r="G42" t="s">
        <v>16</v>
      </c>
      <c r="H42" t="s">
        <v>17</v>
      </c>
      <c r="I42" t="s">
        <v>478</v>
      </c>
      <c r="J42" t="s">
        <v>443</v>
      </c>
      <c r="K42">
        <v>1</v>
      </c>
      <c r="L42" t="s">
        <v>444</v>
      </c>
      <c r="M42" s="3" t="str">
        <f>IF(B42="","","MCQ"&amp;"_"&amp;IFERROR(VLOOKUP(B42,LOOKUPS!$K$2:$L$9,2,FALSE),"UNK")&amp;"_"&amp;IFERROR(VLOOKUP(C42,LOOKUPS!$N$2:$O$8,2,FALSE),"UNK")&amp;"_"&amp;UPPER(L42))</f>
        <v>MCQ_CGT_REQ_SPLITYR</v>
      </c>
      <c r="N42" s="3">
        <f>IF(M42="","",COUNTIF($M$2:M42,M42))</f>
        <v>7</v>
      </c>
      <c r="O42" t="s">
        <v>525</v>
      </c>
      <c r="P42" t="s">
        <v>524</v>
      </c>
      <c r="Q42" t="s">
        <v>523</v>
      </c>
      <c r="R42" t="s">
        <v>522</v>
      </c>
      <c r="S42" t="s">
        <v>521</v>
      </c>
      <c r="T42"/>
      <c r="U42" t="s">
        <v>231</v>
      </c>
      <c r="V42" t="s">
        <v>520</v>
      </c>
    </row>
    <row r="43" spans="1:27" customFormat="1" ht="28.8" x14ac:dyDescent="0.3">
      <c r="A43" s="3" t="str">
        <f t="shared" si="0"/>
        <v>MCQ_IHT_REQ_DOMICILE_001</v>
      </c>
      <c r="B43" t="s">
        <v>34</v>
      </c>
      <c r="C43" t="s">
        <v>22</v>
      </c>
      <c r="D43" t="s">
        <v>632</v>
      </c>
      <c r="E43" t="s">
        <v>18</v>
      </c>
      <c r="F43">
        <v>3</v>
      </c>
      <c r="G43" t="s">
        <v>16</v>
      </c>
      <c r="H43" t="s">
        <v>17</v>
      </c>
      <c r="I43" t="s">
        <v>613</v>
      </c>
      <c r="J43" t="s">
        <v>614</v>
      </c>
      <c r="K43">
        <v>1</v>
      </c>
      <c r="L43" t="s">
        <v>675</v>
      </c>
      <c r="M43" s="3" t="str">
        <f>IF(B43="","","MCQ"&amp;"_"&amp;IFERROR(VLOOKUP(B43,LOOKUPS!$K$2:$L$9,2,FALSE),"UNK")&amp;"_"&amp;IFERROR(VLOOKUP(C43,LOOKUPS!$N$2:$O$8,2,FALSE),"UNK")&amp;"_"&amp;UPPER(L43))</f>
        <v>MCQ_IHT_REQ_DOMICILE</v>
      </c>
      <c r="N43" s="3">
        <f>IF(M43="","",COUNTIF($M$2:M43,M43))</f>
        <v>1</v>
      </c>
      <c r="O43" t="s">
        <v>616</v>
      </c>
      <c r="P43" t="s">
        <v>633</v>
      </c>
      <c r="Q43" s="4" t="s">
        <v>634</v>
      </c>
      <c r="R43" s="4" t="s">
        <v>635</v>
      </c>
      <c r="S43" t="s">
        <v>636</v>
      </c>
      <c r="U43" s="5" t="s">
        <v>231</v>
      </c>
      <c r="V43" t="s">
        <v>637</v>
      </c>
      <c r="X43" s="4"/>
      <c r="AA43" s="5"/>
    </row>
    <row r="44" spans="1:27" customFormat="1" ht="28.8" x14ac:dyDescent="0.3">
      <c r="A44" s="3" t="str">
        <f t="shared" si="0"/>
        <v>MCQ_IHT_REQ_DOMICILE_002</v>
      </c>
      <c r="B44" t="s">
        <v>34</v>
      </c>
      <c r="C44" t="s">
        <v>22</v>
      </c>
      <c r="D44" t="s">
        <v>632</v>
      </c>
      <c r="E44" t="s">
        <v>18</v>
      </c>
      <c r="F44">
        <v>3</v>
      </c>
      <c r="G44" t="s">
        <v>16</v>
      </c>
      <c r="H44" t="s">
        <v>17</v>
      </c>
      <c r="I44" t="s">
        <v>617</v>
      </c>
      <c r="J44" t="s">
        <v>614</v>
      </c>
      <c r="K44">
        <v>1</v>
      </c>
      <c r="L44" t="s">
        <v>675</v>
      </c>
      <c r="M44" s="3" t="str">
        <f>IF(B44="","","MCQ"&amp;"_"&amp;IFERROR(VLOOKUP(B44,LOOKUPS!$K$2:$L$9,2,FALSE),"UNK")&amp;"_"&amp;IFERROR(VLOOKUP(C44,LOOKUPS!$N$2:$O$8,2,FALSE),"UNK")&amp;"_"&amp;UPPER(L44))</f>
        <v>MCQ_IHT_REQ_DOMICILE</v>
      </c>
      <c r="N44" s="3">
        <f>IF(M44="","",COUNTIF($M$2:M44,M44))</f>
        <v>2</v>
      </c>
      <c r="O44" t="s">
        <v>638</v>
      </c>
      <c r="P44" t="s">
        <v>639</v>
      </c>
      <c r="Q44" s="5" t="s">
        <v>640</v>
      </c>
      <c r="R44" t="s">
        <v>641</v>
      </c>
      <c r="S44" t="s">
        <v>642</v>
      </c>
      <c r="U44" t="s">
        <v>229</v>
      </c>
      <c r="V44" t="s">
        <v>643</v>
      </c>
    </row>
    <row r="45" spans="1:27" customFormat="1" ht="28.8" x14ac:dyDescent="0.3">
      <c r="A45" s="3" t="str">
        <f t="shared" si="0"/>
        <v>MCQ_IHT_REQ_DOMICILE_003</v>
      </c>
      <c r="B45" t="s">
        <v>34</v>
      </c>
      <c r="C45" t="s">
        <v>22</v>
      </c>
      <c r="D45" t="s">
        <v>632</v>
      </c>
      <c r="E45" t="s">
        <v>18</v>
      </c>
      <c r="F45">
        <v>3</v>
      </c>
      <c r="G45" t="s">
        <v>16</v>
      </c>
      <c r="H45" t="s">
        <v>17</v>
      </c>
      <c r="I45" t="s">
        <v>620</v>
      </c>
      <c r="J45" t="s">
        <v>614</v>
      </c>
      <c r="K45">
        <v>1</v>
      </c>
      <c r="L45" t="s">
        <v>675</v>
      </c>
      <c r="M45" s="3" t="str">
        <f>IF(B45="","","MCQ"&amp;"_"&amp;IFERROR(VLOOKUP(B45,LOOKUPS!$K$2:$L$9,2,FALSE),"UNK")&amp;"_"&amp;IFERROR(VLOOKUP(C45,LOOKUPS!$N$2:$O$8,2,FALSE),"UNK")&amp;"_"&amp;UPPER(L45))</f>
        <v>MCQ_IHT_REQ_DOMICILE</v>
      </c>
      <c r="N45" s="3">
        <f>IF(M45="","",COUNTIF($M$2:M45,M45))</f>
        <v>3</v>
      </c>
      <c r="O45" t="s">
        <v>621</v>
      </c>
      <c r="P45" t="s">
        <v>644</v>
      </c>
      <c r="Q45" s="5" t="s">
        <v>645</v>
      </c>
      <c r="R45" t="s">
        <v>646</v>
      </c>
      <c r="S45" t="s">
        <v>647</v>
      </c>
      <c r="U45" t="s">
        <v>135</v>
      </c>
      <c r="V45" t="s">
        <v>648</v>
      </c>
    </row>
    <row r="46" spans="1:27" customFormat="1" ht="28.8" x14ac:dyDescent="0.3">
      <c r="A46" s="3" t="str">
        <f t="shared" si="0"/>
        <v>MCQ_IHT_REQ_DOMICILE_004</v>
      </c>
      <c r="B46" t="s">
        <v>34</v>
      </c>
      <c r="C46" t="s">
        <v>22</v>
      </c>
      <c r="D46" t="s">
        <v>632</v>
      </c>
      <c r="E46" t="s">
        <v>18</v>
      </c>
      <c r="F46">
        <v>3</v>
      </c>
      <c r="G46" t="s">
        <v>16</v>
      </c>
      <c r="H46" t="s">
        <v>17</v>
      </c>
      <c r="I46" t="s">
        <v>622</v>
      </c>
      <c r="J46" t="s">
        <v>614</v>
      </c>
      <c r="K46">
        <v>1</v>
      </c>
      <c r="L46" t="s">
        <v>675</v>
      </c>
      <c r="M46" s="3" t="str">
        <f>IF(B46="","","MCQ"&amp;"_"&amp;IFERROR(VLOOKUP(B46,LOOKUPS!$K$2:$L$9,2,FALSE),"UNK")&amp;"_"&amp;IFERROR(VLOOKUP(C46,LOOKUPS!$N$2:$O$8,2,FALSE),"UNK")&amp;"_"&amp;UPPER(L46))</f>
        <v>MCQ_IHT_REQ_DOMICILE</v>
      </c>
      <c r="N46" s="3">
        <f>IF(M46="","",COUNTIF($M$2:M46,M46))</f>
        <v>4</v>
      </c>
      <c r="O46" t="s">
        <v>623</v>
      </c>
      <c r="P46" t="s">
        <v>649</v>
      </c>
      <c r="Q46" t="s">
        <v>650</v>
      </c>
      <c r="R46" t="s">
        <v>651</v>
      </c>
      <c r="S46" t="s">
        <v>652</v>
      </c>
      <c r="U46" t="s">
        <v>231</v>
      </c>
      <c r="V46" t="s">
        <v>653</v>
      </c>
    </row>
    <row r="47" spans="1:27" customFormat="1" ht="28.8" x14ac:dyDescent="0.3">
      <c r="A47" s="3" t="str">
        <f t="shared" si="0"/>
        <v>MCQ_IHT_REQ_DOMICILE_005</v>
      </c>
      <c r="B47" t="s">
        <v>34</v>
      </c>
      <c r="C47" t="s">
        <v>22</v>
      </c>
      <c r="D47" t="s">
        <v>632</v>
      </c>
      <c r="E47" t="s">
        <v>18</v>
      </c>
      <c r="F47">
        <v>3</v>
      </c>
      <c r="G47" t="s">
        <v>16</v>
      </c>
      <c r="H47" t="s">
        <v>17</v>
      </c>
      <c r="I47" t="s">
        <v>624</v>
      </c>
      <c r="J47" t="s">
        <v>614</v>
      </c>
      <c r="K47">
        <v>1</v>
      </c>
      <c r="L47" t="s">
        <v>675</v>
      </c>
      <c r="M47" s="3" t="str">
        <f>IF(B47="","","MCQ"&amp;"_"&amp;IFERROR(VLOOKUP(B47,LOOKUPS!$K$2:$L$9,2,FALSE),"UNK")&amp;"_"&amp;IFERROR(VLOOKUP(C47,LOOKUPS!$N$2:$O$8,2,FALSE),"UNK")&amp;"_"&amp;UPPER(L47))</f>
        <v>MCQ_IHT_REQ_DOMICILE</v>
      </c>
      <c r="N47" s="3">
        <f>IF(M47="","",COUNTIF($M$2:M47,M47))</f>
        <v>5</v>
      </c>
      <c r="O47" t="s">
        <v>654</v>
      </c>
      <c r="P47" t="s">
        <v>655</v>
      </c>
      <c r="Q47" s="5" t="s">
        <v>656</v>
      </c>
      <c r="R47" s="4" t="s">
        <v>657</v>
      </c>
      <c r="S47" t="s">
        <v>658</v>
      </c>
      <c r="U47" t="s">
        <v>229</v>
      </c>
      <c r="V47" t="s">
        <v>659</v>
      </c>
    </row>
    <row r="48" spans="1:27" customFormat="1" ht="28.8" x14ac:dyDescent="0.3">
      <c r="A48" s="3" t="str">
        <f t="shared" si="0"/>
        <v>MCQ_IHT_REQ_DOMICILE_006</v>
      </c>
      <c r="B48" t="s">
        <v>34</v>
      </c>
      <c r="C48" t="s">
        <v>22</v>
      </c>
      <c r="D48" t="s">
        <v>632</v>
      </c>
      <c r="E48" t="s">
        <v>18</v>
      </c>
      <c r="F48">
        <v>3</v>
      </c>
      <c r="G48" t="s">
        <v>16</v>
      </c>
      <c r="H48" t="s">
        <v>17</v>
      </c>
      <c r="I48" t="s">
        <v>625</v>
      </c>
      <c r="J48" t="s">
        <v>614</v>
      </c>
      <c r="K48">
        <v>1</v>
      </c>
      <c r="L48" t="s">
        <v>675</v>
      </c>
      <c r="M48" s="3" t="str">
        <f>IF(B48="","","MCQ"&amp;"_"&amp;IFERROR(VLOOKUP(B48,LOOKUPS!$K$2:$L$9,2,FALSE),"UNK")&amp;"_"&amp;IFERROR(VLOOKUP(C48,LOOKUPS!$N$2:$O$8,2,FALSE),"UNK")&amp;"_"&amp;UPPER(L48))</f>
        <v>MCQ_IHT_REQ_DOMICILE</v>
      </c>
      <c r="N48" s="3">
        <f>IF(M48="","",COUNTIF($M$2:M48,M48))</f>
        <v>6</v>
      </c>
      <c r="O48" t="s">
        <v>660</v>
      </c>
      <c r="P48" t="s">
        <v>661</v>
      </c>
      <c r="Q48" t="s">
        <v>662</v>
      </c>
      <c r="R48" t="s">
        <v>663</v>
      </c>
      <c r="S48" t="s">
        <v>664</v>
      </c>
      <c r="U48" t="s">
        <v>231</v>
      </c>
      <c r="V48" t="s">
        <v>665</v>
      </c>
    </row>
    <row r="49" spans="1:22" customFormat="1" ht="28.8" x14ac:dyDescent="0.3">
      <c r="A49" s="3" t="str">
        <f t="shared" si="0"/>
        <v>MCQ_IHT_REQ_DOMICILE_007</v>
      </c>
      <c r="B49" t="s">
        <v>34</v>
      </c>
      <c r="C49" t="s">
        <v>22</v>
      </c>
      <c r="D49" t="s">
        <v>632</v>
      </c>
      <c r="E49" t="s">
        <v>18</v>
      </c>
      <c r="F49">
        <v>3</v>
      </c>
      <c r="G49" t="s">
        <v>16</v>
      </c>
      <c r="H49" t="s">
        <v>17</v>
      </c>
      <c r="I49" t="s">
        <v>626</v>
      </c>
      <c r="J49" t="s">
        <v>614</v>
      </c>
      <c r="K49">
        <v>1</v>
      </c>
      <c r="L49" t="s">
        <v>675</v>
      </c>
      <c r="M49" s="3" t="str">
        <f>IF(B49="","","MCQ"&amp;"_"&amp;IFERROR(VLOOKUP(B49,LOOKUPS!$K$2:$L$9,2,FALSE),"UNK")&amp;"_"&amp;IFERROR(VLOOKUP(C49,LOOKUPS!$N$2:$O$8,2,FALSE),"UNK")&amp;"_"&amp;UPPER(L49))</f>
        <v>MCQ_IHT_REQ_DOMICILE</v>
      </c>
      <c r="N49" s="3">
        <f>IF(M49="","",COUNTIF($M$2:M49,M49))</f>
        <v>7</v>
      </c>
      <c r="O49" t="s">
        <v>666</v>
      </c>
      <c r="P49" t="s">
        <v>627</v>
      </c>
      <c r="Q49" s="5" t="s">
        <v>628</v>
      </c>
      <c r="R49" s="5" t="s">
        <v>629</v>
      </c>
      <c r="S49" t="s">
        <v>667</v>
      </c>
      <c r="U49" t="s">
        <v>135</v>
      </c>
      <c r="V49" t="s">
        <v>668</v>
      </c>
    </row>
    <row r="50" spans="1:22" customFormat="1" ht="28.8" x14ac:dyDescent="0.3">
      <c r="A50" s="3" t="str">
        <f t="shared" si="0"/>
        <v>MCQ_IHT_REQ_DOMICILE_008</v>
      </c>
      <c r="B50" t="s">
        <v>34</v>
      </c>
      <c r="C50" t="s">
        <v>22</v>
      </c>
      <c r="D50" t="s">
        <v>632</v>
      </c>
      <c r="E50" t="s">
        <v>18</v>
      </c>
      <c r="F50">
        <v>3</v>
      </c>
      <c r="G50" t="s">
        <v>16</v>
      </c>
      <c r="H50" t="s">
        <v>17</v>
      </c>
      <c r="I50" t="s">
        <v>630</v>
      </c>
      <c r="J50" t="s">
        <v>614</v>
      </c>
      <c r="K50">
        <v>1</v>
      </c>
      <c r="L50" t="s">
        <v>675</v>
      </c>
      <c r="M50" s="3" t="str">
        <f>IF(B50="","","MCQ"&amp;"_"&amp;IFERROR(VLOOKUP(B50,LOOKUPS!$K$2:$L$9,2,FALSE),"UNK")&amp;"_"&amp;IFERROR(VLOOKUP(C50,LOOKUPS!$N$2:$O$8,2,FALSE),"UNK")&amp;"_"&amp;UPPER(L50))</f>
        <v>MCQ_IHT_REQ_DOMICILE</v>
      </c>
      <c r="N50" s="3">
        <f>IF(M50="","",COUNTIF($M$2:M50,M50))</f>
        <v>8</v>
      </c>
      <c r="O50" t="s">
        <v>669</v>
      </c>
      <c r="P50" t="s">
        <v>670</v>
      </c>
      <c r="Q50" t="s">
        <v>671</v>
      </c>
      <c r="R50" t="s">
        <v>672</v>
      </c>
      <c r="S50" t="s">
        <v>673</v>
      </c>
      <c r="U50" t="s">
        <v>229</v>
      </c>
      <c r="V50" t="s">
        <v>674</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C1" workbookViewId="0">
      <pane ySplit="1" topLeftCell="A33" activePane="bottomLeft" state="frozen"/>
      <selection pane="bottomLeft" activeCell="I37" sqref="I3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t="s">
        <v>329</v>
      </c>
      <c r="E2" t="s">
        <v>25</v>
      </c>
      <c r="F2">
        <v>3</v>
      </c>
      <c r="G2">
        <v>0</v>
      </c>
      <c r="H2" t="s">
        <v>17</v>
      </c>
      <c r="I2" t="s">
        <v>330</v>
      </c>
      <c r="J2" t="s">
        <v>331</v>
      </c>
      <c r="K2">
        <v>1</v>
      </c>
      <c r="L2" t="s">
        <v>332</v>
      </c>
      <c r="M2" s="3" t="str">
        <f>IF(B2="","","AB"&amp;"_"&amp;IFERROR(VLOOKUP(B2,LOOKUPS!$K$2:$L$9,2,FALSE),"UNK")&amp;"_"&amp;IFERROR(VLOOKUP(C2,LOOKUPS!$N$2:$O$8,2,FALSE),"UNK")&amp;"_"&amp;UPPER(L2))</f>
        <v>AB_ITNIC_REQ_INVSCHEME</v>
      </c>
      <c r="N2" s="3">
        <f>IF(M2="","",COUNTIF($M$2:M2,M2))</f>
        <v>1</v>
      </c>
      <c r="O2" s="6" t="s">
        <v>711</v>
      </c>
      <c r="P2">
        <v>2</v>
      </c>
      <c r="Q2" t="s">
        <v>333</v>
      </c>
      <c r="R2" s="4">
        <v>1000000</v>
      </c>
      <c r="S2" t="s">
        <v>135</v>
      </c>
      <c r="T2" t="s">
        <v>17</v>
      </c>
      <c r="U2" s="5" t="s">
        <v>231</v>
      </c>
      <c r="V2" t="s">
        <v>17</v>
      </c>
      <c r="X2" s="4"/>
      <c r="AA2" s="5"/>
      <c r="AC2" t="s">
        <v>334</v>
      </c>
    </row>
    <row r="3" spans="1:29" ht="57.6" x14ac:dyDescent="0.3">
      <c r="A3" s="3" t="str">
        <f t="shared" si="0"/>
        <v>AB_ITNIC_REQ_INVSCHEME_002</v>
      </c>
      <c r="B3" t="s">
        <v>21</v>
      </c>
      <c r="C3" t="s">
        <v>22</v>
      </c>
      <c r="D3" t="s">
        <v>329</v>
      </c>
      <c r="E3" t="s">
        <v>25</v>
      </c>
      <c r="F3">
        <v>3</v>
      </c>
      <c r="G3">
        <v>0</v>
      </c>
      <c r="H3" t="s">
        <v>17</v>
      </c>
      <c r="I3" t="s">
        <v>335</v>
      </c>
      <c r="J3" t="s">
        <v>331</v>
      </c>
      <c r="K3">
        <v>1</v>
      </c>
      <c r="L3" t="s">
        <v>332</v>
      </c>
      <c r="M3" s="3" t="str">
        <f>IF(B3="","","AB"&amp;"_"&amp;IFERROR(VLOOKUP(B3,LOOKUPS!$K$2:$L$9,2,FALSE),"UNK")&amp;"_"&amp;IFERROR(VLOOKUP(C3,LOOKUPS!$N$2:$O$8,2,FALSE),"UNK")&amp;"_"&amp;UPPER(L3))</f>
        <v>AB_ITNIC_REQ_INVSCHEME</v>
      </c>
      <c r="N3" s="3">
        <f>IF(M3="","",COUNTIF($M$2:M3,M3))</f>
        <v>2</v>
      </c>
      <c r="O3" s="6" t="s">
        <v>712</v>
      </c>
      <c r="P3">
        <v>2</v>
      </c>
      <c r="Q3" s="5">
        <v>0.3</v>
      </c>
      <c r="R3" t="s">
        <v>336</v>
      </c>
      <c r="S3" t="s">
        <v>231</v>
      </c>
      <c r="T3" t="s">
        <v>17</v>
      </c>
      <c r="U3" t="s">
        <v>135</v>
      </c>
      <c r="V3" t="s">
        <v>17</v>
      </c>
      <c r="AC3" t="s">
        <v>337</v>
      </c>
    </row>
    <row r="4" spans="1:29" ht="57.6" x14ac:dyDescent="0.3">
      <c r="A4" s="3" t="str">
        <f t="shared" si="0"/>
        <v>AB_ITNIC_REQ_INVSCHEME_003</v>
      </c>
      <c r="B4" t="s">
        <v>21</v>
      </c>
      <c r="C4" t="s">
        <v>22</v>
      </c>
      <c r="D4" t="s">
        <v>329</v>
      </c>
      <c r="E4" t="s">
        <v>25</v>
      </c>
      <c r="F4">
        <v>3</v>
      </c>
      <c r="G4">
        <v>0</v>
      </c>
      <c r="H4" t="s">
        <v>17</v>
      </c>
      <c r="I4" t="s">
        <v>338</v>
      </c>
      <c r="J4" t="s">
        <v>331</v>
      </c>
      <c r="K4">
        <v>1</v>
      </c>
      <c r="L4" t="s">
        <v>332</v>
      </c>
      <c r="M4" s="3" t="str">
        <f>IF(B4="","","AB"&amp;"_"&amp;IFERROR(VLOOKUP(B4,LOOKUPS!$K$2:$L$9,2,FALSE),"UNK")&amp;"_"&amp;IFERROR(VLOOKUP(C4,LOOKUPS!$N$2:$O$8,2,FALSE),"UNK")&amp;"_"&amp;UPPER(L4))</f>
        <v>AB_ITNIC_REQ_INVSCHEME</v>
      </c>
      <c r="N4" s="3">
        <f>IF(M4="","",COUNTIF($M$2:M4,M4))</f>
        <v>3</v>
      </c>
      <c r="O4" s="6" t="s">
        <v>713</v>
      </c>
      <c r="P4">
        <v>2</v>
      </c>
      <c r="Q4" s="5">
        <v>0.3</v>
      </c>
      <c r="R4" t="s">
        <v>339</v>
      </c>
      <c r="S4" t="s">
        <v>231</v>
      </c>
      <c r="T4" t="s">
        <v>17</v>
      </c>
      <c r="U4" t="s">
        <v>135</v>
      </c>
      <c r="V4" t="s">
        <v>17</v>
      </c>
      <c r="AC4" t="s">
        <v>340</v>
      </c>
    </row>
    <row r="5" spans="1:29" ht="57.6" x14ac:dyDescent="0.3">
      <c r="A5" s="3" t="str">
        <f t="shared" si="0"/>
        <v>AB_ITNIC_REQ_INVSCHEME_004</v>
      </c>
      <c r="B5" t="s">
        <v>21</v>
      </c>
      <c r="C5" t="s">
        <v>22</v>
      </c>
      <c r="D5" t="s">
        <v>329</v>
      </c>
      <c r="E5" t="s">
        <v>25</v>
      </c>
      <c r="F5">
        <v>3</v>
      </c>
      <c r="G5">
        <v>0</v>
      </c>
      <c r="H5" t="s">
        <v>17</v>
      </c>
      <c r="I5" t="s">
        <v>341</v>
      </c>
      <c r="J5" t="s">
        <v>331</v>
      </c>
      <c r="K5">
        <v>1</v>
      </c>
      <c r="L5" t="s">
        <v>332</v>
      </c>
      <c r="M5" s="3" t="str">
        <f>IF(B5="","","AB"&amp;"_"&amp;IFERROR(VLOOKUP(B5,LOOKUPS!$K$2:$L$9,2,FALSE),"UNK")&amp;"_"&amp;IFERROR(VLOOKUP(C5,LOOKUPS!$N$2:$O$8,2,FALSE),"UNK")&amp;"_"&amp;UPPER(L5))</f>
        <v>AB_ITNIC_REQ_INVSCHEME</v>
      </c>
      <c r="N5" s="3">
        <f>IF(M5="","",COUNTIF($M$2:M5,M5))</f>
        <v>4</v>
      </c>
      <c r="O5" s="6" t="s">
        <v>714</v>
      </c>
      <c r="P5">
        <v>2</v>
      </c>
      <c r="Q5" t="s">
        <v>342</v>
      </c>
      <c r="R5" t="s">
        <v>343</v>
      </c>
      <c r="S5" t="s">
        <v>231</v>
      </c>
      <c r="T5" t="s">
        <v>17</v>
      </c>
      <c r="U5" t="s">
        <v>135</v>
      </c>
      <c r="V5" t="s">
        <v>17</v>
      </c>
      <c r="AC5" t="s">
        <v>344</v>
      </c>
    </row>
    <row r="6" spans="1:29" ht="43.2" x14ac:dyDescent="0.3">
      <c r="A6" s="3" t="str">
        <f t="shared" si="0"/>
        <v>AB_ITNIC_REQ_INVSCHEME_005</v>
      </c>
      <c r="B6" t="s">
        <v>21</v>
      </c>
      <c r="C6" t="s">
        <v>22</v>
      </c>
      <c r="D6" t="s">
        <v>329</v>
      </c>
      <c r="E6" t="s">
        <v>25</v>
      </c>
      <c r="F6">
        <v>3</v>
      </c>
      <c r="G6">
        <v>0</v>
      </c>
      <c r="H6" t="s">
        <v>17</v>
      </c>
      <c r="I6" t="s">
        <v>345</v>
      </c>
      <c r="J6" t="s">
        <v>331</v>
      </c>
      <c r="K6">
        <v>1</v>
      </c>
      <c r="L6" t="s">
        <v>332</v>
      </c>
      <c r="M6" s="3" t="str">
        <f>IF(B6="","","AB"&amp;"_"&amp;IFERROR(VLOOKUP(B6,LOOKUPS!$K$2:$L$9,2,FALSE),"UNK")&amp;"_"&amp;IFERROR(VLOOKUP(C6,LOOKUPS!$N$2:$O$8,2,FALSE),"UNK")&amp;"_"&amp;UPPER(L6))</f>
        <v>AB_ITNIC_REQ_INVSCHEME</v>
      </c>
      <c r="N6" s="3">
        <f>IF(M6="","",COUNTIF($M$2:M6,M6))</f>
        <v>5</v>
      </c>
      <c r="O6" s="6" t="s">
        <v>704</v>
      </c>
      <c r="P6">
        <v>2</v>
      </c>
      <c r="Q6" s="5">
        <v>0.5</v>
      </c>
      <c r="R6" s="4">
        <v>200000</v>
      </c>
      <c r="S6" t="s">
        <v>231</v>
      </c>
      <c r="T6" t="s">
        <v>17</v>
      </c>
      <c r="U6" t="s">
        <v>135</v>
      </c>
      <c r="V6" t="s">
        <v>17</v>
      </c>
      <c r="AC6" t="s">
        <v>705</v>
      </c>
    </row>
    <row r="7" spans="1:29" ht="57.6" x14ac:dyDescent="0.3">
      <c r="A7" s="3" t="str">
        <f t="shared" si="0"/>
        <v>AB_ITNIC_REQ_INVSCHEME_006</v>
      </c>
      <c r="B7" t="s">
        <v>21</v>
      </c>
      <c r="C7" t="s">
        <v>22</v>
      </c>
      <c r="D7" t="s">
        <v>329</v>
      </c>
      <c r="E7" t="s">
        <v>25</v>
      </c>
      <c r="F7">
        <v>3</v>
      </c>
      <c r="G7">
        <v>0</v>
      </c>
      <c r="H7" t="s">
        <v>17</v>
      </c>
      <c r="I7" t="s">
        <v>346</v>
      </c>
      <c r="J7" t="s">
        <v>331</v>
      </c>
      <c r="K7">
        <v>1</v>
      </c>
      <c r="L7" t="s">
        <v>332</v>
      </c>
      <c r="M7" s="3" t="str">
        <f>IF(B7="","","AB"&amp;"_"&amp;IFERROR(VLOOKUP(B7,LOOKUPS!$K$2:$L$9,2,FALSE),"UNK")&amp;"_"&amp;IFERROR(VLOOKUP(C7,LOOKUPS!$N$2:$O$8,2,FALSE),"UNK")&amp;"_"&amp;UPPER(L7))</f>
        <v>AB_ITNIC_REQ_INVSCHEME</v>
      </c>
      <c r="N7" s="3">
        <f>IF(M7="","",COUNTIF($M$2:M7,M7))</f>
        <v>6</v>
      </c>
      <c r="O7" s="6" t="s">
        <v>706</v>
      </c>
      <c r="P7">
        <v>2</v>
      </c>
      <c r="Q7" t="s">
        <v>347</v>
      </c>
      <c r="R7" t="s">
        <v>707</v>
      </c>
      <c r="S7" t="s">
        <v>231</v>
      </c>
      <c r="T7" t="s">
        <v>17</v>
      </c>
      <c r="U7" t="s">
        <v>135</v>
      </c>
      <c r="V7" t="s">
        <v>17</v>
      </c>
      <c r="AC7" t="s">
        <v>348</v>
      </c>
    </row>
    <row r="8" spans="1:29" ht="57.6" x14ac:dyDescent="0.3">
      <c r="A8" s="3" t="str">
        <f t="shared" si="0"/>
        <v>AB_ITNIC_REQ_INVSCHEME_007</v>
      </c>
      <c r="B8" t="s">
        <v>21</v>
      </c>
      <c r="C8" t="s">
        <v>22</v>
      </c>
      <c r="D8" t="s">
        <v>329</v>
      </c>
      <c r="E8" t="s">
        <v>25</v>
      </c>
      <c r="F8">
        <v>3</v>
      </c>
      <c r="G8">
        <v>0</v>
      </c>
      <c r="H8" t="s">
        <v>17</v>
      </c>
      <c r="I8" t="s">
        <v>349</v>
      </c>
      <c r="J8" t="s">
        <v>331</v>
      </c>
      <c r="K8">
        <v>1</v>
      </c>
      <c r="L8" t="s">
        <v>332</v>
      </c>
      <c r="M8" s="3" t="str">
        <f>IF(B8="","","AB"&amp;"_"&amp;IFERROR(VLOOKUP(B8,LOOKUPS!$K$2:$L$9,2,FALSE),"UNK")&amp;"_"&amp;IFERROR(VLOOKUP(C8,LOOKUPS!$N$2:$O$8,2,FALSE),"UNK")&amp;"_"&amp;UPPER(L8))</f>
        <v>AB_ITNIC_REQ_INVSCHEME</v>
      </c>
      <c r="N8" s="3">
        <f>IF(M8="","",COUNTIF($M$2:M8,M8))</f>
        <v>7</v>
      </c>
      <c r="O8" s="6" t="s">
        <v>718</v>
      </c>
      <c r="P8">
        <v>2</v>
      </c>
      <c r="Q8">
        <v>30</v>
      </c>
      <c r="R8">
        <v>200000</v>
      </c>
      <c r="S8" t="s">
        <v>231</v>
      </c>
      <c r="T8" t="s">
        <v>17</v>
      </c>
      <c r="U8" t="s">
        <v>135</v>
      </c>
      <c r="V8" t="s">
        <v>17</v>
      </c>
      <c r="AC8" t="s">
        <v>719</v>
      </c>
    </row>
    <row r="9" spans="1:29" ht="43.2" x14ac:dyDescent="0.3">
      <c r="A9" s="3" t="str">
        <f t="shared" si="0"/>
        <v>AB_ITNIC_REQ_INVSCHEME_008</v>
      </c>
      <c r="B9" t="s">
        <v>21</v>
      </c>
      <c r="C9" t="s">
        <v>22</v>
      </c>
      <c r="D9" t="s">
        <v>329</v>
      </c>
      <c r="E9" t="s">
        <v>25</v>
      </c>
      <c r="F9">
        <v>3</v>
      </c>
      <c r="G9">
        <v>0</v>
      </c>
      <c r="H9" t="s">
        <v>17</v>
      </c>
      <c r="I9" t="s">
        <v>350</v>
      </c>
      <c r="J9" t="s">
        <v>331</v>
      </c>
      <c r="K9">
        <v>1</v>
      </c>
      <c r="L9" t="s">
        <v>332</v>
      </c>
      <c r="M9" s="3" t="str">
        <f>IF(B9="","","AB"&amp;"_"&amp;IFERROR(VLOOKUP(B9,LOOKUPS!$K$2:$L$9,2,FALSE),"UNK")&amp;"_"&amp;IFERROR(VLOOKUP(C9,LOOKUPS!$N$2:$O$8,2,FALSE),"UNK")&amp;"_"&amp;UPPER(L9))</f>
        <v>AB_ITNIC_REQ_INVSCHEME</v>
      </c>
      <c r="N9" s="3">
        <f>IF(M9="","",COUNTIF($M$2:M9,M9))</f>
        <v>8</v>
      </c>
      <c r="O9" s="6" t="s">
        <v>720</v>
      </c>
      <c r="P9">
        <v>2</v>
      </c>
      <c r="Q9" t="s">
        <v>186</v>
      </c>
      <c r="R9" t="s">
        <v>351</v>
      </c>
      <c r="S9" t="s">
        <v>231</v>
      </c>
      <c r="T9" t="s">
        <v>17</v>
      </c>
      <c r="U9" t="s">
        <v>135</v>
      </c>
      <c r="V9" t="s">
        <v>17</v>
      </c>
      <c r="AC9" t="s">
        <v>352</v>
      </c>
    </row>
    <row r="10" spans="1:29" ht="57.6" x14ac:dyDescent="0.3">
      <c r="A10" s="3" t="str">
        <f t="shared" si="0"/>
        <v>AB_ITNIC_REQ_INVSCHEME_009</v>
      </c>
      <c r="B10" t="s">
        <v>21</v>
      </c>
      <c r="C10" t="s">
        <v>22</v>
      </c>
      <c r="D10" t="s">
        <v>329</v>
      </c>
      <c r="E10" t="s">
        <v>25</v>
      </c>
      <c r="F10">
        <v>3</v>
      </c>
      <c r="G10">
        <v>0</v>
      </c>
      <c r="H10" t="s">
        <v>17</v>
      </c>
      <c r="I10" t="s">
        <v>353</v>
      </c>
      <c r="J10" t="s">
        <v>331</v>
      </c>
      <c r="K10">
        <v>1</v>
      </c>
      <c r="L10" t="s">
        <v>332</v>
      </c>
      <c r="M10" s="3" t="str">
        <f>IF(B10="","","AB"&amp;"_"&amp;IFERROR(VLOOKUP(B10,LOOKUPS!$K$2:$L$9,2,FALSE),"UNK")&amp;"_"&amp;IFERROR(VLOOKUP(C10,LOOKUPS!$N$2:$O$8,2,FALSE),"UNK")&amp;"_"&amp;UPPER(L10))</f>
        <v>AB_ITNIC_REQ_INVSCHEME</v>
      </c>
      <c r="N10" s="3">
        <f>IF(M10="","",COUNTIF($M$2:M10,M10))</f>
        <v>9</v>
      </c>
      <c r="O10" s="6" t="s">
        <v>715</v>
      </c>
      <c r="P10">
        <v>2</v>
      </c>
      <c r="Q10" t="s">
        <v>703</v>
      </c>
      <c r="R10" t="s">
        <v>354</v>
      </c>
      <c r="S10" t="s">
        <v>231</v>
      </c>
      <c r="T10" t="s">
        <v>17</v>
      </c>
      <c r="U10" t="s">
        <v>135</v>
      </c>
      <c r="V10" t="s">
        <v>17</v>
      </c>
      <c r="AC10" t="s">
        <v>355</v>
      </c>
    </row>
    <row r="11" spans="1:29" ht="43.2" x14ac:dyDescent="0.3">
      <c r="A11" s="3" t="str">
        <f t="shared" si="0"/>
        <v>AB_ITNIC_REQ_INVSCHEME_010</v>
      </c>
      <c r="B11" t="s">
        <v>21</v>
      </c>
      <c r="C11" t="s">
        <v>22</v>
      </c>
      <c r="D11" t="s">
        <v>329</v>
      </c>
      <c r="E11" t="s">
        <v>25</v>
      </c>
      <c r="F11">
        <v>3</v>
      </c>
      <c r="G11">
        <v>0</v>
      </c>
      <c r="H11" t="s">
        <v>17</v>
      </c>
      <c r="I11" t="s">
        <v>356</v>
      </c>
      <c r="J11" t="s">
        <v>331</v>
      </c>
      <c r="K11">
        <v>1</v>
      </c>
      <c r="L11" t="s">
        <v>332</v>
      </c>
      <c r="M11" s="3" t="str">
        <f>IF(B11="","","AB"&amp;"_"&amp;IFERROR(VLOOKUP(B11,LOOKUPS!$K$2:$L$9,2,FALSE),"UNK")&amp;"_"&amp;IFERROR(VLOOKUP(C11,LOOKUPS!$N$2:$O$8,2,FALSE),"UNK")&amp;"_"&amp;UPPER(L11))</f>
        <v>AB_ITNIC_REQ_INVSCHEME</v>
      </c>
      <c r="N11" s="3">
        <f>IF(M11="","",COUNTIF($M$2:M11,M11))</f>
        <v>10</v>
      </c>
      <c r="O11" s="6" t="s">
        <v>716</v>
      </c>
      <c r="P11">
        <v>2</v>
      </c>
      <c r="Q11" t="s">
        <v>357</v>
      </c>
      <c r="R11" t="s">
        <v>358</v>
      </c>
      <c r="S11" t="s">
        <v>231</v>
      </c>
      <c r="T11" t="s">
        <v>17</v>
      </c>
      <c r="U11" t="s">
        <v>135</v>
      </c>
      <c r="V11" t="s">
        <v>17</v>
      </c>
      <c r="AC11" t="s">
        <v>359</v>
      </c>
    </row>
    <row r="12" spans="1:29" ht="86.4" x14ac:dyDescent="0.3">
      <c r="A12" s="3" t="str">
        <f t="shared" si="0"/>
        <v>AB_ITNIC_REQ_INVSCHEME_011</v>
      </c>
      <c r="B12" t="s">
        <v>21</v>
      </c>
      <c r="C12" t="s">
        <v>22</v>
      </c>
      <c r="D12" t="s">
        <v>329</v>
      </c>
      <c r="E12" t="s">
        <v>25</v>
      </c>
      <c r="F12">
        <v>3</v>
      </c>
      <c r="G12">
        <v>0</v>
      </c>
      <c r="H12" t="s">
        <v>17</v>
      </c>
      <c r="I12" t="s">
        <v>360</v>
      </c>
      <c r="J12" t="s">
        <v>331</v>
      </c>
      <c r="K12">
        <v>1</v>
      </c>
      <c r="L12" t="s">
        <v>332</v>
      </c>
      <c r="M12" s="3" t="str">
        <f>IF(B12="","","AB"&amp;"_"&amp;IFERROR(VLOOKUP(B12,LOOKUPS!$K$2:$L$9,2,FALSE),"UNK")&amp;"_"&amp;IFERROR(VLOOKUP(C12,LOOKUPS!$N$2:$O$8,2,FALSE),"UNK")&amp;"_"&amp;UPPER(L12))</f>
        <v>AB_ITNIC_REQ_INVSCHEME</v>
      </c>
      <c r="N12" s="3">
        <f>IF(M12="","",COUNTIF($M$2:M12,M12))</f>
        <v>11</v>
      </c>
      <c r="O12" s="6" t="s">
        <v>708</v>
      </c>
      <c r="P12">
        <v>2</v>
      </c>
      <c r="Q12" t="s">
        <v>361</v>
      </c>
      <c r="R12" t="s">
        <v>357</v>
      </c>
      <c r="S12" t="s">
        <v>135</v>
      </c>
      <c r="T12" t="s">
        <v>17</v>
      </c>
      <c r="U12" t="s">
        <v>231</v>
      </c>
      <c r="V12" t="s">
        <v>17</v>
      </c>
      <c r="AC12" t="s">
        <v>362</v>
      </c>
    </row>
    <row r="13" spans="1:29" ht="57.6" x14ac:dyDescent="0.3">
      <c r="A13" s="3" t="str">
        <f t="shared" si="0"/>
        <v>AB_ITNIC_REQ_INVSCHEME_012</v>
      </c>
      <c r="B13" t="s">
        <v>21</v>
      </c>
      <c r="C13" t="s">
        <v>22</v>
      </c>
      <c r="D13" t="s">
        <v>329</v>
      </c>
      <c r="E13" t="s">
        <v>25</v>
      </c>
      <c r="F13">
        <v>3</v>
      </c>
      <c r="G13">
        <v>0</v>
      </c>
      <c r="H13" t="s">
        <v>17</v>
      </c>
      <c r="I13" t="s">
        <v>363</v>
      </c>
      <c r="J13" t="s">
        <v>331</v>
      </c>
      <c r="K13">
        <v>1</v>
      </c>
      <c r="L13" t="s">
        <v>332</v>
      </c>
      <c r="M13" s="3" t="str">
        <f>IF(B13="","","AB"&amp;"_"&amp;IFERROR(VLOOKUP(B13,LOOKUPS!$K$2:$L$9,2,FALSE),"UNK")&amp;"_"&amp;IFERROR(VLOOKUP(C13,LOOKUPS!$N$2:$O$8,2,FALSE),"UNK")&amp;"_"&amp;UPPER(L13))</f>
        <v>AB_ITNIC_REQ_INVSCHEME</v>
      </c>
      <c r="N13" s="3">
        <f>IF(M13="","",COUNTIF($M$2:M13,M13))</f>
        <v>12</v>
      </c>
      <c r="O13" s="6" t="s">
        <v>717</v>
      </c>
      <c r="P13">
        <v>2</v>
      </c>
      <c r="Q13" t="s">
        <v>343</v>
      </c>
      <c r="R13" s="8">
        <v>47879</v>
      </c>
      <c r="S13" t="s">
        <v>231</v>
      </c>
      <c r="T13" t="s">
        <v>17</v>
      </c>
      <c r="U13" t="s">
        <v>135</v>
      </c>
      <c r="V13" t="s">
        <v>17</v>
      </c>
      <c r="AC13" t="s">
        <v>364</v>
      </c>
    </row>
    <row r="14" spans="1:29" ht="28.8" x14ac:dyDescent="0.3">
      <c r="A14" s="3" t="str">
        <f t="shared" si="0"/>
        <v>AB_ITNIC_REQ_EMPSHARESCHEME_001</v>
      </c>
      <c r="B14" s="3" t="s">
        <v>21</v>
      </c>
      <c r="C14" t="s">
        <v>22</v>
      </c>
      <c r="D14" s="3" t="s">
        <v>365</v>
      </c>
      <c r="E14" s="3" t="s">
        <v>25</v>
      </c>
      <c r="F14" s="3">
        <v>3</v>
      </c>
      <c r="G14" s="3">
        <v>0</v>
      </c>
      <c r="H14" s="3" t="s">
        <v>17</v>
      </c>
      <c r="I14" s="3" t="s">
        <v>366</v>
      </c>
      <c r="J14" s="3" t="s">
        <v>331</v>
      </c>
      <c r="K14" s="3">
        <v>1</v>
      </c>
      <c r="L14" s="3" t="s">
        <v>440</v>
      </c>
      <c r="M14" s="3" t="str">
        <f>IF(B14="","","AB"&amp;"_"&amp;IFERROR(VLOOKUP(B14,LOOKUPS!$K$2:$L$9,2,FALSE),"UNK")&amp;"_"&amp;IFERROR(VLOOKUP(C14,LOOKUPS!$N$2:$O$8,2,FALSE),"UNK")&amp;"_"&amp;UPPER(L14))</f>
        <v>AB_ITNIC_REQ_EMPSHARESCHEME</v>
      </c>
      <c r="N14" s="3">
        <f>IF(M14="","",COUNTIF($M$2:M14,M14))</f>
        <v>1</v>
      </c>
      <c r="O14" s="3" t="s">
        <v>753</v>
      </c>
      <c r="P14" s="3">
        <v>2</v>
      </c>
      <c r="Q14" s="3">
        <v>5</v>
      </c>
      <c r="R14" s="3">
        <v>500</v>
      </c>
      <c r="S14" s="3" t="s">
        <v>135</v>
      </c>
      <c r="T14" t="s">
        <v>17</v>
      </c>
      <c r="U14" s="3" t="s">
        <v>231</v>
      </c>
      <c r="V14" t="s">
        <v>17</v>
      </c>
      <c r="W14" s="3"/>
      <c r="X14" s="3"/>
      <c r="Y14" s="3"/>
      <c r="Z14" s="3"/>
      <c r="AA14" s="3"/>
      <c r="AB14" s="3"/>
      <c r="AC14" s="3" t="s">
        <v>759</v>
      </c>
    </row>
    <row r="15" spans="1:29" ht="28.8" x14ac:dyDescent="0.3">
      <c r="A15" s="3" t="str">
        <f t="shared" si="0"/>
        <v>AB_ITNIC_REQ_EMPSHARESCHEME_002</v>
      </c>
      <c r="B15" s="3" t="s">
        <v>21</v>
      </c>
      <c r="C15" t="s">
        <v>22</v>
      </c>
      <c r="D15" s="3" t="s">
        <v>365</v>
      </c>
      <c r="E15" s="3" t="s">
        <v>25</v>
      </c>
      <c r="F15" s="3">
        <v>3</v>
      </c>
      <c r="G15" s="3">
        <v>0</v>
      </c>
      <c r="H15" s="3" t="s">
        <v>17</v>
      </c>
      <c r="I15" s="3" t="s">
        <v>367</v>
      </c>
      <c r="J15" s="3" t="s">
        <v>331</v>
      </c>
      <c r="K15" s="3">
        <v>1</v>
      </c>
      <c r="L15" s="3" t="s">
        <v>440</v>
      </c>
      <c r="M15" s="3" t="str">
        <f>IF(B15="","","AB"&amp;"_"&amp;IFERROR(VLOOKUP(B15,LOOKUPS!$K$2:$L$9,2,FALSE),"UNK")&amp;"_"&amp;IFERROR(VLOOKUP(C15,LOOKUPS!$N$2:$O$8,2,FALSE),"UNK")&amp;"_"&amp;UPPER(L15))</f>
        <v>AB_ITNIC_REQ_EMPSHARESCHEME</v>
      </c>
      <c r="N15" s="3">
        <f>IF(M15="","",COUNTIF($M$2:M15,M15))</f>
        <v>2</v>
      </c>
      <c r="O15" s="3" t="s">
        <v>754</v>
      </c>
      <c r="P15" s="3">
        <v>2</v>
      </c>
      <c r="Q15" s="3">
        <v>3</v>
      </c>
      <c r="R15" s="3">
        <v>5</v>
      </c>
      <c r="S15" s="3" t="s">
        <v>135</v>
      </c>
      <c r="T15" t="s">
        <v>17</v>
      </c>
      <c r="U15" s="3" t="s">
        <v>231</v>
      </c>
      <c r="V15" t="s">
        <v>17</v>
      </c>
      <c r="W15" s="3"/>
      <c r="X15" s="3"/>
      <c r="Y15" s="3"/>
      <c r="Z15" s="3"/>
      <c r="AA15" s="3"/>
      <c r="AB15" s="3"/>
      <c r="AC15" s="3" t="s">
        <v>760</v>
      </c>
    </row>
    <row r="16" spans="1:29" ht="28.8" x14ac:dyDescent="0.3">
      <c r="A16" s="3" t="str">
        <f t="shared" si="0"/>
        <v>AB_ITNIC_REQ_EMPSHARESCHEME_003</v>
      </c>
      <c r="B16" s="3" t="s">
        <v>21</v>
      </c>
      <c r="C16" t="s">
        <v>22</v>
      </c>
      <c r="D16" s="3" t="s">
        <v>365</v>
      </c>
      <c r="E16" s="3" t="s">
        <v>25</v>
      </c>
      <c r="F16" s="3">
        <v>3</v>
      </c>
      <c r="G16" s="3">
        <v>0</v>
      </c>
      <c r="H16" s="3" t="s">
        <v>17</v>
      </c>
      <c r="I16" s="3" t="s">
        <v>368</v>
      </c>
      <c r="J16" s="3" t="s">
        <v>331</v>
      </c>
      <c r="K16" s="3">
        <v>1</v>
      </c>
      <c r="L16" s="3" t="s">
        <v>440</v>
      </c>
      <c r="M16" s="3" t="str">
        <f>IF(B16="","","AB"&amp;"_"&amp;IFERROR(VLOOKUP(B16,LOOKUPS!$K$2:$L$9,2,FALSE),"UNK")&amp;"_"&amp;IFERROR(VLOOKUP(C16,LOOKUPS!$N$2:$O$8,2,FALSE),"UNK")&amp;"_"&amp;UPPER(L16))</f>
        <v>AB_ITNIC_REQ_EMPSHARESCHEME</v>
      </c>
      <c r="N16" s="3">
        <f>IF(M16="","",COUNTIF($M$2:M16,M16))</f>
        <v>3</v>
      </c>
      <c r="O16" s="3" t="s">
        <v>755</v>
      </c>
      <c r="P16" s="3">
        <v>2</v>
      </c>
      <c r="Q16" s="3" t="s">
        <v>369</v>
      </c>
      <c r="R16" s="3" t="s">
        <v>370</v>
      </c>
      <c r="S16" s="3" t="s">
        <v>135</v>
      </c>
      <c r="T16" t="s">
        <v>17</v>
      </c>
      <c r="U16" s="3" t="s">
        <v>231</v>
      </c>
      <c r="V16" t="s">
        <v>17</v>
      </c>
      <c r="W16" s="3"/>
      <c r="X16" s="3"/>
      <c r="Y16" s="3"/>
      <c r="Z16" s="3"/>
      <c r="AA16" s="3"/>
      <c r="AB16" s="3"/>
      <c r="AC16" s="3" t="s">
        <v>761</v>
      </c>
    </row>
    <row r="17" spans="1:29" ht="43.2" x14ac:dyDescent="0.3">
      <c r="A17" s="3" t="str">
        <f t="shared" si="0"/>
        <v>AB_ITNIC_REQ_EMPSHARESCHEME_004</v>
      </c>
      <c r="B17" s="3" t="s">
        <v>21</v>
      </c>
      <c r="C17" t="s">
        <v>22</v>
      </c>
      <c r="D17" s="3" t="s">
        <v>365</v>
      </c>
      <c r="E17" s="3" t="s">
        <v>25</v>
      </c>
      <c r="F17" s="3">
        <v>3</v>
      </c>
      <c r="G17" s="3">
        <v>0</v>
      </c>
      <c r="H17" s="3" t="s">
        <v>17</v>
      </c>
      <c r="I17" s="3" t="s">
        <v>371</v>
      </c>
      <c r="J17" s="3" t="s">
        <v>331</v>
      </c>
      <c r="K17" s="3">
        <v>1</v>
      </c>
      <c r="L17" s="3" t="s">
        <v>440</v>
      </c>
      <c r="M17" s="3" t="str">
        <f>IF(B17="","","AB"&amp;"_"&amp;IFERROR(VLOOKUP(B17,LOOKUPS!$K$2:$L$9,2,FALSE),"UNK")&amp;"_"&amp;IFERROR(VLOOKUP(C17,LOOKUPS!$N$2:$O$8,2,FALSE),"UNK")&amp;"_"&amp;UPPER(L17))</f>
        <v>AB_ITNIC_REQ_EMPSHARESCHEME</v>
      </c>
      <c r="N17" s="3">
        <f>IF(M17="","",COUNTIF($M$2:M17,M17))</f>
        <v>4</v>
      </c>
      <c r="O17" s="3" t="s">
        <v>756</v>
      </c>
      <c r="P17" s="3">
        <v>2</v>
      </c>
      <c r="Q17" s="3" t="s">
        <v>372</v>
      </c>
      <c r="R17" s="3" t="s">
        <v>336</v>
      </c>
      <c r="S17" s="3" t="s">
        <v>231</v>
      </c>
      <c r="T17" t="s">
        <v>17</v>
      </c>
      <c r="U17" s="3" t="s">
        <v>135</v>
      </c>
      <c r="V17" t="s">
        <v>17</v>
      </c>
      <c r="W17" s="3"/>
      <c r="X17" s="3"/>
      <c r="Y17" s="3"/>
      <c r="Z17" s="3"/>
      <c r="AA17" s="3"/>
      <c r="AB17" s="3"/>
      <c r="AC17" s="3" t="s">
        <v>373</v>
      </c>
    </row>
    <row r="18" spans="1:29" ht="28.8" x14ac:dyDescent="0.3">
      <c r="A18" s="3" t="str">
        <f t="shared" si="0"/>
        <v>AB_ITNIC_REQ_EMPSHARESCHEME_005</v>
      </c>
      <c r="B18" s="3" t="s">
        <v>21</v>
      </c>
      <c r="C18" t="s">
        <v>22</v>
      </c>
      <c r="D18" s="3" t="s">
        <v>365</v>
      </c>
      <c r="E18" s="3" t="s">
        <v>25</v>
      </c>
      <c r="F18" s="3">
        <v>3</v>
      </c>
      <c r="G18" s="3">
        <v>0</v>
      </c>
      <c r="H18" s="3" t="s">
        <v>17</v>
      </c>
      <c r="I18" s="3" t="s">
        <v>374</v>
      </c>
      <c r="J18" s="3" t="s">
        <v>331</v>
      </c>
      <c r="K18" s="3">
        <v>1</v>
      </c>
      <c r="L18" s="3" t="s">
        <v>440</v>
      </c>
      <c r="M18" s="3" t="str">
        <f>IF(B18="","","AB"&amp;"_"&amp;IFERROR(VLOOKUP(B18,LOOKUPS!$K$2:$L$9,2,FALSE),"UNK")&amp;"_"&amp;IFERROR(VLOOKUP(C18,LOOKUPS!$N$2:$O$8,2,FALSE),"UNK")&amp;"_"&amp;UPPER(L18))</f>
        <v>AB_ITNIC_REQ_EMPSHARESCHEME</v>
      </c>
      <c r="N18" s="3">
        <f>IF(M18="","",COUNTIF($M$2:M18,M18))</f>
        <v>5</v>
      </c>
      <c r="O18" s="3" t="s">
        <v>757</v>
      </c>
      <c r="P18" s="3">
        <v>2</v>
      </c>
      <c r="Q18" s="3" t="s">
        <v>32</v>
      </c>
      <c r="R18" s="3" t="s">
        <v>375</v>
      </c>
      <c r="S18" s="3" t="s">
        <v>135</v>
      </c>
      <c r="T18" t="s">
        <v>17</v>
      </c>
      <c r="U18" s="3" t="s">
        <v>231</v>
      </c>
      <c r="V18" t="s">
        <v>17</v>
      </c>
      <c r="W18" s="3"/>
      <c r="X18" s="3"/>
      <c r="Y18" s="3"/>
      <c r="Z18" s="3"/>
      <c r="AA18" s="3"/>
      <c r="AB18" s="3"/>
      <c r="AC18" s="3" t="s">
        <v>762</v>
      </c>
    </row>
    <row r="19" spans="1:29" ht="43.2" x14ac:dyDescent="0.3">
      <c r="A19" s="3" t="str">
        <f t="shared" si="0"/>
        <v>AB_ITNIC_REQ_EMPSHARESCHEME_006</v>
      </c>
      <c r="B19" s="3" t="s">
        <v>21</v>
      </c>
      <c r="C19" t="s">
        <v>22</v>
      </c>
      <c r="D19" s="3" t="s">
        <v>365</v>
      </c>
      <c r="E19" s="3" t="s">
        <v>25</v>
      </c>
      <c r="F19" s="3">
        <v>3</v>
      </c>
      <c r="G19" s="3">
        <v>0</v>
      </c>
      <c r="H19" s="3" t="s">
        <v>17</v>
      </c>
      <c r="I19" s="3" t="s">
        <v>376</v>
      </c>
      <c r="J19" s="3" t="s">
        <v>331</v>
      </c>
      <c r="K19" s="3">
        <v>1</v>
      </c>
      <c r="L19" s="3" t="s">
        <v>440</v>
      </c>
      <c r="M19" s="3" t="str">
        <f>IF(B19="","","AB"&amp;"_"&amp;IFERROR(VLOOKUP(B19,LOOKUPS!$K$2:$L$9,2,FALSE),"UNK")&amp;"_"&amp;IFERROR(VLOOKUP(C19,LOOKUPS!$N$2:$O$8,2,FALSE),"UNK")&amp;"_"&amp;UPPER(L19))</f>
        <v>AB_ITNIC_REQ_EMPSHARESCHEME</v>
      </c>
      <c r="N19" s="3">
        <f>IF(M19="","",COUNTIF($M$2:M19,M19))</f>
        <v>6</v>
      </c>
      <c r="O19" s="3" t="s">
        <v>770</v>
      </c>
      <c r="P19" s="3">
        <v>2</v>
      </c>
      <c r="Q19" s="3" t="s">
        <v>226</v>
      </c>
      <c r="R19" s="3" t="s">
        <v>377</v>
      </c>
      <c r="S19" s="3" t="s">
        <v>231</v>
      </c>
      <c r="T19" t="s">
        <v>17</v>
      </c>
      <c r="U19" s="3" t="s">
        <v>135</v>
      </c>
      <c r="V19" t="s">
        <v>17</v>
      </c>
      <c r="W19" s="3"/>
      <c r="X19" s="3"/>
      <c r="Y19" s="3"/>
      <c r="Z19" s="3"/>
      <c r="AA19" s="3"/>
      <c r="AB19" s="3"/>
      <c r="AC19" s="3" t="s">
        <v>777</v>
      </c>
    </row>
    <row r="20" spans="1:29" ht="43.2" x14ac:dyDescent="0.3">
      <c r="A20" s="3" t="str">
        <f t="shared" si="0"/>
        <v>AB_ITNIC_REQ_EMPSHARESCHEME_007</v>
      </c>
      <c r="B20" s="3" t="s">
        <v>21</v>
      </c>
      <c r="C20" t="s">
        <v>22</v>
      </c>
      <c r="D20" s="3" t="s">
        <v>365</v>
      </c>
      <c r="E20" s="3" t="s">
        <v>25</v>
      </c>
      <c r="F20" s="3">
        <v>3</v>
      </c>
      <c r="G20" s="3">
        <v>0</v>
      </c>
      <c r="H20" s="3" t="s">
        <v>17</v>
      </c>
      <c r="I20" s="3" t="s">
        <v>378</v>
      </c>
      <c r="J20" s="3" t="s">
        <v>331</v>
      </c>
      <c r="K20" s="3">
        <v>1</v>
      </c>
      <c r="L20" s="3" t="s">
        <v>440</v>
      </c>
      <c r="M20" s="3" t="str">
        <f>IF(B20="","","AB"&amp;"_"&amp;IFERROR(VLOOKUP(B20,LOOKUPS!$K$2:$L$9,2,FALSE),"UNK")&amp;"_"&amp;IFERROR(VLOOKUP(C20,LOOKUPS!$N$2:$O$8,2,FALSE),"UNK")&amp;"_"&amp;UPPER(L20))</f>
        <v>AB_ITNIC_REQ_EMPSHARESCHEME</v>
      </c>
      <c r="N20" s="3">
        <f>IF(M20="","",COUNTIF($M$2:M20,M20))</f>
        <v>7</v>
      </c>
      <c r="O20" s="3" t="s">
        <v>771</v>
      </c>
      <c r="P20" s="3">
        <v>2</v>
      </c>
      <c r="Q20" s="3" t="s">
        <v>379</v>
      </c>
      <c r="R20" s="9">
        <v>0.3</v>
      </c>
      <c r="S20" s="3" t="s">
        <v>135</v>
      </c>
      <c r="T20" t="s">
        <v>17</v>
      </c>
      <c r="U20" s="3" t="s">
        <v>231</v>
      </c>
      <c r="V20" t="s">
        <v>17</v>
      </c>
      <c r="W20" s="3"/>
      <c r="X20" s="3"/>
      <c r="Y20" s="3"/>
      <c r="Z20" s="3"/>
      <c r="AA20" s="3"/>
      <c r="AB20" s="3"/>
      <c r="AC20" s="3" t="s">
        <v>778</v>
      </c>
    </row>
    <row r="21" spans="1:29" ht="43.2" x14ac:dyDescent="0.3">
      <c r="A21" s="3" t="str">
        <f t="shared" si="0"/>
        <v>AB_ITNIC_REQ_EMPSHARESCHEME_008</v>
      </c>
      <c r="B21" s="3" t="s">
        <v>21</v>
      </c>
      <c r="C21" t="s">
        <v>22</v>
      </c>
      <c r="D21" s="3" t="s">
        <v>365</v>
      </c>
      <c r="E21" s="3" t="s">
        <v>25</v>
      </c>
      <c r="F21" s="3">
        <v>3</v>
      </c>
      <c r="G21" s="3">
        <v>0</v>
      </c>
      <c r="H21" s="3" t="s">
        <v>17</v>
      </c>
      <c r="I21" s="3" t="s">
        <v>380</v>
      </c>
      <c r="J21" s="3" t="s">
        <v>331</v>
      </c>
      <c r="K21" s="3">
        <v>1</v>
      </c>
      <c r="L21" s="3" t="s">
        <v>440</v>
      </c>
      <c r="M21" s="3" t="str">
        <f>IF(B21="","","AB"&amp;"_"&amp;IFERROR(VLOOKUP(B21,LOOKUPS!$K$2:$L$9,2,FALSE),"UNK")&amp;"_"&amp;IFERROR(VLOOKUP(C21,LOOKUPS!$N$2:$O$8,2,FALSE),"UNK")&amp;"_"&amp;UPPER(L21))</f>
        <v>AB_ITNIC_REQ_EMPSHARESCHEME</v>
      </c>
      <c r="N21" s="3">
        <f>IF(M21="","",COUNTIF($M$2:M21,M21))</f>
        <v>8</v>
      </c>
      <c r="O21" s="3" t="s">
        <v>772</v>
      </c>
      <c r="P21" s="3">
        <v>2</v>
      </c>
      <c r="Q21" s="3">
        <v>3</v>
      </c>
      <c r="R21" s="3" t="s">
        <v>381</v>
      </c>
      <c r="S21" s="3" t="s">
        <v>231</v>
      </c>
      <c r="T21" t="s">
        <v>17</v>
      </c>
      <c r="U21" s="3" t="s">
        <v>135</v>
      </c>
      <c r="V21" t="s">
        <v>17</v>
      </c>
      <c r="W21" s="3"/>
      <c r="X21" s="3"/>
      <c r="Y21" s="3"/>
      <c r="Z21" s="3"/>
      <c r="AA21" s="3"/>
      <c r="AB21" s="3"/>
      <c r="AC21" s="3" t="s">
        <v>779</v>
      </c>
    </row>
    <row r="22" spans="1:29" ht="28.8" x14ac:dyDescent="0.3">
      <c r="A22" s="3" t="str">
        <f t="shared" si="0"/>
        <v>AB_ITNIC_REQ_EMPSHARESCHEME_009</v>
      </c>
      <c r="B22" s="3" t="s">
        <v>21</v>
      </c>
      <c r="C22" t="s">
        <v>22</v>
      </c>
      <c r="D22" s="3" t="s">
        <v>365</v>
      </c>
      <c r="E22" s="3" t="s">
        <v>25</v>
      </c>
      <c r="F22" s="3">
        <v>3</v>
      </c>
      <c r="G22" s="3">
        <v>0</v>
      </c>
      <c r="H22" s="3" t="s">
        <v>17</v>
      </c>
      <c r="I22" s="3" t="s">
        <v>382</v>
      </c>
      <c r="J22" s="3" t="s">
        <v>331</v>
      </c>
      <c r="K22" s="3">
        <v>1</v>
      </c>
      <c r="L22" s="3" t="s">
        <v>440</v>
      </c>
      <c r="M22" s="3" t="str">
        <f>IF(B22="","","AB"&amp;"_"&amp;IFERROR(VLOOKUP(B22,LOOKUPS!$K$2:$L$9,2,FALSE),"UNK")&amp;"_"&amp;IFERROR(VLOOKUP(C22,LOOKUPS!$N$2:$O$8,2,FALSE),"UNK")&amp;"_"&amp;UPPER(L22))</f>
        <v>AB_ITNIC_REQ_EMPSHARESCHEME</v>
      </c>
      <c r="N22" s="3">
        <f>IF(M22="","",COUNTIF($M$2:M22,M22))</f>
        <v>9</v>
      </c>
      <c r="O22" s="3" t="s">
        <v>773</v>
      </c>
      <c r="P22" s="3">
        <v>2</v>
      </c>
      <c r="Q22" s="3">
        <v>10</v>
      </c>
      <c r="R22" s="3">
        <v>3</v>
      </c>
      <c r="S22" s="3" t="s">
        <v>231</v>
      </c>
      <c r="T22" t="s">
        <v>17</v>
      </c>
      <c r="U22" s="3" t="s">
        <v>135</v>
      </c>
      <c r="V22" t="s">
        <v>17</v>
      </c>
      <c r="W22" s="3"/>
      <c r="X22" s="3"/>
      <c r="Y22" s="3"/>
      <c r="Z22" s="3"/>
      <c r="AA22" s="3"/>
      <c r="AB22" s="3"/>
      <c r="AC22" s="3" t="s">
        <v>780</v>
      </c>
    </row>
    <row r="23" spans="1:29" ht="43.2" x14ac:dyDescent="0.3">
      <c r="A23" s="3" t="str">
        <f t="shared" si="0"/>
        <v>AB_ITNIC_REQ_EMPSHARESCHEME_010</v>
      </c>
      <c r="B23" s="3" t="s">
        <v>21</v>
      </c>
      <c r="C23" t="s">
        <v>22</v>
      </c>
      <c r="D23" s="3" t="s">
        <v>365</v>
      </c>
      <c r="E23" s="3" t="s">
        <v>25</v>
      </c>
      <c r="F23" s="3">
        <v>3</v>
      </c>
      <c r="G23" s="3">
        <v>0</v>
      </c>
      <c r="H23" s="3" t="s">
        <v>17</v>
      </c>
      <c r="I23" s="3" t="s">
        <v>383</v>
      </c>
      <c r="J23" s="3" t="s">
        <v>331</v>
      </c>
      <c r="K23" s="3">
        <v>1</v>
      </c>
      <c r="L23" s="3" t="s">
        <v>440</v>
      </c>
      <c r="M23" s="3" t="str">
        <f>IF(B23="","","AB"&amp;"_"&amp;IFERROR(VLOOKUP(B23,LOOKUPS!$K$2:$L$9,2,FALSE),"UNK")&amp;"_"&amp;IFERROR(VLOOKUP(C23,LOOKUPS!$N$2:$O$8,2,FALSE),"UNK")&amp;"_"&amp;UPPER(L23))</f>
        <v>AB_ITNIC_REQ_EMPSHARESCHEME</v>
      </c>
      <c r="N23" s="3">
        <f>IF(M23="","",COUNTIF($M$2:M23,M23))</f>
        <v>10</v>
      </c>
      <c r="O23" s="3" t="s">
        <v>774</v>
      </c>
      <c r="P23" s="3">
        <v>2</v>
      </c>
      <c r="Q23" s="3" t="s">
        <v>384</v>
      </c>
      <c r="R23" s="3">
        <v>60000</v>
      </c>
      <c r="S23" s="3" t="s">
        <v>231</v>
      </c>
      <c r="T23" t="s">
        <v>17</v>
      </c>
      <c r="U23" s="3" t="s">
        <v>135</v>
      </c>
      <c r="V23" t="s">
        <v>17</v>
      </c>
      <c r="W23" s="3"/>
      <c r="X23" s="3"/>
      <c r="Y23" s="3"/>
      <c r="Z23" s="3"/>
      <c r="AA23" s="3"/>
      <c r="AB23" s="3"/>
      <c r="AC23" s="3" t="s">
        <v>781</v>
      </c>
    </row>
    <row r="24" spans="1:29" ht="43.2" x14ac:dyDescent="0.3">
      <c r="A24" s="3" t="str">
        <f t="shared" si="0"/>
        <v>AB_ITNIC_REQ_EMPSHARESCHEME_011</v>
      </c>
      <c r="B24" s="3" t="s">
        <v>21</v>
      </c>
      <c r="C24" t="s">
        <v>22</v>
      </c>
      <c r="D24" s="3" t="s">
        <v>365</v>
      </c>
      <c r="E24" s="3" t="s">
        <v>25</v>
      </c>
      <c r="F24" s="3">
        <v>3</v>
      </c>
      <c r="G24" s="3">
        <v>0</v>
      </c>
      <c r="H24" s="3" t="s">
        <v>17</v>
      </c>
      <c r="I24" s="3" t="s">
        <v>385</v>
      </c>
      <c r="J24" s="3" t="s">
        <v>331</v>
      </c>
      <c r="K24" s="3">
        <v>1</v>
      </c>
      <c r="L24" s="3" t="s">
        <v>440</v>
      </c>
      <c r="M24" s="3" t="str">
        <f>IF(B24="","","AB"&amp;"_"&amp;IFERROR(VLOOKUP(B24,LOOKUPS!$K$2:$L$9,2,FALSE),"UNK")&amp;"_"&amp;IFERROR(VLOOKUP(C24,LOOKUPS!$N$2:$O$8,2,FALSE),"UNK")&amp;"_"&amp;UPPER(L24))</f>
        <v>AB_ITNIC_REQ_EMPSHARESCHEME</v>
      </c>
      <c r="N24" s="3">
        <f>IF(M24="","",COUNTIF($M$2:M24,M24))</f>
        <v>11</v>
      </c>
      <c r="O24" s="3" t="s">
        <v>775</v>
      </c>
      <c r="P24" s="3">
        <v>2</v>
      </c>
      <c r="Q24" s="3" t="s">
        <v>32</v>
      </c>
      <c r="R24" s="3" t="s">
        <v>386</v>
      </c>
      <c r="S24" s="3" t="s">
        <v>135</v>
      </c>
      <c r="T24" t="s">
        <v>17</v>
      </c>
      <c r="U24" s="3" t="s">
        <v>231</v>
      </c>
      <c r="V24" t="s">
        <v>17</v>
      </c>
      <c r="W24" s="3"/>
      <c r="X24" s="3"/>
      <c r="Y24" s="3"/>
      <c r="Z24" s="3"/>
      <c r="AA24" s="3"/>
      <c r="AB24" s="3"/>
      <c r="AC24" s="3" t="s">
        <v>782</v>
      </c>
    </row>
    <row r="25" spans="1:29" ht="43.2" x14ac:dyDescent="0.3">
      <c r="A25" s="3" t="str">
        <f t="shared" si="0"/>
        <v>AB_ITNIC_REQ_EMPSHARESCHEME_012</v>
      </c>
      <c r="B25" s="3" t="s">
        <v>21</v>
      </c>
      <c r="C25" t="s">
        <v>22</v>
      </c>
      <c r="D25" s="3" t="s">
        <v>365</v>
      </c>
      <c r="E25" s="3" t="s">
        <v>25</v>
      </c>
      <c r="F25" s="3">
        <v>3</v>
      </c>
      <c r="G25" s="3">
        <v>0</v>
      </c>
      <c r="H25" s="3" t="s">
        <v>17</v>
      </c>
      <c r="I25" s="3" t="s">
        <v>387</v>
      </c>
      <c r="J25" s="3" t="s">
        <v>331</v>
      </c>
      <c r="K25" s="3">
        <v>1</v>
      </c>
      <c r="L25" s="3" t="s">
        <v>440</v>
      </c>
      <c r="M25" s="3" t="str">
        <f>IF(B25="","","AB"&amp;"_"&amp;IFERROR(VLOOKUP(B25,LOOKUPS!$K$2:$L$9,2,FALSE),"UNK")&amp;"_"&amp;IFERROR(VLOOKUP(C25,LOOKUPS!$N$2:$O$8,2,FALSE),"UNK")&amp;"_"&amp;UPPER(L25))</f>
        <v>AB_ITNIC_REQ_EMPSHARESCHEME</v>
      </c>
      <c r="N25" s="3">
        <f>IF(M25="","",COUNTIF($M$2:M25,M25))</f>
        <v>12</v>
      </c>
      <c r="O25" s="3" t="s">
        <v>735</v>
      </c>
      <c r="P25" s="3">
        <v>2</v>
      </c>
      <c r="Q25" s="3" t="s">
        <v>388</v>
      </c>
      <c r="R25" s="3" t="s">
        <v>389</v>
      </c>
      <c r="S25" s="3" t="s">
        <v>231</v>
      </c>
      <c r="T25" t="s">
        <v>17</v>
      </c>
      <c r="U25" s="3" t="s">
        <v>135</v>
      </c>
      <c r="V25" t="s">
        <v>17</v>
      </c>
      <c r="W25" s="3"/>
      <c r="X25" s="3"/>
      <c r="Y25" s="3"/>
      <c r="Z25" s="3"/>
      <c r="AA25" s="3"/>
      <c r="AB25" s="3"/>
      <c r="AC25" s="3" t="s">
        <v>736</v>
      </c>
    </row>
    <row r="26" spans="1:29" ht="43.2" x14ac:dyDescent="0.3">
      <c r="A26" s="3" t="str">
        <f t="shared" si="0"/>
        <v>AB_ITNIC_REQ_EMPSHARESCHEME_013</v>
      </c>
      <c r="B26" s="3" t="s">
        <v>21</v>
      </c>
      <c r="C26" t="s">
        <v>22</v>
      </c>
      <c r="D26" s="3" t="s">
        <v>365</v>
      </c>
      <c r="E26" s="3" t="s">
        <v>25</v>
      </c>
      <c r="F26" s="3">
        <v>3</v>
      </c>
      <c r="G26" s="3">
        <v>0</v>
      </c>
      <c r="H26" s="3" t="s">
        <v>17</v>
      </c>
      <c r="I26" s="3" t="s">
        <v>390</v>
      </c>
      <c r="J26" s="3" t="s">
        <v>331</v>
      </c>
      <c r="K26" s="3">
        <v>1</v>
      </c>
      <c r="L26" s="3" t="s">
        <v>440</v>
      </c>
      <c r="M26" s="3" t="str">
        <f>IF(B26="","","AB"&amp;"_"&amp;IFERROR(VLOOKUP(B26,LOOKUPS!$K$2:$L$9,2,FALSE),"UNK")&amp;"_"&amp;IFERROR(VLOOKUP(C26,LOOKUPS!$N$2:$O$8,2,FALSE),"UNK")&amp;"_"&amp;UPPER(L26))</f>
        <v>AB_ITNIC_REQ_EMPSHARESCHEME</v>
      </c>
      <c r="N26" s="3">
        <f>IF(M26="","",COUNTIF($M$2:M26,M26))</f>
        <v>13</v>
      </c>
      <c r="O26" s="3" t="s">
        <v>737</v>
      </c>
      <c r="P26" s="3">
        <v>2</v>
      </c>
      <c r="Q26" s="3" t="s">
        <v>391</v>
      </c>
      <c r="R26" s="3">
        <v>250</v>
      </c>
      <c r="S26" s="3" t="s">
        <v>135</v>
      </c>
      <c r="T26" t="s">
        <v>17</v>
      </c>
      <c r="U26" s="3" t="s">
        <v>231</v>
      </c>
      <c r="V26" t="s">
        <v>17</v>
      </c>
      <c r="W26" s="3"/>
      <c r="X26" s="3"/>
      <c r="Y26" s="3"/>
      <c r="Z26" s="3"/>
      <c r="AA26" s="3"/>
      <c r="AB26" s="3"/>
      <c r="AC26" s="3" t="s">
        <v>738</v>
      </c>
    </row>
    <row r="27" spans="1:29" ht="57.6" x14ac:dyDescent="0.3">
      <c r="A27" s="3" t="str">
        <f t="shared" si="0"/>
        <v>AB_ITNIC_REQ_EMPSHARESCHEME_014</v>
      </c>
      <c r="B27" s="3" t="s">
        <v>21</v>
      </c>
      <c r="C27" t="s">
        <v>22</v>
      </c>
      <c r="D27" s="3" t="s">
        <v>365</v>
      </c>
      <c r="E27" s="3" t="s">
        <v>25</v>
      </c>
      <c r="F27" s="3">
        <v>3</v>
      </c>
      <c r="G27" s="3">
        <v>0</v>
      </c>
      <c r="H27" s="3" t="s">
        <v>17</v>
      </c>
      <c r="I27" s="3" t="s">
        <v>392</v>
      </c>
      <c r="J27" s="3" t="s">
        <v>331</v>
      </c>
      <c r="K27" s="3">
        <v>1</v>
      </c>
      <c r="L27" s="3" t="s">
        <v>440</v>
      </c>
      <c r="M27" s="3" t="str">
        <f>IF(B27="","","AB"&amp;"_"&amp;IFERROR(VLOOKUP(B27,LOOKUPS!$K$2:$L$9,2,FALSE),"UNK")&amp;"_"&amp;IFERROR(VLOOKUP(C27,LOOKUPS!$N$2:$O$8,2,FALSE),"UNK")&amp;"_"&amp;UPPER(L27))</f>
        <v>AB_ITNIC_REQ_EMPSHARESCHEME</v>
      </c>
      <c r="N27" s="3">
        <f>IF(M27="","",COUNTIF($M$2:M27,M27))</f>
        <v>14</v>
      </c>
      <c r="O27" s="3" t="s">
        <v>739</v>
      </c>
      <c r="P27" s="3">
        <v>2</v>
      </c>
      <c r="Q27" s="3" t="s">
        <v>393</v>
      </c>
      <c r="R27" s="3" t="s">
        <v>394</v>
      </c>
      <c r="S27" s="3" t="s">
        <v>231</v>
      </c>
      <c r="T27" t="s">
        <v>17</v>
      </c>
      <c r="U27" s="3" t="s">
        <v>135</v>
      </c>
      <c r="V27" t="s">
        <v>17</v>
      </c>
      <c r="W27" s="3"/>
      <c r="X27" s="3"/>
      <c r="Y27" s="3"/>
      <c r="Z27" s="3"/>
      <c r="AA27" s="3"/>
      <c r="AB27" s="3"/>
      <c r="AC27" s="3" t="s">
        <v>740</v>
      </c>
    </row>
    <row r="28" spans="1:29" ht="43.2" x14ac:dyDescent="0.3">
      <c r="A28" s="3" t="str">
        <f t="shared" si="0"/>
        <v>AB_ITNIC_REQ_EMPSHARESCHEME_015</v>
      </c>
      <c r="B28" s="3" t="s">
        <v>21</v>
      </c>
      <c r="C28" t="s">
        <v>22</v>
      </c>
      <c r="D28" s="3" t="s">
        <v>365</v>
      </c>
      <c r="E28" s="3" t="s">
        <v>25</v>
      </c>
      <c r="F28" s="3">
        <v>3</v>
      </c>
      <c r="G28" s="3">
        <v>0</v>
      </c>
      <c r="H28" s="3" t="s">
        <v>17</v>
      </c>
      <c r="I28" s="3" t="s">
        <v>395</v>
      </c>
      <c r="J28" s="3" t="s">
        <v>331</v>
      </c>
      <c r="K28" s="3">
        <v>1</v>
      </c>
      <c r="L28" s="3" t="s">
        <v>440</v>
      </c>
      <c r="M28" s="3" t="str">
        <f>IF(B28="","","AB"&amp;"_"&amp;IFERROR(VLOOKUP(B28,LOOKUPS!$K$2:$L$9,2,FALSE),"UNK")&amp;"_"&amp;IFERROR(VLOOKUP(C28,LOOKUPS!$N$2:$O$8,2,FALSE),"UNK")&amp;"_"&amp;UPPER(L28))</f>
        <v>AB_ITNIC_REQ_EMPSHARESCHEME</v>
      </c>
      <c r="N28" s="3">
        <f>IF(M28="","",COUNTIF($M$2:M28,M28))</f>
        <v>15</v>
      </c>
      <c r="O28" s="3" t="s">
        <v>741</v>
      </c>
      <c r="P28" s="3">
        <v>2</v>
      </c>
      <c r="Q28" s="3">
        <v>25</v>
      </c>
      <c r="R28" s="9">
        <v>0.75</v>
      </c>
      <c r="S28" s="3" t="s">
        <v>135</v>
      </c>
      <c r="T28" t="s">
        <v>17</v>
      </c>
      <c r="U28" s="3" t="s">
        <v>231</v>
      </c>
      <c r="V28" t="s">
        <v>17</v>
      </c>
      <c r="W28" s="3"/>
      <c r="X28" s="3"/>
      <c r="Y28" s="3"/>
      <c r="Z28" s="3"/>
      <c r="AA28" s="3"/>
      <c r="AB28" s="3"/>
      <c r="AC28" s="3" t="s">
        <v>742</v>
      </c>
    </row>
    <row r="29" spans="1:29" ht="43.2" x14ac:dyDescent="0.3">
      <c r="A29" s="3" t="str">
        <f t="shared" si="0"/>
        <v>AB_ITNIC_REQ_EMPSHARESCHEME_016</v>
      </c>
      <c r="B29" s="3" t="s">
        <v>21</v>
      </c>
      <c r="C29" t="s">
        <v>22</v>
      </c>
      <c r="D29" s="3" t="s">
        <v>365</v>
      </c>
      <c r="E29" s="3" t="s">
        <v>25</v>
      </c>
      <c r="F29" s="3">
        <v>3</v>
      </c>
      <c r="G29" s="3">
        <v>0</v>
      </c>
      <c r="H29" s="3" t="s">
        <v>17</v>
      </c>
      <c r="I29" s="3" t="s">
        <v>396</v>
      </c>
      <c r="J29" s="3" t="s">
        <v>331</v>
      </c>
      <c r="K29" s="3">
        <v>1</v>
      </c>
      <c r="L29" s="3" t="s">
        <v>440</v>
      </c>
      <c r="M29" s="3" t="str">
        <f>IF(B29="","","AB"&amp;"_"&amp;IFERROR(VLOOKUP(B29,LOOKUPS!$K$2:$L$9,2,FALSE),"UNK")&amp;"_"&amp;IFERROR(VLOOKUP(C29,LOOKUPS!$N$2:$O$8,2,FALSE),"UNK")&amp;"_"&amp;UPPER(L29))</f>
        <v>AB_ITNIC_REQ_EMPSHARESCHEME</v>
      </c>
      <c r="N29" s="3">
        <f>IF(M29="","",COUNTIF($M$2:M29,M29))</f>
        <v>16</v>
      </c>
      <c r="O29" s="3" t="s">
        <v>743</v>
      </c>
      <c r="P29" s="3">
        <v>2</v>
      </c>
      <c r="Q29" s="3" t="s">
        <v>397</v>
      </c>
      <c r="R29" s="9">
        <v>0.3</v>
      </c>
      <c r="S29" s="3" t="s">
        <v>231</v>
      </c>
      <c r="T29" t="s">
        <v>17</v>
      </c>
      <c r="U29" s="3" t="s">
        <v>135</v>
      </c>
      <c r="V29" t="s">
        <v>17</v>
      </c>
      <c r="W29" s="3"/>
      <c r="X29" s="3"/>
      <c r="Y29" s="3"/>
      <c r="Z29" s="3"/>
      <c r="AA29" s="3"/>
      <c r="AB29" s="3"/>
      <c r="AC29" s="3" t="s">
        <v>744</v>
      </c>
    </row>
    <row r="30" spans="1:29" ht="57.6" x14ac:dyDescent="0.3">
      <c r="A30" s="3" t="str">
        <f t="shared" si="0"/>
        <v>AB_ITNIC_REQ_EMPSHARESCHEME_017</v>
      </c>
      <c r="B30" s="3" t="s">
        <v>21</v>
      </c>
      <c r="C30" t="s">
        <v>22</v>
      </c>
      <c r="D30" s="3" t="s">
        <v>365</v>
      </c>
      <c r="E30" s="3" t="s">
        <v>25</v>
      </c>
      <c r="F30" s="3">
        <v>3</v>
      </c>
      <c r="G30" s="3">
        <v>0</v>
      </c>
      <c r="H30" s="3" t="s">
        <v>17</v>
      </c>
      <c r="I30" s="3" t="s">
        <v>398</v>
      </c>
      <c r="J30" s="3" t="s">
        <v>331</v>
      </c>
      <c r="K30" s="3">
        <v>1</v>
      </c>
      <c r="L30" s="3" t="s">
        <v>440</v>
      </c>
      <c r="M30" s="3" t="str">
        <f>IF(B30="","","AB"&amp;"_"&amp;IFERROR(VLOOKUP(B30,LOOKUPS!$K$2:$L$9,2,FALSE),"UNK")&amp;"_"&amp;IFERROR(VLOOKUP(C30,LOOKUPS!$N$2:$O$8,2,FALSE),"UNK")&amp;"_"&amp;UPPER(L30))</f>
        <v>AB_ITNIC_REQ_EMPSHARESCHEME</v>
      </c>
      <c r="N30" s="3">
        <f>IF(M30="","",COUNTIF($M$2:M30,M30))</f>
        <v>17</v>
      </c>
      <c r="O30" s="3" t="s">
        <v>745</v>
      </c>
      <c r="P30" s="3">
        <v>2</v>
      </c>
      <c r="Q30" s="3" t="s">
        <v>377</v>
      </c>
      <c r="R30" s="3" t="s">
        <v>399</v>
      </c>
      <c r="S30" s="3" t="s">
        <v>135</v>
      </c>
      <c r="T30" t="s">
        <v>17</v>
      </c>
      <c r="U30" s="3" t="s">
        <v>231</v>
      </c>
      <c r="V30" t="s">
        <v>17</v>
      </c>
      <c r="W30" s="3"/>
      <c r="X30" s="3"/>
      <c r="Y30" s="3"/>
      <c r="Z30" s="3"/>
      <c r="AA30" s="3"/>
      <c r="AB30" s="3"/>
      <c r="AC30" s="3" t="s">
        <v>400</v>
      </c>
    </row>
    <row r="31" spans="1:29" ht="57.6" x14ac:dyDescent="0.3">
      <c r="A31" s="3" t="str">
        <f t="shared" si="0"/>
        <v>AB_ITNIC_REQ_EMPSHARESCHEME_018</v>
      </c>
      <c r="B31" s="3" t="s">
        <v>21</v>
      </c>
      <c r="C31" t="s">
        <v>22</v>
      </c>
      <c r="D31" s="3" t="s">
        <v>365</v>
      </c>
      <c r="E31" s="3" t="s">
        <v>25</v>
      </c>
      <c r="F31" s="3">
        <v>3</v>
      </c>
      <c r="G31" s="3">
        <v>0</v>
      </c>
      <c r="H31" s="3" t="s">
        <v>17</v>
      </c>
      <c r="I31" s="3" t="s">
        <v>401</v>
      </c>
      <c r="J31" s="3" t="s">
        <v>331</v>
      </c>
      <c r="K31" s="3">
        <v>1</v>
      </c>
      <c r="L31" s="3" t="s">
        <v>440</v>
      </c>
      <c r="M31" s="3" t="str">
        <f>IF(B31="","","AB"&amp;"_"&amp;IFERROR(VLOOKUP(B31,LOOKUPS!$K$2:$L$9,2,FALSE),"UNK")&amp;"_"&amp;IFERROR(VLOOKUP(C31,LOOKUPS!$N$2:$O$8,2,FALSE),"UNK")&amp;"_"&amp;UPPER(L31))</f>
        <v>AB_ITNIC_REQ_EMPSHARESCHEME</v>
      </c>
      <c r="N31" s="3">
        <f>IF(M31="","",COUNTIF($M$2:M31,M31))</f>
        <v>18</v>
      </c>
      <c r="O31" s="3" t="s">
        <v>746</v>
      </c>
      <c r="P31" s="3">
        <v>2</v>
      </c>
      <c r="Q31" s="3" t="s">
        <v>402</v>
      </c>
      <c r="R31" s="3">
        <v>250000</v>
      </c>
      <c r="S31" s="3" t="s">
        <v>231</v>
      </c>
      <c r="T31" t="s">
        <v>17</v>
      </c>
      <c r="U31" s="3" t="s">
        <v>135</v>
      </c>
      <c r="V31" t="s">
        <v>17</v>
      </c>
      <c r="W31" s="3"/>
      <c r="X31" s="3"/>
      <c r="Y31" s="3"/>
      <c r="Z31" s="3"/>
      <c r="AA31" s="3"/>
      <c r="AB31" s="3"/>
      <c r="AC31" s="3" t="s">
        <v>747</v>
      </c>
    </row>
    <row r="32" spans="1:29" ht="86.4" x14ac:dyDescent="0.3">
      <c r="A32" s="3" t="str">
        <f t="shared" si="0"/>
        <v>AB_ITNIC_REQ_EMPSHARESCHEME_019</v>
      </c>
      <c r="B32" s="3" t="s">
        <v>21</v>
      </c>
      <c r="C32" t="s">
        <v>22</v>
      </c>
      <c r="D32" s="3" t="s">
        <v>365</v>
      </c>
      <c r="E32" s="3" t="s">
        <v>25</v>
      </c>
      <c r="F32" s="3">
        <v>3</v>
      </c>
      <c r="G32" s="3">
        <v>0</v>
      </c>
      <c r="H32" s="3" t="s">
        <v>17</v>
      </c>
      <c r="I32" s="3" t="s">
        <v>403</v>
      </c>
      <c r="J32" s="3" t="s">
        <v>331</v>
      </c>
      <c r="K32" s="3">
        <v>1</v>
      </c>
      <c r="L32" s="3" t="s">
        <v>440</v>
      </c>
      <c r="M32" s="3" t="str">
        <f>IF(B32="","","AB"&amp;"_"&amp;IFERROR(VLOOKUP(B32,LOOKUPS!$K$2:$L$9,2,FALSE),"UNK")&amp;"_"&amp;IFERROR(VLOOKUP(C32,LOOKUPS!$N$2:$O$8,2,FALSE),"UNK")&amp;"_"&amp;UPPER(L32))</f>
        <v>AB_ITNIC_REQ_EMPSHARESCHEME</v>
      </c>
      <c r="N32" s="3">
        <f>IF(M32="","",COUNTIF($M$2:M32,M32))</f>
        <v>19</v>
      </c>
      <c r="O32" s="3" t="s">
        <v>758</v>
      </c>
      <c r="P32" s="3">
        <v>2</v>
      </c>
      <c r="Q32" s="3" t="s">
        <v>357</v>
      </c>
      <c r="R32" s="3" t="s">
        <v>776</v>
      </c>
      <c r="S32" s="3" t="s">
        <v>135</v>
      </c>
      <c r="T32" t="s">
        <v>17</v>
      </c>
      <c r="U32" s="3" t="s">
        <v>231</v>
      </c>
      <c r="V32" t="s">
        <v>17</v>
      </c>
      <c r="W32" s="3"/>
      <c r="X32" s="3"/>
      <c r="Y32" s="3"/>
      <c r="Z32" s="3"/>
      <c r="AA32" s="3"/>
      <c r="AB32" s="3"/>
      <c r="AC32" s="3" t="s">
        <v>783</v>
      </c>
    </row>
    <row r="33" spans="1:29" ht="43.2" x14ac:dyDescent="0.3">
      <c r="A33" s="3" t="str">
        <f t="shared" si="0"/>
        <v>AB_ITNIC_REQ_EMPSHARESCHEME_020</v>
      </c>
      <c r="B33" s="3" t="s">
        <v>21</v>
      </c>
      <c r="C33" t="s">
        <v>22</v>
      </c>
      <c r="D33" s="3" t="s">
        <v>365</v>
      </c>
      <c r="E33" s="3" t="s">
        <v>25</v>
      </c>
      <c r="F33" s="3">
        <v>3</v>
      </c>
      <c r="G33" s="3">
        <v>0</v>
      </c>
      <c r="H33" s="3" t="s">
        <v>17</v>
      </c>
      <c r="I33" s="3" t="s">
        <v>404</v>
      </c>
      <c r="J33" s="3" t="s">
        <v>331</v>
      </c>
      <c r="K33" s="3">
        <v>1</v>
      </c>
      <c r="L33" s="3" t="s">
        <v>440</v>
      </c>
      <c r="M33" s="3" t="str">
        <f>IF(B33="","","AB"&amp;"_"&amp;IFERROR(VLOOKUP(B33,LOOKUPS!$K$2:$L$9,2,FALSE),"UNK")&amp;"_"&amp;IFERROR(VLOOKUP(C33,LOOKUPS!$N$2:$O$8,2,FALSE),"UNK")&amp;"_"&amp;UPPER(L33))</f>
        <v>AB_ITNIC_REQ_EMPSHARESCHEME</v>
      </c>
      <c r="N33" s="3">
        <f>IF(M33="","",COUNTIF($M$2:M33,M33))</f>
        <v>20</v>
      </c>
      <c r="O33" s="3" t="s">
        <v>748</v>
      </c>
      <c r="P33" s="3">
        <v>2</v>
      </c>
      <c r="Q33" s="3" t="s">
        <v>405</v>
      </c>
      <c r="R33" s="3" t="s">
        <v>406</v>
      </c>
      <c r="S33" s="3" t="s">
        <v>231</v>
      </c>
      <c r="T33" t="s">
        <v>17</v>
      </c>
      <c r="U33" s="3" t="s">
        <v>135</v>
      </c>
      <c r="V33" t="s">
        <v>17</v>
      </c>
      <c r="W33" s="3"/>
      <c r="X33" s="3"/>
      <c r="Y33" s="3"/>
      <c r="Z33" s="3"/>
      <c r="AA33" s="3"/>
      <c r="AB33" s="3"/>
      <c r="AC33" s="3" t="s">
        <v>749</v>
      </c>
    </row>
    <row r="34" spans="1:29" ht="72" x14ac:dyDescent="0.3">
      <c r="A34" s="3" t="str">
        <f t="shared" si="0"/>
        <v>AB_ITNIC_REQ_EMPSHARESCHEME_021</v>
      </c>
      <c r="B34" s="3" t="s">
        <v>21</v>
      </c>
      <c r="C34" t="s">
        <v>22</v>
      </c>
      <c r="D34" s="3" t="s">
        <v>365</v>
      </c>
      <c r="E34" s="3" t="s">
        <v>25</v>
      </c>
      <c r="F34" s="3">
        <v>3</v>
      </c>
      <c r="G34" s="3">
        <v>0</v>
      </c>
      <c r="H34" s="3" t="s">
        <v>17</v>
      </c>
      <c r="I34" s="3" t="s">
        <v>407</v>
      </c>
      <c r="J34" s="3" t="s">
        <v>331</v>
      </c>
      <c r="K34" s="3">
        <v>1</v>
      </c>
      <c r="L34" s="3" t="s">
        <v>440</v>
      </c>
      <c r="M34" s="3" t="str">
        <f>IF(B34="","","AB"&amp;"_"&amp;IFERROR(VLOOKUP(B34,LOOKUPS!$K$2:$L$9,2,FALSE),"UNK")&amp;"_"&amp;IFERROR(VLOOKUP(C34,LOOKUPS!$N$2:$O$8,2,FALSE),"UNK")&amp;"_"&amp;UPPER(L34))</f>
        <v>AB_ITNIC_REQ_EMPSHARESCHEME</v>
      </c>
      <c r="N34" s="3">
        <f>IF(M34="","",COUNTIF($M$2:M34,M34))</f>
        <v>21</v>
      </c>
      <c r="O34" s="3" t="s">
        <v>750</v>
      </c>
      <c r="P34" s="3">
        <v>2</v>
      </c>
      <c r="Q34" s="3" t="s">
        <v>408</v>
      </c>
      <c r="R34" s="3" t="s">
        <v>405</v>
      </c>
      <c r="S34" s="3" t="s">
        <v>135</v>
      </c>
      <c r="T34" t="s">
        <v>17</v>
      </c>
      <c r="U34" s="3" t="s">
        <v>231</v>
      </c>
      <c r="V34" t="s">
        <v>17</v>
      </c>
      <c r="W34" s="3"/>
      <c r="X34" s="3"/>
      <c r="Y34" s="3"/>
      <c r="Z34" s="3"/>
      <c r="AA34" s="3"/>
      <c r="AB34" s="3"/>
      <c r="AC34" s="3" t="s">
        <v>409</v>
      </c>
    </row>
    <row r="35" spans="1:29" ht="57.6" x14ac:dyDescent="0.3">
      <c r="A35" s="3" t="str">
        <f t="shared" si="0"/>
        <v>AB_ITNIC_REQ_EMPSHARESCHEME_022</v>
      </c>
      <c r="B35" s="3" t="s">
        <v>21</v>
      </c>
      <c r="C35" t="s">
        <v>22</v>
      </c>
      <c r="D35" s="3" t="s">
        <v>365</v>
      </c>
      <c r="E35" s="3" t="s">
        <v>25</v>
      </c>
      <c r="F35" s="3">
        <v>3</v>
      </c>
      <c r="G35" s="3">
        <v>0</v>
      </c>
      <c r="H35" s="3" t="s">
        <v>17</v>
      </c>
      <c r="I35" s="3" t="s">
        <v>410</v>
      </c>
      <c r="J35" s="3" t="s">
        <v>331</v>
      </c>
      <c r="K35" s="3">
        <v>1</v>
      </c>
      <c r="L35" s="3" t="s">
        <v>440</v>
      </c>
      <c r="M35" s="3" t="str">
        <f>IF(B35="","","AB"&amp;"_"&amp;IFERROR(VLOOKUP(B35,LOOKUPS!$K$2:$L$9,2,FALSE),"UNK")&amp;"_"&amp;IFERROR(VLOOKUP(C35,LOOKUPS!$N$2:$O$8,2,FALSE),"UNK")&amp;"_"&amp;UPPER(L35))</f>
        <v>AB_ITNIC_REQ_EMPSHARESCHEME</v>
      </c>
      <c r="N35" s="3">
        <f>IF(M35="","",COUNTIF($M$2:M35,M35))</f>
        <v>22</v>
      </c>
      <c r="O35" s="3" t="s">
        <v>751</v>
      </c>
      <c r="P35" s="3">
        <v>2</v>
      </c>
      <c r="Q35" s="3" t="s">
        <v>32</v>
      </c>
      <c r="R35" s="3" t="s">
        <v>411</v>
      </c>
      <c r="S35" s="3" t="s">
        <v>231</v>
      </c>
      <c r="T35" t="s">
        <v>17</v>
      </c>
      <c r="U35" s="3" t="s">
        <v>135</v>
      </c>
      <c r="V35" t="s">
        <v>17</v>
      </c>
      <c r="W35" s="3"/>
      <c r="X35" s="3"/>
      <c r="Y35" s="3"/>
      <c r="Z35" s="3"/>
      <c r="AA35" s="3"/>
      <c r="AB35" s="3"/>
      <c r="AC35" s="3" t="s">
        <v>412</v>
      </c>
    </row>
    <row r="36" spans="1:29" ht="57.6" x14ac:dyDescent="0.3">
      <c r="A36" s="3" t="str">
        <f t="shared" si="0"/>
        <v>AB_ITNIC_REQ_EMPSHARESCHEME_023</v>
      </c>
      <c r="B36" s="3" t="s">
        <v>21</v>
      </c>
      <c r="C36" t="s">
        <v>22</v>
      </c>
      <c r="D36" s="3" t="s">
        <v>365</v>
      </c>
      <c r="E36" s="3" t="s">
        <v>25</v>
      </c>
      <c r="F36" s="3">
        <v>3</v>
      </c>
      <c r="G36" s="3">
        <v>0</v>
      </c>
      <c r="H36" s="3" t="s">
        <v>17</v>
      </c>
      <c r="I36" s="3" t="s">
        <v>413</v>
      </c>
      <c r="J36" s="3" t="s">
        <v>331</v>
      </c>
      <c r="K36" s="3">
        <v>1</v>
      </c>
      <c r="L36" s="3" t="s">
        <v>440</v>
      </c>
      <c r="M36" s="3" t="str">
        <f>IF(B36="","","AB"&amp;"_"&amp;IFERROR(VLOOKUP(B36,LOOKUPS!$K$2:$L$9,2,FALSE),"UNK")&amp;"_"&amp;IFERROR(VLOOKUP(C36,LOOKUPS!$N$2:$O$8,2,FALSE),"UNK")&amp;"_"&amp;UPPER(L36))</f>
        <v>AB_ITNIC_REQ_EMPSHARESCHEME</v>
      </c>
      <c r="N36" s="3">
        <f>IF(M36="","",COUNTIF($M$2:M36,M36))</f>
        <v>23</v>
      </c>
      <c r="O36" s="3" t="s">
        <v>752</v>
      </c>
      <c r="P36" s="3">
        <v>2</v>
      </c>
      <c r="Q36" s="3" t="s">
        <v>414</v>
      </c>
      <c r="R36" s="3" t="s">
        <v>406</v>
      </c>
      <c r="S36" s="3" t="s">
        <v>135</v>
      </c>
      <c r="T36" t="s">
        <v>17</v>
      </c>
      <c r="U36" s="3" t="s">
        <v>231</v>
      </c>
      <c r="V36" t="s">
        <v>17</v>
      </c>
      <c r="W36" s="3"/>
      <c r="X36" s="3"/>
      <c r="Y36" s="3"/>
      <c r="Z36" s="3"/>
      <c r="AA36" s="3"/>
      <c r="AB36" s="3"/>
      <c r="AC36" s="3" t="s">
        <v>415</v>
      </c>
    </row>
    <row r="37" spans="1:29" ht="57.6" x14ac:dyDescent="0.3">
      <c r="A37" s="3" t="str">
        <f t="shared" si="0"/>
        <v>AB_ITNIC_REQ_EMPSHARESCHEME_024</v>
      </c>
      <c r="B37" s="3" t="s">
        <v>21</v>
      </c>
      <c r="C37" t="s">
        <v>22</v>
      </c>
      <c r="D37" s="3" t="s">
        <v>365</v>
      </c>
      <c r="E37" s="3" t="s">
        <v>25</v>
      </c>
      <c r="F37" s="3">
        <v>3</v>
      </c>
      <c r="G37" s="3">
        <v>0</v>
      </c>
      <c r="H37" s="3" t="s">
        <v>17</v>
      </c>
      <c r="I37" s="3" t="s">
        <v>416</v>
      </c>
      <c r="J37" s="3" t="s">
        <v>331</v>
      </c>
      <c r="K37" s="3">
        <v>1</v>
      </c>
      <c r="L37" s="3" t="s">
        <v>440</v>
      </c>
      <c r="M37" s="3" t="str">
        <f>IF(B37="","","AB"&amp;"_"&amp;IFERROR(VLOOKUP(B37,LOOKUPS!$K$2:$L$9,2,FALSE),"UNK")&amp;"_"&amp;IFERROR(VLOOKUP(C37,LOOKUPS!$N$2:$O$8,2,FALSE),"UNK")&amp;"_"&amp;UPPER(L37))</f>
        <v>AB_ITNIC_REQ_EMPSHARESCHEME</v>
      </c>
      <c r="N37" s="3">
        <f>IF(M37="","",COUNTIF($M$2:M37,M37))</f>
        <v>24</v>
      </c>
      <c r="O37" s="3" t="s">
        <v>786</v>
      </c>
      <c r="P37" s="3">
        <v>2</v>
      </c>
      <c r="Q37" s="3" t="s">
        <v>417</v>
      </c>
      <c r="R37" s="3" t="s">
        <v>418</v>
      </c>
      <c r="S37" s="3" t="s">
        <v>231</v>
      </c>
      <c r="T37" t="s">
        <v>17</v>
      </c>
      <c r="U37" s="3" t="s">
        <v>135</v>
      </c>
      <c r="V37" t="s">
        <v>17</v>
      </c>
      <c r="W37" s="3"/>
      <c r="X37" s="3"/>
      <c r="Y37" s="3"/>
      <c r="Z37" s="3"/>
      <c r="AA37" s="3"/>
      <c r="AB37" s="3"/>
      <c r="AC37" s="3" t="s">
        <v>797</v>
      </c>
    </row>
    <row r="38" spans="1:29" ht="43.2" x14ac:dyDescent="0.3">
      <c r="A38" s="3" t="str">
        <f t="shared" si="0"/>
        <v>AB_ITNIC_REQ_EMPSHARESCHEME_025</v>
      </c>
      <c r="B38" s="3" t="s">
        <v>21</v>
      </c>
      <c r="C38" t="s">
        <v>22</v>
      </c>
      <c r="D38" s="3" t="s">
        <v>365</v>
      </c>
      <c r="E38" s="3" t="s">
        <v>25</v>
      </c>
      <c r="F38" s="3">
        <v>3</v>
      </c>
      <c r="G38" s="3">
        <v>0</v>
      </c>
      <c r="H38" s="3" t="s">
        <v>17</v>
      </c>
      <c r="I38" s="3" t="s">
        <v>419</v>
      </c>
      <c r="J38" s="3" t="s">
        <v>331</v>
      </c>
      <c r="K38" s="3">
        <v>1</v>
      </c>
      <c r="L38" s="3" t="s">
        <v>440</v>
      </c>
      <c r="M38" s="3" t="str">
        <f>IF(B38="","","AB"&amp;"_"&amp;IFERROR(VLOOKUP(B38,LOOKUPS!$K$2:$L$9,2,FALSE),"UNK")&amp;"_"&amp;IFERROR(VLOOKUP(C38,LOOKUPS!$N$2:$O$8,2,FALSE),"UNK")&amp;"_"&amp;UPPER(L38))</f>
        <v>AB_ITNIC_REQ_EMPSHARESCHEME</v>
      </c>
      <c r="N38" s="3">
        <f>IF(M38="","",COUNTIF($M$2:M38,M38))</f>
        <v>25</v>
      </c>
      <c r="O38" s="3" t="s">
        <v>787</v>
      </c>
      <c r="P38" s="3">
        <v>2</v>
      </c>
      <c r="Q38" s="3" t="s">
        <v>420</v>
      </c>
      <c r="R38" s="3" t="s">
        <v>421</v>
      </c>
      <c r="S38" s="3" t="s">
        <v>135</v>
      </c>
      <c r="T38" t="s">
        <v>17</v>
      </c>
      <c r="U38" s="3" t="s">
        <v>231</v>
      </c>
      <c r="V38" t="s">
        <v>17</v>
      </c>
      <c r="W38" s="3"/>
      <c r="X38" s="3"/>
      <c r="Y38" s="3"/>
      <c r="Z38" s="3"/>
      <c r="AA38" s="3"/>
      <c r="AB38" s="3"/>
      <c r="AC38" s="3" t="s">
        <v>798</v>
      </c>
    </row>
    <row r="39" spans="1:29" ht="57.6" x14ac:dyDescent="0.3">
      <c r="A39" s="3" t="str">
        <f t="shared" si="0"/>
        <v>AB_ITNIC_REQ_EMPSHARESCHEME_026</v>
      </c>
      <c r="B39" s="3" t="s">
        <v>21</v>
      </c>
      <c r="C39" t="s">
        <v>22</v>
      </c>
      <c r="D39" s="3" t="s">
        <v>365</v>
      </c>
      <c r="E39" s="3" t="s">
        <v>25</v>
      </c>
      <c r="F39" s="3">
        <v>3</v>
      </c>
      <c r="G39" s="3">
        <v>0</v>
      </c>
      <c r="H39" s="3" t="s">
        <v>17</v>
      </c>
      <c r="I39" s="3" t="s">
        <v>422</v>
      </c>
      <c r="J39" s="3" t="s">
        <v>331</v>
      </c>
      <c r="K39" s="3">
        <v>1</v>
      </c>
      <c r="L39" s="3" t="s">
        <v>440</v>
      </c>
      <c r="M39" s="3" t="str">
        <f>IF(B39="","","AB"&amp;"_"&amp;IFERROR(VLOOKUP(B39,LOOKUPS!$K$2:$L$9,2,FALSE),"UNK")&amp;"_"&amp;IFERROR(VLOOKUP(C39,LOOKUPS!$N$2:$O$8,2,FALSE),"UNK")&amp;"_"&amp;UPPER(L39))</f>
        <v>AB_ITNIC_REQ_EMPSHARESCHEME</v>
      </c>
      <c r="N39" s="3">
        <f>IF(M39="","",COUNTIF($M$2:M39,M39))</f>
        <v>26</v>
      </c>
      <c r="O39" s="3" t="s">
        <v>788</v>
      </c>
      <c r="P39" s="3">
        <v>2</v>
      </c>
      <c r="Q39" s="3" t="s">
        <v>423</v>
      </c>
      <c r="R39" s="3" t="s">
        <v>424</v>
      </c>
      <c r="S39" s="3" t="s">
        <v>231</v>
      </c>
      <c r="T39" t="s">
        <v>17</v>
      </c>
      <c r="U39" s="3" t="s">
        <v>135</v>
      </c>
      <c r="V39" t="s">
        <v>17</v>
      </c>
      <c r="W39" s="3"/>
      <c r="X39" s="3"/>
      <c r="Y39" s="3"/>
      <c r="Z39" s="3"/>
      <c r="AA39" s="3"/>
      <c r="AB39" s="3"/>
      <c r="AC39" s="3" t="s">
        <v>799</v>
      </c>
    </row>
    <row r="40" spans="1:29" ht="43.2" x14ac:dyDescent="0.3">
      <c r="A40" s="3" t="str">
        <f t="shared" si="0"/>
        <v>AB_ITNIC_REQ_EMPSHARESCHEME_027</v>
      </c>
      <c r="B40" s="3" t="s">
        <v>21</v>
      </c>
      <c r="C40" t="s">
        <v>22</v>
      </c>
      <c r="D40" s="3" t="s">
        <v>365</v>
      </c>
      <c r="E40" s="3" t="s">
        <v>25</v>
      </c>
      <c r="F40" s="3">
        <v>3</v>
      </c>
      <c r="G40" s="3">
        <v>0</v>
      </c>
      <c r="H40" s="3" t="s">
        <v>17</v>
      </c>
      <c r="I40" s="3" t="s">
        <v>425</v>
      </c>
      <c r="J40" s="3" t="s">
        <v>331</v>
      </c>
      <c r="K40" s="3">
        <v>1</v>
      </c>
      <c r="L40" s="3" t="s">
        <v>440</v>
      </c>
      <c r="M40" s="3" t="str">
        <f>IF(B40="","","AB"&amp;"_"&amp;IFERROR(VLOOKUP(B40,LOOKUPS!$K$2:$L$9,2,FALSE),"UNK")&amp;"_"&amp;IFERROR(VLOOKUP(C40,LOOKUPS!$N$2:$O$8,2,FALSE),"UNK")&amp;"_"&amp;UPPER(L40))</f>
        <v>AB_ITNIC_REQ_EMPSHARESCHEME</v>
      </c>
      <c r="N40" s="3">
        <f>IF(M40="","",COUNTIF($M$2:M40,M40))</f>
        <v>27</v>
      </c>
      <c r="O40" s="3" t="s">
        <v>789</v>
      </c>
      <c r="P40" s="3">
        <v>2</v>
      </c>
      <c r="Q40" s="3">
        <v>3600</v>
      </c>
      <c r="R40" s="3" t="s">
        <v>426</v>
      </c>
      <c r="S40" s="3" t="s">
        <v>135</v>
      </c>
      <c r="T40" t="s">
        <v>17</v>
      </c>
      <c r="U40" s="3" t="s">
        <v>231</v>
      </c>
      <c r="V40" t="s">
        <v>17</v>
      </c>
      <c r="W40" s="3"/>
      <c r="X40" s="3"/>
      <c r="Y40" s="3"/>
      <c r="Z40" s="3"/>
      <c r="AA40" s="3"/>
      <c r="AB40" s="3"/>
      <c r="AC40" s="3" t="s">
        <v>800</v>
      </c>
    </row>
    <row r="41" spans="1:29" ht="43.2" x14ac:dyDescent="0.3">
      <c r="A41" s="3" t="str">
        <f t="shared" si="0"/>
        <v>AB_ITNIC_REQ_EMPSHARESCHEME_028</v>
      </c>
      <c r="B41" s="3" t="s">
        <v>21</v>
      </c>
      <c r="C41" t="s">
        <v>22</v>
      </c>
      <c r="D41" s="3" t="s">
        <v>365</v>
      </c>
      <c r="E41" s="3" t="s">
        <v>25</v>
      </c>
      <c r="F41" s="3">
        <v>3</v>
      </c>
      <c r="G41" s="3">
        <v>0</v>
      </c>
      <c r="H41" s="3" t="s">
        <v>17</v>
      </c>
      <c r="I41" s="3" t="s">
        <v>427</v>
      </c>
      <c r="J41" s="3" t="s">
        <v>331</v>
      </c>
      <c r="K41" s="3">
        <v>1</v>
      </c>
      <c r="L41" s="3" t="s">
        <v>440</v>
      </c>
      <c r="M41" s="3" t="str">
        <f>IF(B41="","","AB"&amp;"_"&amp;IFERROR(VLOOKUP(B41,LOOKUPS!$K$2:$L$9,2,FALSE),"UNK")&amp;"_"&amp;IFERROR(VLOOKUP(C41,LOOKUPS!$N$2:$O$8,2,FALSE),"UNK")&amp;"_"&amp;UPPER(L41))</f>
        <v>AB_ITNIC_REQ_EMPSHARESCHEME</v>
      </c>
      <c r="N41" s="3">
        <f>IF(M41="","",COUNTIF($M$2:M41,M41))</f>
        <v>28</v>
      </c>
      <c r="O41" s="3" t="s">
        <v>790</v>
      </c>
      <c r="P41" s="3">
        <v>2</v>
      </c>
      <c r="Q41" s="3">
        <v>0.1</v>
      </c>
      <c r="R41" s="3">
        <v>1800</v>
      </c>
      <c r="S41" s="3" t="s">
        <v>231</v>
      </c>
      <c r="T41" t="s">
        <v>17</v>
      </c>
      <c r="U41" s="3" t="s">
        <v>135</v>
      </c>
      <c r="V41" t="s">
        <v>17</v>
      </c>
      <c r="W41" s="3"/>
      <c r="X41" s="3"/>
      <c r="Y41" s="3"/>
      <c r="Z41" s="3"/>
      <c r="AA41" s="3"/>
      <c r="AB41" s="3"/>
      <c r="AC41" s="3" t="s">
        <v>428</v>
      </c>
    </row>
    <row r="42" spans="1:29" ht="28.8" x14ac:dyDescent="0.3">
      <c r="A42" s="3" t="str">
        <f t="shared" si="0"/>
        <v>AB_ITNIC_REQ_EMPSHARESCHEME_029</v>
      </c>
      <c r="B42" s="3" t="s">
        <v>21</v>
      </c>
      <c r="C42" t="s">
        <v>22</v>
      </c>
      <c r="D42" s="3" t="s">
        <v>365</v>
      </c>
      <c r="E42" s="3" t="s">
        <v>25</v>
      </c>
      <c r="F42" s="3">
        <v>3</v>
      </c>
      <c r="G42" s="3">
        <v>0</v>
      </c>
      <c r="H42" s="3" t="s">
        <v>17</v>
      </c>
      <c r="I42" s="3" t="s">
        <v>429</v>
      </c>
      <c r="J42" s="3" t="s">
        <v>331</v>
      </c>
      <c r="K42" s="3">
        <v>1</v>
      </c>
      <c r="L42" s="3" t="s">
        <v>440</v>
      </c>
      <c r="M42" s="3" t="str">
        <f>IF(B42="","","AB"&amp;"_"&amp;IFERROR(VLOOKUP(B42,LOOKUPS!$K$2:$L$9,2,FALSE),"UNK")&amp;"_"&amp;IFERROR(VLOOKUP(C42,LOOKUPS!$N$2:$O$8,2,FALSE),"UNK")&amp;"_"&amp;UPPER(L42))</f>
        <v>AB_ITNIC_REQ_EMPSHARESCHEME</v>
      </c>
      <c r="N42" s="3">
        <f>IF(M42="","",COUNTIF($M$2:M42,M42))</f>
        <v>29</v>
      </c>
      <c r="O42" s="3" t="s">
        <v>791</v>
      </c>
      <c r="P42" s="3">
        <v>2</v>
      </c>
      <c r="Q42" s="3">
        <v>2</v>
      </c>
      <c r="R42" s="3">
        <v>1</v>
      </c>
      <c r="S42" s="3" t="s">
        <v>135</v>
      </c>
      <c r="T42" t="s">
        <v>17</v>
      </c>
      <c r="U42" s="3" t="s">
        <v>231</v>
      </c>
      <c r="V42" t="s">
        <v>17</v>
      </c>
      <c r="W42" s="3"/>
      <c r="X42" s="3"/>
      <c r="Y42" s="3"/>
      <c r="Z42" s="3"/>
      <c r="AA42" s="3"/>
      <c r="AB42" s="3"/>
      <c r="AC42" s="3" t="s">
        <v>801</v>
      </c>
    </row>
    <row r="43" spans="1:29" ht="28.8" x14ac:dyDescent="0.3">
      <c r="A43" s="3" t="str">
        <f t="shared" si="0"/>
        <v>AB_ITNIC_REQ_EMPSHARESCHEME_030</v>
      </c>
      <c r="B43" s="3" t="s">
        <v>21</v>
      </c>
      <c r="C43" t="s">
        <v>22</v>
      </c>
      <c r="D43" s="3" t="s">
        <v>365</v>
      </c>
      <c r="E43" s="3" t="s">
        <v>25</v>
      </c>
      <c r="F43" s="3">
        <v>3</v>
      </c>
      <c r="G43" s="3">
        <v>0</v>
      </c>
      <c r="H43" s="3" t="s">
        <v>17</v>
      </c>
      <c r="I43" s="3" t="s">
        <v>430</v>
      </c>
      <c r="J43" s="3" t="s">
        <v>331</v>
      </c>
      <c r="K43" s="3">
        <v>1</v>
      </c>
      <c r="L43" s="3" t="s">
        <v>440</v>
      </c>
      <c r="M43" s="3" t="str">
        <f>IF(B43="","","AB"&amp;"_"&amp;IFERROR(VLOOKUP(B43,LOOKUPS!$K$2:$L$9,2,FALSE),"UNK")&amp;"_"&amp;IFERROR(VLOOKUP(C43,LOOKUPS!$N$2:$O$8,2,FALSE),"UNK")&amp;"_"&amp;UPPER(L43))</f>
        <v>AB_ITNIC_REQ_EMPSHARESCHEME</v>
      </c>
      <c r="N43" s="3">
        <f>IF(M43="","",COUNTIF($M$2:M43,M43))</f>
        <v>30</v>
      </c>
      <c r="O43" s="3" t="s">
        <v>792</v>
      </c>
      <c r="P43" s="3">
        <v>2</v>
      </c>
      <c r="Q43" s="3" t="s">
        <v>372</v>
      </c>
      <c r="R43" s="3" t="s">
        <v>431</v>
      </c>
      <c r="S43" s="3" t="s">
        <v>231</v>
      </c>
      <c r="T43" t="s">
        <v>17</v>
      </c>
      <c r="U43" s="3" t="s">
        <v>135</v>
      </c>
      <c r="V43" t="s">
        <v>17</v>
      </c>
      <c r="W43" s="3"/>
      <c r="X43" s="3"/>
      <c r="Y43" s="3"/>
      <c r="Z43" s="3"/>
      <c r="AA43" s="3"/>
      <c r="AB43" s="3"/>
      <c r="AC43" s="3" t="s">
        <v>802</v>
      </c>
    </row>
    <row r="44" spans="1:29" ht="43.2" x14ac:dyDescent="0.3">
      <c r="A44" s="3" t="str">
        <f t="shared" si="0"/>
        <v>AB_ITNIC_REQ_EMPSHARESCHEME_031</v>
      </c>
      <c r="B44" s="3" t="s">
        <v>21</v>
      </c>
      <c r="C44" t="s">
        <v>22</v>
      </c>
      <c r="D44" s="3" t="s">
        <v>365</v>
      </c>
      <c r="E44" s="3" t="s">
        <v>25</v>
      </c>
      <c r="F44" s="3">
        <v>3</v>
      </c>
      <c r="G44" s="3">
        <v>0</v>
      </c>
      <c r="H44" s="3" t="s">
        <v>17</v>
      </c>
      <c r="I44" s="3" t="s">
        <v>432</v>
      </c>
      <c r="J44" s="3" t="s">
        <v>331</v>
      </c>
      <c r="K44" s="3">
        <v>1</v>
      </c>
      <c r="L44" s="3" t="s">
        <v>440</v>
      </c>
      <c r="M44" s="3" t="str">
        <f>IF(B44="","","AB"&amp;"_"&amp;IFERROR(VLOOKUP(B44,LOOKUPS!$K$2:$L$9,2,FALSE),"UNK")&amp;"_"&amp;IFERROR(VLOOKUP(C44,LOOKUPS!$N$2:$O$8,2,FALSE),"UNK")&amp;"_"&amp;UPPER(L44))</f>
        <v>AB_ITNIC_REQ_EMPSHARESCHEME</v>
      </c>
      <c r="N44" s="3">
        <f>IF(M44="","",COUNTIF($M$2:M44,M44))</f>
        <v>31</v>
      </c>
      <c r="O44" s="3" t="s">
        <v>793</v>
      </c>
      <c r="P44" s="3">
        <v>2</v>
      </c>
      <c r="Q44" s="3">
        <v>5</v>
      </c>
      <c r="R44" s="3" t="s">
        <v>414</v>
      </c>
      <c r="S44" s="3" t="s">
        <v>135</v>
      </c>
      <c r="T44" t="s">
        <v>17</v>
      </c>
      <c r="U44" s="3" t="s">
        <v>231</v>
      </c>
      <c r="V44" t="s">
        <v>17</v>
      </c>
      <c r="W44" s="3"/>
      <c r="X44" s="3"/>
      <c r="Y44" s="3"/>
      <c r="Z44" s="3"/>
      <c r="AA44" s="3"/>
      <c r="AB44" s="3"/>
      <c r="AC44" s="3" t="s">
        <v>803</v>
      </c>
    </row>
    <row r="45" spans="1:29" ht="28.8" x14ac:dyDescent="0.3">
      <c r="A45" s="3" t="str">
        <f t="shared" si="0"/>
        <v>AB_ITNIC_REQ_EMPSHARESCHEME_032</v>
      </c>
      <c r="B45" s="3" t="s">
        <v>21</v>
      </c>
      <c r="C45" t="s">
        <v>22</v>
      </c>
      <c r="D45" s="3" t="s">
        <v>365</v>
      </c>
      <c r="E45" s="3" t="s">
        <v>25</v>
      </c>
      <c r="F45" s="3">
        <v>3</v>
      </c>
      <c r="G45" s="3">
        <v>0</v>
      </c>
      <c r="H45" s="3" t="s">
        <v>17</v>
      </c>
      <c r="I45" s="3" t="s">
        <v>433</v>
      </c>
      <c r="J45" s="3" t="s">
        <v>331</v>
      </c>
      <c r="K45" s="3">
        <v>1</v>
      </c>
      <c r="L45" s="3" t="s">
        <v>440</v>
      </c>
      <c r="M45" s="3" t="str">
        <f>IF(B45="","","AB"&amp;"_"&amp;IFERROR(VLOOKUP(B45,LOOKUPS!$K$2:$L$9,2,FALSE),"UNK")&amp;"_"&amp;IFERROR(VLOOKUP(C45,LOOKUPS!$N$2:$O$8,2,FALSE),"UNK")&amp;"_"&amp;UPPER(L45))</f>
        <v>AB_ITNIC_REQ_EMPSHARESCHEME</v>
      </c>
      <c r="N45" s="3">
        <f>IF(M45="","",COUNTIF($M$2:M45,M45))</f>
        <v>32</v>
      </c>
      <c r="O45" s="3" t="s">
        <v>794</v>
      </c>
      <c r="P45" s="3">
        <v>2</v>
      </c>
      <c r="Q45" s="3" t="s">
        <v>434</v>
      </c>
      <c r="R45" s="3">
        <v>3</v>
      </c>
      <c r="S45" s="3" t="s">
        <v>231</v>
      </c>
      <c r="T45" t="s">
        <v>17</v>
      </c>
      <c r="U45" s="3" t="s">
        <v>135</v>
      </c>
      <c r="V45" t="s">
        <v>17</v>
      </c>
      <c r="W45" s="3"/>
      <c r="X45" s="3"/>
      <c r="Y45" s="3"/>
      <c r="Z45" s="3"/>
      <c r="AA45" s="3"/>
      <c r="AB45" s="3"/>
      <c r="AC45" s="3" t="s">
        <v>804</v>
      </c>
    </row>
    <row r="46" spans="1:29" ht="43.2" x14ac:dyDescent="0.3">
      <c r="A46" s="3" t="str">
        <f t="shared" si="0"/>
        <v>AB_ITNIC_REQ_EMPSHARESCHEME_033</v>
      </c>
      <c r="B46" s="3" t="s">
        <v>21</v>
      </c>
      <c r="C46" t="s">
        <v>22</v>
      </c>
      <c r="D46" s="3" t="s">
        <v>365</v>
      </c>
      <c r="E46" s="3" t="s">
        <v>25</v>
      </c>
      <c r="F46" s="3">
        <v>3</v>
      </c>
      <c r="G46" s="3">
        <v>0</v>
      </c>
      <c r="H46" s="3" t="s">
        <v>17</v>
      </c>
      <c r="I46" s="3" t="s">
        <v>435</v>
      </c>
      <c r="J46" s="3" t="s">
        <v>331</v>
      </c>
      <c r="K46" s="3">
        <v>1</v>
      </c>
      <c r="L46" s="3" t="s">
        <v>440</v>
      </c>
      <c r="M46" s="3" t="str">
        <f>IF(B46="","","AB"&amp;"_"&amp;IFERROR(VLOOKUP(B46,LOOKUPS!$K$2:$L$9,2,FALSE),"UNK")&amp;"_"&amp;IFERROR(VLOOKUP(C46,LOOKUPS!$N$2:$O$8,2,FALSE),"UNK")&amp;"_"&amp;UPPER(L46))</f>
        <v>AB_ITNIC_REQ_EMPSHARESCHEME</v>
      </c>
      <c r="N46" s="3">
        <f>IF(M46="","",COUNTIF($M$2:M46,M46))</f>
        <v>33</v>
      </c>
      <c r="O46" s="3" t="s">
        <v>795</v>
      </c>
      <c r="P46" s="3">
        <v>2</v>
      </c>
      <c r="Q46" s="3" t="s">
        <v>436</v>
      </c>
      <c r="R46" s="3" t="s">
        <v>434</v>
      </c>
      <c r="S46" s="3" t="s">
        <v>135</v>
      </c>
      <c r="T46" t="s">
        <v>17</v>
      </c>
      <c r="U46" s="3" t="s">
        <v>231</v>
      </c>
      <c r="V46" t="s">
        <v>17</v>
      </c>
      <c r="W46" s="3"/>
      <c r="X46" s="3"/>
      <c r="Y46" s="3"/>
      <c r="Z46" s="3"/>
      <c r="AA46" s="3"/>
      <c r="AB46" s="3"/>
      <c r="AC46" s="3" t="s">
        <v>437</v>
      </c>
    </row>
    <row r="47" spans="1:29" ht="100.8" x14ac:dyDescent="0.3">
      <c r="A47" s="3" t="str">
        <f t="shared" si="0"/>
        <v>AB_ITNIC_REQ_EMPSHARESCHEME_034</v>
      </c>
      <c r="B47" s="3" t="s">
        <v>21</v>
      </c>
      <c r="C47" t="s">
        <v>22</v>
      </c>
      <c r="D47" s="3" t="s">
        <v>365</v>
      </c>
      <c r="E47" s="3" t="s">
        <v>25</v>
      </c>
      <c r="F47" s="3">
        <v>3</v>
      </c>
      <c r="G47" s="3">
        <v>0</v>
      </c>
      <c r="H47" s="3" t="s">
        <v>17</v>
      </c>
      <c r="I47" s="3" t="s">
        <v>438</v>
      </c>
      <c r="J47" s="3" t="s">
        <v>331</v>
      </c>
      <c r="K47" s="3">
        <v>1</v>
      </c>
      <c r="L47" s="3" t="s">
        <v>440</v>
      </c>
      <c r="M47" s="3" t="str">
        <f>IF(B47="","","AB"&amp;"_"&amp;IFERROR(VLOOKUP(B47,LOOKUPS!$K$2:$L$9,2,FALSE),"UNK")&amp;"_"&amp;IFERROR(VLOOKUP(C47,LOOKUPS!$N$2:$O$8,2,FALSE),"UNK")&amp;"_"&amp;UPPER(L47))</f>
        <v>AB_ITNIC_REQ_EMPSHARESCHEME</v>
      </c>
      <c r="N47" s="3">
        <f>IF(M47="","",COUNTIF($M$2:M47,M47))</f>
        <v>34</v>
      </c>
      <c r="O47" s="3" t="s">
        <v>796</v>
      </c>
      <c r="P47" s="3">
        <v>2</v>
      </c>
      <c r="Q47" s="3" t="s">
        <v>370</v>
      </c>
      <c r="R47" s="3" t="s">
        <v>369</v>
      </c>
      <c r="S47" s="3" t="s">
        <v>231</v>
      </c>
      <c r="T47" t="s">
        <v>17</v>
      </c>
      <c r="U47" s="3" t="s">
        <v>135</v>
      </c>
      <c r="V47" t="s">
        <v>17</v>
      </c>
      <c r="W47" s="3"/>
      <c r="X47" s="3"/>
      <c r="Y47" s="3"/>
      <c r="Z47" s="3"/>
      <c r="AA47" s="3"/>
      <c r="AB47" s="3"/>
      <c r="AC47" s="3" t="s">
        <v>439</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D1" workbookViewId="0">
      <pane ySplit="1" topLeftCell="A6" activePane="bottomLeft" state="frozen"/>
      <selection pane="bottomLeft" activeCell="O12" sqref="O1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144</v>
      </c>
      <c r="P2" s="3">
        <v>4</v>
      </c>
      <c r="Q2" s="3" t="s">
        <v>145</v>
      </c>
      <c r="R2" s="3">
        <v>1000000</v>
      </c>
      <c r="S2" s="3" t="s">
        <v>24</v>
      </c>
      <c r="T2" s="3" t="s">
        <v>146</v>
      </c>
      <c r="U2" s="3">
        <v>0.3</v>
      </c>
      <c r="V2" s="3" t="s">
        <v>24</v>
      </c>
      <c r="W2" s="3" t="s">
        <v>147</v>
      </c>
      <c r="X2" s="3">
        <v>200000</v>
      </c>
      <c r="Y2" s="3" t="s">
        <v>24</v>
      </c>
      <c r="Z2" s="3" t="s">
        <v>148</v>
      </c>
      <c r="AA2" s="3">
        <v>0.5</v>
      </c>
      <c r="AB2" s="3" t="s">
        <v>24</v>
      </c>
      <c r="AC2" s="3"/>
      <c r="AD2" s="3"/>
      <c r="AE2" s="3"/>
      <c r="AF2" s="3" t="s">
        <v>17</v>
      </c>
      <c r="AG2" s="3" t="s">
        <v>149</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150</v>
      </c>
      <c r="P3" s="3">
        <v>3</v>
      </c>
      <c r="Q3" s="3" t="s">
        <v>151</v>
      </c>
      <c r="R3" s="3">
        <v>1</v>
      </c>
      <c r="S3" s="3" t="s">
        <v>24</v>
      </c>
      <c r="T3" s="3" t="s">
        <v>152</v>
      </c>
      <c r="U3" s="3">
        <v>3</v>
      </c>
      <c r="V3" s="3" t="s">
        <v>24</v>
      </c>
      <c r="W3" s="3" t="s">
        <v>153</v>
      </c>
      <c r="X3" s="3" t="s">
        <v>154</v>
      </c>
      <c r="Y3" s="3" t="s">
        <v>24</v>
      </c>
      <c r="Z3" s="3"/>
      <c r="AA3" s="3"/>
      <c r="AB3" s="3"/>
      <c r="AC3" s="3"/>
      <c r="AD3" s="3"/>
      <c r="AE3" s="3"/>
      <c r="AF3" s="3" t="s">
        <v>17</v>
      </c>
      <c r="AG3" s="3" t="s">
        <v>834</v>
      </c>
    </row>
    <row r="4" spans="1:33" ht="72" x14ac:dyDescent="0.3">
      <c r="A4" s="3" t="str">
        <f t="shared" si="0"/>
        <v>LIST_ITNIC_REQ_PSC_001</v>
      </c>
      <c r="B4" s="3" t="s">
        <v>21</v>
      </c>
      <c r="C4" s="3" t="s">
        <v>22</v>
      </c>
      <c r="D4" s="3" t="s">
        <v>160</v>
      </c>
      <c r="E4" s="3" t="s">
        <v>31</v>
      </c>
      <c r="F4" s="3">
        <v>3</v>
      </c>
      <c r="G4" s="3" t="s">
        <v>16</v>
      </c>
      <c r="H4" s="3" t="s">
        <v>17</v>
      </c>
      <c r="I4" s="3" t="s">
        <v>170</v>
      </c>
      <c r="J4" s="3" t="s">
        <v>128</v>
      </c>
      <c r="K4" s="3">
        <v>1</v>
      </c>
      <c r="L4" s="3" t="s">
        <v>162</v>
      </c>
      <c r="M4" s="3" t="str">
        <f>IF(B4="","","LIST"&amp;"_"&amp;IFERROR(VLOOKUP(B4,LOOKUPS!$K$2:$L$9,2,FALSE),"UNK")&amp;"_"&amp;IFERROR(VLOOKUP(C4,LOOKUPS!$N$2:$O$8,2,FALSE),"UNK")&amp;"_"&amp;UPPER(L4))</f>
        <v>LIST_ITNIC_REQ_PSC</v>
      </c>
      <c r="N4" s="3">
        <f>IF(M4="","",COUNTIF($M$2:M4,M4))</f>
        <v>1</v>
      </c>
      <c r="O4" s="3" t="s">
        <v>178</v>
      </c>
      <c r="P4" s="3">
        <v>5</v>
      </c>
      <c r="Q4" s="3" t="s">
        <v>179</v>
      </c>
      <c r="R4" s="3" t="s">
        <v>180</v>
      </c>
      <c r="S4" s="3" t="s">
        <v>24</v>
      </c>
      <c r="T4" s="3" t="s">
        <v>181</v>
      </c>
      <c r="U4" s="3" t="s">
        <v>182</v>
      </c>
      <c r="V4" s="3" t="s">
        <v>24</v>
      </c>
      <c r="W4" s="3" t="s">
        <v>183</v>
      </c>
      <c r="X4" s="3" t="s">
        <v>184</v>
      </c>
      <c r="Y4" s="3" t="s">
        <v>24</v>
      </c>
      <c r="Z4" s="3" t="s">
        <v>185</v>
      </c>
      <c r="AA4" s="3" t="s">
        <v>186</v>
      </c>
      <c r="AB4" s="3" t="s">
        <v>24</v>
      </c>
      <c r="AC4" s="3" t="s">
        <v>187</v>
      </c>
      <c r="AD4" s="3" t="s">
        <v>188</v>
      </c>
      <c r="AE4" s="3" t="s">
        <v>24</v>
      </c>
      <c r="AF4" s="3" t="s">
        <v>17</v>
      </c>
      <c r="AG4" s="3" t="s">
        <v>835</v>
      </c>
    </row>
    <row r="5" spans="1:33" ht="100.8" x14ac:dyDescent="0.3">
      <c r="A5" s="3" t="str">
        <f t="shared" si="0"/>
        <v>LIST_ITNIC_REQ_PSC_002</v>
      </c>
      <c r="B5" s="3" t="s">
        <v>21</v>
      </c>
      <c r="C5" s="3" t="s">
        <v>22</v>
      </c>
      <c r="D5" s="3" t="s">
        <v>160</v>
      </c>
      <c r="E5" s="3" t="s">
        <v>31</v>
      </c>
      <c r="F5" s="3">
        <v>3</v>
      </c>
      <c r="G5" s="3" t="s">
        <v>16</v>
      </c>
      <c r="H5" s="3" t="s">
        <v>17</v>
      </c>
      <c r="I5" s="3" t="s">
        <v>189</v>
      </c>
      <c r="J5" s="3" t="s">
        <v>128</v>
      </c>
      <c r="K5" s="3">
        <v>1</v>
      </c>
      <c r="L5" s="3" t="s">
        <v>162</v>
      </c>
      <c r="M5" s="3" t="str">
        <f>IF(B5="","","LIST"&amp;"_"&amp;IFERROR(VLOOKUP(B5,LOOKUPS!$K$2:$L$9,2,FALSE),"UNK")&amp;"_"&amp;IFERROR(VLOOKUP(C5,LOOKUPS!$N$2:$O$8,2,FALSE),"UNK")&amp;"_"&amp;UPPER(L5))</f>
        <v>LIST_ITNIC_REQ_PSC</v>
      </c>
      <c r="N5" s="3">
        <f>IF(M5="","",COUNTIF($M$2:M5,M5))</f>
        <v>2</v>
      </c>
      <c r="O5" s="3" t="s">
        <v>190</v>
      </c>
      <c r="P5" s="3">
        <v>4</v>
      </c>
      <c r="Q5" s="3" t="s">
        <v>191</v>
      </c>
      <c r="R5" s="3" t="s">
        <v>192</v>
      </c>
      <c r="S5" s="3" t="s">
        <v>24</v>
      </c>
      <c r="T5" s="3" t="s">
        <v>193</v>
      </c>
      <c r="U5" s="3" t="s">
        <v>194</v>
      </c>
      <c r="V5" s="3" t="s">
        <v>24</v>
      </c>
      <c r="W5" s="3" t="s">
        <v>195</v>
      </c>
      <c r="X5" s="3">
        <v>45</v>
      </c>
      <c r="Y5" s="3" t="s">
        <v>24</v>
      </c>
      <c r="Z5" s="3" t="s">
        <v>196</v>
      </c>
      <c r="AA5" s="3" t="s">
        <v>197</v>
      </c>
      <c r="AB5" s="3" t="s">
        <v>24</v>
      </c>
      <c r="AC5" s="3"/>
      <c r="AD5" s="3"/>
      <c r="AE5" s="3"/>
      <c r="AF5" s="3" t="s">
        <v>17</v>
      </c>
      <c r="AG5" s="3" t="s">
        <v>836</v>
      </c>
    </row>
    <row r="6" spans="1:33" ht="57.6" x14ac:dyDescent="0.3">
      <c r="A6" s="3" t="str">
        <f t="shared" si="0"/>
        <v>LIST_ITNIC_REQ_SHS_001</v>
      </c>
      <c r="B6" t="s">
        <v>21</v>
      </c>
      <c r="C6" t="s">
        <v>22</v>
      </c>
      <c r="D6" t="s">
        <v>249</v>
      </c>
      <c r="E6" t="s">
        <v>31</v>
      </c>
      <c r="F6">
        <v>3</v>
      </c>
      <c r="G6" t="s">
        <v>16</v>
      </c>
      <c r="H6" t="s">
        <v>17</v>
      </c>
      <c r="I6" t="s">
        <v>250</v>
      </c>
      <c r="J6" t="s">
        <v>128</v>
      </c>
      <c r="K6">
        <v>1</v>
      </c>
      <c r="L6" t="s">
        <v>205</v>
      </c>
      <c r="M6" s="3" t="str">
        <f>IF(B6="","","LIST"&amp;"_"&amp;IFERROR(VLOOKUP(B6,LOOKUPS!$K$2:$L$9,2,FALSE),"UNK")&amp;"_"&amp;IFERROR(VLOOKUP(C6,LOOKUPS!$N$2:$O$8,2,FALSE),"UNK")&amp;"_"&amp;UPPER(L6))</f>
        <v>LIST_ITNIC_REQ_SHS</v>
      </c>
      <c r="N6" s="3">
        <f>IF(M6="","",COUNTIF($M$2:M6,M6))</f>
        <v>1</v>
      </c>
      <c r="O6" t="s">
        <v>251</v>
      </c>
      <c r="P6">
        <v>3</v>
      </c>
      <c r="Q6" t="s">
        <v>252</v>
      </c>
      <c r="R6" t="s">
        <v>253</v>
      </c>
      <c r="S6" t="s">
        <v>24</v>
      </c>
      <c r="T6" t="s">
        <v>254</v>
      </c>
      <c r="U6" t="s">
        <v>255</v>
      </c>
      <c r="V6" t="s">
        <v>24</v>
      </c>
      <c r="W6" t="s">
        <v>256</v>
      </c>
      <c r="X6" t="s">
        <v>257</v>
      </c>
      <c r="Y6" t="s">
        <v>24</v>
      </c>
      <c r="AF6" t="s">
        <v>17</v>
      </c>
      <c r="AG6" s="6" t="s">
        <v>258</v>
      </c>
    </row>
    <row r="7" spans="1:33" ht="100.8" x14ac:dyDescent="0.3">
      <c r="A7" s="3" t="str">
        <f t="shared" si="0"/>
        <v>LIST_ITNIC_REQ_SHS_002</v>
      </c>
      <c r="B7" s="3" t="s">
        <v>21</v>
      </c>
      <c r="C7" s="3" t="s">
        <v>22</v>
      </c>
      <c r="D7" s="3" t="s">
        <v>806</v>
      </c>
      <c r="E7" s="3" t="s">
        <v>31</v>
      </c>
      <c r="F7" s="3">
        <v>3</v>
      </c>
      <c r="G7" s="3" t="s">
        <v>16</v>
      </c>
      <c r="H7" s="3" t="s">
        <v>17</v>
      </c>
      <c r="I7" s="3" t="s">
        <v>216</v>
      </c>
      <c r="J7" s="3" t="s">
        <v>128</v>
      </c>
      <c r="K7" s="3">
        <v>1</v>
      </c>
      <c r="L7" s="3" t="s">
        <v>205</v>
      </c>
      <c r="M7" s="3" t="str">
        <f>IF(B7="","","LIST"&amp;"_"&amp;IFERROR(VLOOKUP(B7,LOOKUPS!$K$2:$L$9,2,FALSE),"UNK")&amp;"_"&amp;IFERROR(VLOOKUP(C7,LOOKUPS!$N$2:$O$8,2,FALSE),"UNK")&amp;"_"&amp;UPPER(L7))</f>
        <v>LIST_ITNIC_REQ_SHS</v>
      </c>
      <c r="N7" s="3">
        <f>IF(M7="","",COUNTIF($M$2:M7,M7))</f>
        <v>2</v>
      </c>
      <c r="O7" s="3" t="s">
        <v>784</v>
      </c>
      <c r="P7" s="3">
        <v>5</v>
      </c>
      <c r="Q7" s="3" t="s">
        <v>217</v>
      </c>
      <c r="R7" s="3">
        <v>60000</v>
      </c>
      <c r="S7" s="3" t="s">
        <v>24</v>
      </c>
      <c r="T7" s="3" t="s">
        <v>218</v>
      </c>
      <c r="U7" s="3">
        <v>3</v>
      </c>
      <c r="V7" s="3" t="s">
        <v>24</v>
      </c>
      <c r="W7" s="3" t="s">
        <v>219</v>
      </c>
      <c r="X7" s="3">
        <v>10</v>
      </c>
      <c r="Y7" s="3" t="s">
        <v>24</v>
      </c>
      <c r="Z7" s="3" t="s">
        <v>220</v>
      </c>
      <c r="AA7" s="3">
        <v>250000</v>
      </c>
      <c r="AB7" s="3" t="s">
        <v>24</v>
      </c>
      <c r="AC7" s="3" t="s">
        <v>221</v>
      </c>
      <c r="AD7" s="3">
        <v>3000000</v>
      </c>
      <c r="AE7" s="3" t="s">
        <v>24</v>
      </c>
      <c r="AF7" s="3" t="s">
        <v>17</v>
      </c>
      <c r="AG7" s="3" t="s">
        <v>837</v>
      </c>
    </row>
    <row r="8" spans="1:33" ht="115.2" x14ac:dyDescent="0.3">
      <c r="A8" s="3" t="str">
        <f t="shared" si="0"/>
        <v>LIST_ITNIC_REQ_SHS_003</v>
      </c>
      <c r="B8" s="3" t="s">
        <v>21</v>
      </c>
      <c r="C8" s="3" t="s">
        <v>22</v>
      </c>
      <c r="D8" s="3" t="s">
        <v>203</v>
      </c>
      <c r="E8" s="3" t="s">
        <v>31</v>
      </c>
      <c r="F8" s="3">
        <v>3</v>
      </c>
      <c r="G8" s="3" t="s">
        <v>16</v>
      </c>
      <c r="H8" s="3" t="s">
        <v>17</v>
      </c>
      <c r="I8" s="3" t="s">
        <v>222</v>
      </c>
      <c r="J8" s="3" t="s">
        <v>128</v>
      </c>
      <c r="K8" s="3">
        <v>1</v>
      </c>
      <c r="L8" s="3" t="s">
        <v>205</v>
      </c>
      <c r="M8" s="3" t="str">
        <f>IF(B8="","","LIST"&amp;"_"&amp;IFERROR(VLOOKUP(B8,LOOKUPS!$K$2:$L$9,2,FALSE),"UNK")&amp;"_"&amp;IFERROR(VLOOKUP(C8,LOOKUPS!$N$2:$O$8,2,FALSE),"UNK")&amp;"_"&amp;UPPER(L8))</f>
        <v>LIST_ITNIC_REQ_SHS</v>
      </c>
      <c r="N8" s="3">
        <f>IF(M8="","",COUNTIF($M$2:M8,M8))</f>
        <v>3</v>
      </c>
      <c r="O8" s="3" t="s">
        <v>805</v>
      </c>
      <c r="P8" s="3">
        <v>5</v>
      </c>
      <c r="Q8" s="3" t="s">
        <v>223</v>
      </c>
      <c r="R8" s="3">
        <v>5</v>
      </c>
      <c r="S8" s="3" t="s">
        <v>24</v>
      </c>
      <c r="T8" s="3" t="s">
        <v>224</v>
      </c>
      <c r="U8" s="3">
        <v>3</v>
      </c>
      <c r="V8" s="3" t="s">
        <v>24</v>
      </c>
      <c r="W8" s="3" t="s">
        <v>225</v>
      </c>
      <c r="X8" s="3" t="s">
        <v>226</v>
      </c>
      <c r="Y8" s="3" t="s">
        <v>24</v>
      </c>
      <c r="Z8" s="3" t="s">
        <v>227</v>
      </c>
      <c r="AA8" s="3">
        <v>3</v>
      </c>
      <c r="AB8" s="3" t="s">
        <v>24</v>
      </c>
      <c r="AC8" s="3" t="s">
        <v>228</v>
      </c>
      <c r="AD8" s="3">
        <v>5</v>
      </c>
      <c r="AE8" s="3" t="s">
        <v>24</v>
      </c>
      <c r="AF8" s="3" t="s">
        <v>17</v>
      </c>
      <c r="AG8" s="3" t="s">
        <v>838</v>
      </c>
    </row>
    <row r="9" spans="1:33" ht="28.8" x14ac:dyDescent="0.3">
      <c r="A9" s="3" t="str">
        <f t="shared" si="0"/>
        <v>LIST_CGT_REQ_SPLITYR_001</v>
      </c>
      <c r="B9" t="s">
        <v>28</v>
      </c>
      <c r="C9" t="s">
        <v>22</v>
      </c>
      <c r="D9" t="s">
        <v>441</v>
      </c>
      <c r="E9" t="s">
        <v>31</v>
      </c>
      <c r="F9">
        <v>3</v>
      </c>
      <c r="G9" t="s">
        <v>16</v>
      </c>
      <c r="H9" t="s">
        <v>17</v>
      </c>
      <c r="I9" t="s">
        <v>442</v>
      </c>
      <c r="J9" t="s">
        <v>443</v>
      </c>
      <c r="K9">
        <v>1</v>
      </c>
      <c r="L9" t="s">
        <v>444</v>
      </c>
      <c r="M9" s="3" t="str">
        <f>IF(B9="","","LIST"&amp;"_"&amp;IFERROR(VLOOKUP(B9,LOOKUPS!$K$2:$L$9,2,FALSE),"UNK")&amp;"_"&amp;IFERROR(VLOOKUP(C9,LOOKUPS!$N$2:$O$8,2,FALSE),"UNK")&amp;"_"&amp;UPPER(L9))</f>
        <v>LIST_CGT_REQ_SPLITYR</v>
      </c>
      <c r="N9" s="3">
        <f>IF(M9="","",COUNTIF($M$2:M9,M9))</f>
        <v>1</v>
      </c>
      <c r="O9" t="s">
        <v>445</v>
      </c>
      <c r="P9">
        <v>2</v>
      </c>
      <c r="Q9" t="s">
        <v>446</v>
      </c>
      <c r="R9" t="s">
        <v>447</v>
      </c>
      <c r="S9" t="s">
        <v>24</v>
      </c>
      <c r="T9" t="s">
        <v>448</v>
      </c>
      <c r="U9" t="s">
        <v>449</v>
      </c>
      <c r="V9" t="s">
        <v>24</v>
      </c>
      <c r="AF9" t="s">
        <v>17</v>
      </c>
      <c r="AG9" t="s">
        <v>450</v>
      </c>
    </row>
    <row r="10" spans="1:33" ht="28.8" x14ac:dyDescent="0.3">
      <c r="A10" s="3" t="str">
        <f t="shared" si="0"/>
        <v>LIST_CGT_REQ_SPLITYR_002</v>
      </c>
      <c r="B10" t="s">
        <v>28</v>
      </c>
      <c r="C10" t="s">
        <v>22</v>
      </c>
      <c r="D10" t="s">
        <v>441</v>
      </c>
      <c r="E10" t="s">
        <v>31</v>
      </c>
      <c r="F10">
        <v>3</v>
      </c>
      <c r="G10" t="s">
        <v>16</v>
      </c>
      <c r="H10" t="s">
        <v>17</v>
      </c>
      <c r="I10" t="s">
        <v>451</v>
      </c>
      <c r="J10" t="s">
        <v>443</v>
      </c>
      <c r="K10">
        <v>1</v>
      </c>
      <c r="L10" t="s">
        <v>444</v>
      </c>
      <c r="M10" s="3" t="str">
        <f>IF(B10="","","LIST"&amp;"_"&amp;IFERROR(VLOOKUP(B10,LOOKUPS!$K$2:$L$9,2,FALSE),"UNK")&amp;"_"&amp;IFERROR(VLOOKUP(C10,LOOKUPS!$N$2:$O$8,2,FALSE),"UNK")&amp;"_"&amp;UPPER(L10))</f>
        <v>LIST_CGT_REQ_SPLITYR</v>
      </c>
      <c r="N10" s="3">
        <f>IF(M10="","",COUNTIF($M$2:M10,M10))</f>
        <v>2</v>
      </c>
      <c r="O10" t="s">
        <v>452</v>
      </c>
      <c r="P10">
        <v>2</v>
      </c>
      <c r="Q10" t="s">
        <v>453</v>
      </c>
      <c r="R10" t="s">
        <v>454</v>
      </c>
      <c r="S10" t="s">
        <v>24</v>
      </c>
      <c r="T10" t="s">
        <v>455</v>
      </c>
      <c r="U10" t="s">
        <v>456</v>
      </c>
      <c r="V10" t="s">
        <v>24</v>
      </c>
      <c r="AF10" t="s">
        <v>17</v>
      </c>
      <c r="AG10" t="s">
        <v>457</v>
      </c>
    </row>
    <row r="11" spans="1:33" ht="28.8" x14ac:dyDescent="0.3">
      <c r="A11" s="3" t="str">
        <f t="shared" si="0"/>
        <v>LIST_CGT_REQ_SPLITYR_003</v>
      </c>
      <c r="B11" t="s">
        <v>28</v>
      </c>
      <c r="C11" t="s">
        <v>22</v>
      </c>
      <c r="D11" t="s">
        <v>441</v>
      </c>
      <c r="E11" t="s">
        <v>31</v>
      </c>
      <c r="F11">
        <v>3</v>
      </c>
      <c r="G11" t="s">
        <v>16</v>
      </c>
      <c r="H11" t="s">
        <v>17</v>
      </c>
      <c r="I11" t="s">
        <v>458</v>
      </c>
      <c r="J11" t="s">
        <v>443</v>
      </c>
      <c r="K11">
        <v>1</v>
      </c>
      <c r="L11" t="s">
        <v>444</v>
      </c>
      <c r="M11" s="3" t="str">
        <f>IF(B11="","","LIST"&amp;"_"&amp;IFERROR(VLOOKUP(B11,LOOKUPS!$K$2:$L$9,2,FALSE),"UNK")&amp;"_"&amp;IFERROR(VLOOKUP(C11,LOOKUPS!$N$2:$O$8,2,FALSE),"UNK")&amp;"_"&amp;UPPER(L11))</f>
        <v>LIST_CGT_REQ_SPLITYR</v>
      </c>
      <c r="N11" s="3">
        <f>IF(M11="","",COUNTIF($M$2:M11,M11))</f>
        <v>3</v>
      </c>
      <c r="O11" t="s">
        <v>841</v>
      </c>
      <c r="P11">
        <v>3</v>
      </c>
      <c r="Q11" t="s">
        <v>459</v>
      </c>
      <c r="R11" t="s">
        <v>394</v>
      </c>
      <c r="S11" t="s">
        <v>24</v>
      </c>
      <c r="T11" t="s">
        <v>460</v>
      </c>
      <c r="U11" t="s">
        <v>461</v>
      </c>
      <c r="V11" t="s">
        <v>24</v>
      </c>
      <c r="W11" t="s">
        <v>462</v>
      </c>
      <c r="X11" t="s">
        <v>463</v>
      </c>
      <c r="Y11" t="s">
        <v>24</v>
      </c>
      <c r="AF11" t="s">
        <v>17</v>
      </c>
      <c r="AG11" t="s">
        <v>464</v>
      </c>
    </row>
    <row r="12" spans="1:33" ht="28.8" x14ac:dyDescent="0.3">
      <c r="A12" s="3" t="str">
        <f t="shared" si="0"/>
        <v>LIST_CGT_REQ_SPLITYR_004</v>
      </c>
      <c r="B12" t="s">
        <v>28</v>
      </c>
      <c r="C12" t="s">
        <v>22</v>
      </c>
      <c r="D12" t="s">
        <v>441</v>
      </c>
      <c r="E12" t="s">
        <v>31</v>
      </c>
      <c r="F12">
        <v>3</v>
      </c>
      <c r="G12" t="s">
        <v>16</v>
      </c>
      <c r="H12" t="s">
        <v>17</v>
      </c>
      <c r="I12" t="s">
        <v>465</v>
      </c>
      <c r="J12" t="s">
        <v>443</v>
      </c>
      <c r="K12">
        <v>1</v>
      </c>
      <c r="L12" t="s">
        <v>444</v>
      </c>
      <c r="M12" s="3" t="str">
        <f>IF(B12="","","LIST"&amp;"_"&amp;IFERROR(VLOOKUP(B12,LOOKUPS!$K$2:$L$9,2,FALSE),"UNK")&amp;"_"&amp;IFERROR(VLOOKUP(C12,LOOKUPS!$N$2:$O$8,2,FALSE),"UNK")&amp;"_"&amp;UPPER(L12))</f>
        <v>LIST_CGT_REQ_SPLITYR</v>
      </c>
      <c r="N12" s="3">
        <f>IF(M12="","",COUNTIF($M$2:M12,M12))</f>
        <v>4</v>
      </c>
      <c r="O12" t="s">
        <v>466</v>
      </c>
      <c r="P12">
        <v>2</v>
      </c>
      <c r="Q12" t="s">
        <v>467</v>
      </c>
      <c r="R12" t="s">
        <v>468</v>
      </c>
      <c r="S12" t="s">
        <v>24</v>
      </c>
      <c r="T12" t="s">
        <v>469</v>
      </c>
      <c r="U12" t="s">
        <v>470</v>
      </c>
      <c r="V12" t="s">
        <v>24</v>
      </c>
      <c r="AF12" t="s">
        <v>17</v>
      </c>
      <c r="AG12" t="s">
        <v>471</v>
      </c>
    </row>
    <row r="13" spans="1:33" ht="28.8" x14ac:dyDescent="0.3">
      <c r="A13" s="3" t="str">
        <f t="shared" si="0"/>
        <v>LIST_CGT_REQ_SPLITYR_005</v>
      </c>
      <c r="B13" t="s">
        <v>28</v>
      </c>
      <c r="C13" t="s">
        <v>22</v>
      </c>
      <c r="D13" t="s">
        <v>441</v>
      </c>
      <c r="E13" t="s">
        <v>31</v>
      </c>
      <c r="F13">
        <v>3</v>
      </c>
      <c r="G13" t="s">
        <v>16</v>
      </c>
      <c r="H13" t="s">
        <v>17</v>
      </c>
      <c r="I13" t="s">
        <v>472</v>
      </c>
      <c r="J13" t="s">
        <v>443</v>
      </c>
      <c r="K13">
        <v>1</v>
      </c>
      <c r="L13" t="s">
        <v>444</v>
      </c>
      <c r="M13" s="3" t="str">
        <f>IF(B13="","","LIST"&amp;"_"&amp;IFERROR(VLOOKUP(B13,LOOKUPS!$K$2:$L$9,2,FALSE),"UNK")&amp;"_"&amp;IFERROR(VLOOKUP(C13,LOOKUPS!$N$2:$O$8,2,FALSE),"UNK")&amp;"_"&amp;UPPER(L13))</f>
        <v>LIST_CGT_REQ_SPLITYR</v>
      </c>
      <c r="N13" s="3">
        <f>IF(M13="","",COUNTIF($M$2:M13,M13))</f>
        <v>5</v>
      </c>
      <c r="O13" t="s">
        <v>473</v>
      </c>
      <c r="P13">
        <v>2</v>
      </c>
      <c r="Q13" t="s">
        <v>474</v>
      </c>
      <c r="R13" t="s">
        <v>454</v>
      </c>
      <c r="S13" t="s">
        <v>24</v>
      </c>
      <c r="T13" t="s">
        <v>475</v>
      </c>
      <c r="U13" t="s">
        <v>476</v>
      </c>
      <c r="V13" t="s">
        <v>24</v>
      </c>
      <c r="AF13" t="s">
        <v>17</v>
      </c>
      <c r="AG13" t="s">
        <v>477</v>
      </c>
    </row>
    <row r="14" spans="1:33" ht="28.8" x14ac:dyDescent="0.3">
      <c r="A14" s="3" t="str">
        <f t="shared" si="0"/>
        <v>LIST_CGT_REQ_SPLITYR_006</v>
      </c>
      <c r="B14" t="s">
        <v>28</v>
      </c>
      <c r="C14" t="s">
        <v>22</v>
      </c>
      <c r="D14" t="s">
        <v>441</v>
      </c>
      <c r="E14" t="s">
        <v>31</v>
      </c>
      <c r="F14">
        <v>3</v>
      </c>
      <c r="G14" t="s">
        <v>16</v>
      </c>
      <c r="H14" t="s">
        <v>17</v>
      </c>
      <c r="I14" t="s">
        <v>478</v>
      </c>
      <c r="J14" t="s">
        <v>443</v>
      </c>
      <c r="K14">
        <v>1</v>
      </c>
      <c r="L14" t="s">
        <v>444</v>
      </c>
      <c r="M14" s="3" t="str">
        <f>IF(B14="","","LIST"&amp;"_"&amp;IFERROR(VLOOKUP(B14,LOOKUPS!$K$2:$L$9,2,FALSE),"UNK")&amp;"_"&amp;IFERROR(VLOOKUP(C14,LOOKUPS!$N$2:$O$8,2,FALSE),"UNK")&amp;"_"&amp;UPPER(L14))</f>
        <v>LIST_CGT_REQ_SPLITYR</v>
      </c>
      <c r="N14" s="3">
        <f>IF(M14="","",COUNTIF($M$2:M14,M14))</f>
        <v>6</v>
      </c>
      <c r="O14" t="s">
        <v>479</v>
      </c>
      <c r="P14">
        <v>2</v>
      </c>
      <c r="Q14" t="s">
        <v>480</v>
      </c>
      <c r="R14" t="s">
        <v>481</v>
      </c>
      <c r="S14" t="s">
        <v>24</v>
      </c>
      <c r="T14" t="s">
        <v>482</v>
      </c>
      <c r="U14" t="s">
        <v>454</v>
      </c>
      <c r="V14" t="s">
        <v>24</v>
      </c>
      <c r="AF14" t="s">
        <v>17</v>
      </c>
      <c r="AG14" t="s">
        <v>483</v>
      </c>
    </row>
    <row r="15" spans="1:33" ht="28.8" x14ac:dyDescent="0.3">
      <c r="A15" s="3" t="str">
        <f t="shared" si="0"/>
        <v>LIST_CGT_REQ_RESDOM_001</v>
      </c>
      <c r="B15" t="s">
        <v>28</v>
      </c>
      <c r="C15" t="s">
        <v>22</v>
      </c>
      <c r="D15" t="s">
        <v>484</v>
      </c>
      <c r="E15" t="s">
        <v>31</v>
      </c>
      <c r="F15">
        <v>3</v>
      </c>
      <c r="G15" t="s">
        <v>16</v>
      </c>
      <c r="H15" t="s">
        <v>17</v>
      </c>
      <c r="I15" t="s">
        <v>485</v>
      </c>
      <c r="J15" t="s">
        <v>443</v>
      </c>
      <c r="K15">
        <v>1</v>
      </c>
      <c r="L15" t="s">
        <v>486</v>
      </c>
      <c r="M15" s="3" t="str">
        <f>IF(B15="","","LIST"&amp;"_"&amp;IFERROR(VLOOKUP(B15,LOOKUPS!$K$2:$L$9,2,FALSE),"UNK")&amp;"_"&amp;IFERROR(VLOOKUP(C15,LOOKUPS!$N$2:$O$8,2,FALSE),"UNK")&amp;"_"&amp;UPPER(L15))</f>
        <v>LIST_CGT_REQ_RESDOM</v>
      </c>
      <c r="N15" s="3">
        <f>IF(M15="","",COUNTIF($M$2:M15,M15))</f>
        <v>1</v>
      </c>
      <c r="O15" t="s">
        <v>487</v>
      </c>
      <c r="P15">
        <v>2</v>
      </c>
      <c r="Q15" t="s">
        <v>488</v>
      </c>
      <c r="R15">
        <v>16</v>
      </c>
      <c r="S15" t="s">
        <v>24</v>
      </c>
      <c r="T15" t="s">
        <v>489</v>
      </c>
      <c r="U15">
        <v>3</v>
      </c>
      <c r="V15" t="s">
        <v>24</v>
      </c>
      <c r="AF15" t="s">
        <v>17</v>
      </c>
      <c r="AG15" t="s">
        <v>490</v>
      </c>
    </row>
    <row r="16" spans="1:33" ht="28.8" x14ac:dyDescent="0.3">
      <c r="A16" s="3" t="str">
        <f t="shared" si="0"/>
        <v>LIST_CGT_REQ_RESDOM_002</v>
      </c>
      <c r="B16" t="s">
        <v>28</v>
      </c>
      <c r="C16" t="s">
        <v>22</v>
      </c>
      <c r="D16" t="s">
        <v>484</v>
      </c>
      <c r="E16" t="s">
        <v>31</v>
      </c>
      <c r="F16">
        <v>3</v>
      </c>
      <c r="G16" t="s">
        <v>16</v>
      </c>
      <c r="H16" t="s">
        <v>17</v>
      </c>
      <c r="I16" t="s">
        <v>485</v>
      </c>
      <c r="J16" t="s">
        <v>443</v>
      </c>
      <c r="K16">
        <v>1</v>
      </c>
      <c r="L16" t="s">
        <v>486</v>
      </c>
      <c r="M16" s="3" t="str">
        <f>IF(B16="","","LIST"&amp;"_"&amp;IFERROR(VLOOKUP(B16,LOOKUPS!$K$2:$L$9,2,FALSE),"UNK")&amp;"_"&amp;IFERROR(VLOOKUP(C16,LOOKUPS!$N$2:$O$8,2,FALSE),"UNK")&amp;"_"&amp;UPPER(L16))</f>
        <v>LIST_CGT_REQ_RESDOM</v>
      </c>
      <c r="N16" s="3">
        <f>IF(M16="","",COUNTIF($M$2:M16,M16))</f>
        <v>2</v>
      </c>
      <c r="O16" t="s">
        <v>491</v>
      </c>
      <c r="P16">
        <v>2</v>
      </c>
      <c r="Q16" t="s">
        <v>492</v>
      </c>
      <c r="R16">
        <v>46</v>
      </c>
      <c r="S16" t="s">
        <v>24</v>
      </c>
      <c r="T16" t="s">
        <v>236</v>
      </c>
      <c r="U16">
        <v>3</v>
      </c>
      <c r="V16" t="s">
        <v>24</v>
      </c>
      <c r="AF16" t="s">
        <v>17</v>
      </c>
      <c r="AG16" t="s">
        <v>493</v>
      </c>
    </row>
    <row r="17" spans="1:33" ht="28.8" x14ac:dyDescent="0.3">
      <c r="A17" s="3" t="str">
        <f t="shared" si="0"/>
        <v>LIST_CGT_REQ_RESDOM_003</v>
      </c>
      <c r="B17" t="s">
        <v>28</v>
      </c>
      <c r="C17" t="s">
        <v>22</v>
      </c>
      <c r="D17" t="s">
        <v>484</v>
      </c>
      <c r="E17" t="s">
        <v>31</v>
      </c>
      <c r="F17">
        <v>3</v>
      </c>
      <c r="G17" t="s">
        <v>16</v>
      </c>
      <c r="H17" t="s">
        <v>17</v>
      </c>
      <c r="I17" t="s">
        <v>494</v>
      </c>
      <c r="J17" t="s">
        <v>443</v>
      </c>
      <c r="K17">
        <v>1</v>
      </c>
      <c r="L17" t="s">
        <v>486</v>
      </c>
      <c r="M17" s="3" t="str">
        <f>IF(B17="","","LIST"&amp;"_"&amp;IFERROR(VLOOKUP(B17,LOOKUPS!$K$2:$L$9,2,FALSE),"UNK")&amp;"_"&amp;IFERROR(VLOOKUP(C17,LOOKUPS!$N$2:$O$8,2,FALSE),"UNK")&amp;"_"&amp;UPPER(L17))</f>
        <v>LIST_CGT_REQ_RESDOM</v>
      </c>
      <c r="N17" s="3">
        <f>IF(M17="","",COUNTIF($M$2:M17,M17))</f>
        <v>3</v>
      </c>
      <c r="O17" t="s">
        <v>495</v>
      </c>
      <c r="P17">
        <v>2</v>
      </c>
      <c r="Q17" t="s">
        <v>496</v>
      </c>
      <c r="R17">
        <v>183</v>
      </c>
      <c r="S17" t="s">
        <v>24</v>
      </c>
      <c r="T17" t="s">
        <v>497</v>
      </c>
      <c r="U17">
        <v>30</v>
      </c>
      <c r="V17" t="s">
        <v>24</v>
      </c>
      <c r="AF17" t="s">
        <v>17</v>
      </c>
      <c r="AG17" t="s">
        <v>498</v>
      </c>
    </row>
    <row r="18" spans="1:33" ht="28.8" x14ac:dyDescent="0.3">
      <c r="A18" s="3" t="str">
        <f t="shared" si="0"/>
        <v>LIST_CGT_REQ_RESDOM_004</v>
      </c>
      <c r="B18" t="s">
        <v>28</v>
      </c>
      <c r="C18" t="s">
        <v>22</v>
      </c>
      <c r="D18" t="s">
        <v>484</v>
      </c>
      <c r="E18" t="s">
        <v>31</v>
      </c>
      <c r="F18">
        <v>3</v>
      </c>
      <c r="G18" t="s">
        <v>16</v>
      </c>
      <c r="H18" t="s">
        <v>17</v>
      </c>
      <c r="I18" t="s">
        <v>499</v>
      </c>
      <c r="J18" t="s">
        <v>443</v>
      </c>
      <c r="K18">
        <v>1</v>
      </c>
      <c r="L18" t="s">
        <v>486</v>
      </c>
      <c r="M18" s="3" t="str">
        <f>IF(B18="","","LIST"&amp;"_"&amp;IFERROR(VLOOKUP(B18,LOOKUPS!$K$2:$L$9,2,FALSE),"UNK")&amp;"_"&amp;IFERROR(VLOOKUP(C18,LOOKUPS!$N$2:$O$8,2,FALSE),"UNK")&amp;"_"&amp;UPPER(L18))</f>
        <v>LIST_CGT_REQ_RESDOM</v>
      </c>
      <c r="N18" s="3">
        <f>IF(M18="","",COUNTIF($M$2:M18,M18))</f>
        <v>4</v>
      </c>
      <c r="O18" t="s">
        <v>500</v>
      </c>
      <c r="P18">
        <v>3</v>
      </c>
      <c r="Q18" t="s">
        <v>501</v>
      </c>
      <c r="R18">
        <v>91</v>
      </c>
      <c r="S18" t="s">
        <v>24</v>
      </c>
      <c r="T18" t="s">
        <v>502</v>
      </c>
      <c r="U18">
        <v>40</v>
      </c>
      <c r="V18" t="s">
        <v>24</v>
      </c>
      <c r="W18" t="s">
        <v>503</v>
      </c>
      <c r="X18">
        <v>90</v>
      </c>
      <c r="Y18" t="s">
        <v>24</v>
      </c>
      <c r="AF18" t="s">
        <v>17</v>
      </c>
      <c r="AG18" t="s">
        <v>504</v>
      </c>
    </row>
    <row r="19" spans="1:33" ht="28.8" x14ac:dyDescent="0.3">
      <c r="A19" s="3" t="str">
        <f t="shared" si="0"/>
        <v>LIST_CGT_REQ_RESDOM_005</v>
      </c>
      <c r="B19" t="s">
        <v>28</v>
      </c>
      <c r="C19" t="s">
        <v>22</v>
      </c>
      <c r="D19" t="s">
        <v>484</v>
      </c>
      <c r="E19" t="s">
        <v>31</v>
      </c>
      <c r="F19">
        <v>3</v>
      </c>
      <c r="G19" t="s">
        <v>16</v>
      </c>
      <c r="H19" t="s">
        <v>17</v>
      </c>
      <c r="I19" t="s">
        <v>505</v>
      </c>
      <c r="J19" t="s">
        <v>443</v>
      </c>
      <c r="K19">
        <v>1</v>
      </c>
      <c r="L19" t="s">
        <v>486</v>
      </c>
      <c r="M19" s="3" t="str">
        <f>IF(B19="","","LIST"&amp;"_"&amp;IFERROR(VLOOKUP(B19,LOOKUPS!$K$2:$L$9,2,FALSE),"UNK")&amp;"_"&amp;IFERROR(VLOOKUP(C19,LOOKUPS!$N$2:$O$8,2,FALSE),"UNK")&amp;"_"&amp;UPPER(L19))</f>
        <v>LIST_CGT_REQ_RESDOM</v>
      </c>
      <c r="N19" s="3">
        <f>IF(M19="","",COUNTIF($M$2:M19,M19))</f>
        <v>5</v>
      </c>
      <c r="O19" t="s">
        <v>506</v>
      </c>
      <c r="P19">
        <v>3</v>
      </c>
      <c r="Q19" t="s">
        <v>507</v>
      </c>
      <c r="R19" t="s">
        <v>508</v>
      </c>
      <c r="S19" t="s">
        <v>24</v>
      </c>
      <c r="T19" t="s">
        <v>509</v>
      </c>
      <c r="U19" t="s">
        <v>510</v>
      </c>
      <c r="V19" t="s">
        <v>24</v>
      </c>
      <c r="W19" t="s">
        <v>507</v>
      </c>
      <c r="X19" t="s">
        <v>511</v>
      </c>
      <c r="Y19" t="s">
        <v>24</v>
      </c>
      <c r="AF19" t="s">
        <v>17</v>
      </c>
      <c r="AG19" t="s">
        <v>512</v>
      </c>
    </row>
    <row r="20" spans="1:33" ht="28.8" x14ac:dyDescent="0.3">
      <c r="A20" s="3" t="str">
        <f t="shared" si="0"/>
        <v>LIST_CGT_REQ_RESDOM_006</v>
      </c>
      <c r="B20" t="s">
        <v>28</v>
      </c>
      <c r="C20" t="s">
        <v>22</v>
      </c>
      <c r="D20" t="s">
        <v>484</v>
      </c>
      <c r="E20" t="s">
        <v>31</v>
      </c>
      <c r="F20">
        <v>3</v>
      </c>
      <c r="G20" t="s">
        <v>16</v>
      </c>
      <c r="H20" t="s">
        <v>17</v>
      </c>
      <c r="I20" t="s">
        <v>513</v>
      </c>
      <c r="J20" t="s">
        <v>443</v>
      </c>
      <c r="K20">
        <v>1</v>
      </c>
      <c r="L20" t="s">
        <v>486</v>
      </c>
      <c r="M20" s="3" t="str">
        <f>IF(B20="","","LIST"&amp;"_"&amp;IFERROR(VLOOKUP(B20,LOOKUPS!$K$2:$L$9,2,FALSE),"UNK")&amp;"_"&amp;IFERROR(VLOOKUP(C20,LOOKUPS!$N$2:$O$8,2,FALSE),"UNK")&amp;"_"&amp;UPPER(L20))</f>
        <v>LIST_CGT_REQ_RESDOM</v>
      </c>
      <c r="N20" s="3">
        <f>IF(M20="","",COUNTIF($M$2:M20,M20))</f>
        <v>6</v>
      </c>
      <c r="O20" t="s">
        <v>514</v>
      </c>
      <c r="P20">
        <v>3</v>
      </c>
      <c r="Q20" t="s">
        <v>515</v>
      </c>
      <c r="R20">
        <v>15</v>
      </c>
      <c r="S20" t="s">
        <v>24</v>
      </c>
      <c r="T20" t="s">
        <v>516</v>
      </c>
      <c r="U20">
        <v>20</v>
      </c>
      <c r="V20" t="s">
        <v>24</v>
      </c>
      <c r="W20" t="s">
        <v>517</v>
      </c>
      <c r="X20" t="s">
        <v>518</v>
      </c>
      <c r="Y20" t="s">
        <v>24</v>
      </c>
      <c r="AF20" t="s">
        <v>17</v>
      </c>
      <c r="AG20" t="s">
        <v>519</v>
      </c>
    </row>
    <row r="21" spans="1:33" ht="28.8" x14ac:dyDescent="0.3">
      <c r="A21" s="3" t="str">
        <f t="shared" si="0"/>
        <v>LIST_IHT_REQ_DEEMDOM_001</v>
      </c>
      <c r="B21" t="s">
        <v>34</v>
      </c>
      <c r="C21" t="s">
        <v>22</v>
      </c>
      <c r="D21" t="s">
        <v>632</v>
      </c>
      <c r="E21" t="s">
        <v>31</v>
      </c>
      <c r="F21">
        <v>3</v>
      </c>
      <c r="G21" t="s">
        <v>16</v>
      </c>
      <c r="H21" t="s">
        <v>17</v>
      </c>
      <c r="I21" t="s">
        <v>676</v>
      </c>
      <c r="J21" t="s">
        <v>614</v>
      </c>
      <c r="K21">
        <v>1</v>
      </c>
      <c r="L21" t="s">
        <v>615</v>
      </c>
      <c r="M21" s="3" t="str">
        <f>IF(B21="","","LIST"&amp;"_"&amp;IFERROR(VLOOKUP(B21,LOOKUPS!$K$2:$L$9,2,FALSE),"UNK")&amp;"_"&amp;IFERROR(VLOOKUP(C21,LOOKUPS!$N$2:$O$8,2,FALSE),"UNK")&amp;"_"&amp;UPPER(L21))</f>
        <v>LIST_IHT_REQ_DEEMDOM</v>
      </c>
      <c r="N21" s="3">
        <f>IF(M21="","",COUNTIF($M$2:M21,M21))</f>
        <v>1</v>
      </c>
      <c r="O21" t="s">
        <v>677</v>
      </c>
      <c r="P21">
        <v>2</v>
      </c>
      <c r="Q21" s="4" t="s">
        <v>678</v>
      </c>
      <c r="R21" s="4" t="s">
        <v>358</v>
      </c>
      <c r="S21" t="s">
        <v>24</v>
      </c>
      <c r="T21" t="s">
        <v>679</v>
      </c>
      <c r="U21" s="5" t="s">
        <v>357</v>
      </c>
      <c r="V21" t="s">
        <v>24</v>
      </c>
      <c r="X21" s="4"/>
      <c r="AA21" s="5"/>
      <c r="AF21" t="s">
        <v>17</v>
      </c>
      <c r="AG21" t="s">
        <v>680</v>
      </c>
    </row>
    <row r="22" spans="1:33" ht="28.8" x14ac:dyDescent="0.3">
      <c r="A22" s="3" t="str">
        <f t="shared" si="0"/>
        <v>LIST_IHT_REQ_DEEMDOM_002</v>
      </c>
      <c r="B22" t="s">
        <v>34</v>
      </c>
      <c r="C22" t="s">
        <v>22</v>
      </c>
      <c r="D22" t="s">
        <v>632</v>
      </c>
      <c r="E22" t="s">
        <v>31</v>
      </c>
      <c r="F22">
        <v>3</v>
      </c>
      <c r="G22" t="s">
        <v>16</v>
      </c>
      <c r="H22" t="s">
        <v>17</v>
      </c>
      <c r="I22" t="s">
        <v>617</v>
      </c>
      <c r="J22" t="s">
        <v>614</v>
      </c>
      <c r="K22">
        <v>1</v>
      </c>
      <c r="L22" t="s">
        <v>615</v>
      </c>
      <c r="M22" s="3" t="str">
        <f>IF(B22="","","LIST"&amp;"_"&amp;IFERROR(VLOOKUP(B22,LOOKUPS!$K$2:$L$9,2,FALSE),"UNK")&amp;"_"&amp;IFERROR(VLOOKUP(C22,LOOKUPS!$N$2:$O$8,2,FALSE),"UNK")&amp;"_"&amp;UPPER(L22))</f>
        <v>LIST_IHT_REQ_DEEMDOM</v>
      </c>
      <c r="N22" s="3">
        <f>IF(M22="","",COUNTIF($M$2:M22,M22))</f>
        <v>2</v>
      </c>
      <c r="O22" t="s">
        <v>681</v>
      </c>
      <c r="P22">
        <v>2</v>
      </c>
      <c r="Q22" s="5" t="s">
        <v>489</v>
      </c>
      <c r="R22">
        <v>3</v>
      </c>
      <c r="S22" t="s">
        <v>24</v>
      </c>
      <c r="T22" t="s">
        <v>682</v>
      </c>
      <c r="U22" t="s">
        <v>618</v>
      </c>
      <c r="V22" t="s">
        <v>24</v>
      </c>
      <c r="AF22" t="s">
        <v>17</v>
      </c>
      <c r="AG22" t="s">
        <v>683</v>
      </c>
    </row>
    <row r="23" spans="1:33" ht="28.8" x14ac:dyDescent="0.3">
      <c r="A23" s="3" t="str">
        <f t="shared" si="0"/>
        <v>LIST_IHT_REQ_DEEMDOM_003</v>
      </c>
      <c r="B23" t="s">
        <v>34</v>
      </c>
      <c r="C23" t="s">
        <v>22</v>
      </c>
      <c r="D23" t="s">
        <v>632</v>
      </c>
      <c r="E23" t="s">
        <v>31</v>
      </c>
      <c r="F23">
        <v>3</v>
      </c>
      <c r="G23" t="s">
        <v>16</v>
      </c>
      <c r="H23" t="s">
        <v>17</v>
      </c>
      <c r="I23" t="s">
        <v>620</v>
      </c>
      <c r="J23" t="s">
        <v>614</v>
      </c>
      <c r="K23">
        <v>1</v>
      </c>
      <c r="L23" t="s">
        <v>615</v>
      </c>
      <c r="M23" s="3" t="str">
        <f>IF(B23="","","LIST"&amp;"_"&amp;IFERROR(VLOOKUP(B23,LOOKUPS!$K$2:$L$9,2,FALSE),"UNK")&amp;"_"&amp;IFERROR(VLOOKUP(C23,LOOKUPS!$N$2:$O$8,2,FALSE),"UNK")&amp;"_"&amp;UPPER(L23))</f>
        <v>LIST_IHT_REQ_DEEMDOM</v>
      </c>
      <c r="N23" s="3">
        <f>IF(M23="","",COUNTIF($M$2:M23,M23))</f>
        <v>3</v>
      </c>
      <c r="O23" t="s">
        <v>684</v>
      </c>
      <c r="P23">
        <v>4</v>
      </c>
      <c r="Q23" s="5" t="s">
        <v>685</v>
      </c>
      <c r="R23" t="s">
        <v>394</v>
      </c>
      <c r="S23" t="s">
        <v>24</v>
      </c>
      <c r="T23" t="s">
        <v>507</v>
      </c>
      <c r="U23" t="s">
        <v>508</v>
      </c>
      <c r="V23" t="s">
        <v>24</v>
      </c>
      <c r="W23" t="s">
        <v>686</v>
      </c>
      <c r="X23">
        <v>1</v>
      </c>
      <c r="Y23" t="s">
        <v>24</v>
      </c>
      <c r="Z23" t="s">
        <v>489</v>
      </c>
      <c r="AA23">
        <v>2</v>
      </c>
      <c r="AB23" t="s">
        <v>24</v>
      </c>
      <c r="AF23" t="s">
        <v>17</v>
      </c>
      <c r="AG23" t="s">
        <v>687</v>
      </c>
    </row>
    <row r="24" spans="1:33" ht="28.8" x14ac:dyDescent="0.3">
      <c r="A24" s="3" t="str">
        <f t="shared" si="0"/>
        <v>LIST_IHT_REQ_DEEMDOM_004</v>
      </c>
      <c r="B24" t="s">
        <v>34</v>
      </c>
      <c r="C24" t="s">
        <v>22</v>
      </c>
      <c r="D24" t="s">
        <v>632</v>
      </c>
      <c r="E24" t="s">
        <v>31</v>
      </c>
      <c r="F24">
        <v>3</v>
      </c>
      <c r="G24" t="s">
        <v>16</v>
      </c>
      <c r="H24" t="s">
        <v>17</v>
      </c>
      <c r="I24" t="s">
        <v>688</v>
      </c>
      <c r="J24" t="s">
        <v>614</v>
      </c>
      <c r="K24">
        <v>1</v>
      </c>
      <c r="L24" t="s">
        <v>615</v>
      </c>
      <c r="M24" s="3" t="str">
        <f>IF(B24="","","LIST"&amp;"_"&amp;IFERROR(VLOOKUP(B24,LOOKUPS!$K$2:$L$9,2,FALSE),"UNK")&amp;"_"&amp;IFERROR(VLOOKUP(C24,LOOKUPS!$N$2:$O$8,2,FALSE),"UNK")&amp;"_"&amp;UPPER(L24))</f>
        <v>LIST_IHT_REQ_DEEMDOM</v>
      </c>
      <c r="N24" s="3">
        <f>IF(M24="","",COUNTIF($M$2:M24,M24))</f>
        <v>4</v>
      </c>
      <c r="O24" t="s">
        <v>689</v>
      </c>
      <c r="P24">
        <v>4</v>
      </c>
      <c r="Q24" t="s">
        <v>690</v>
      </c>
      <c r="R24">
        <v>15</v>
      </c>
      <c r="S24" t="s">
        <v>24</v>
      </c>
      <c r="T24" t="s">
        <v>691</v>
      </c>
      <c r="U24">
        <v>20</v>
      </c>
      <c r="V24" t="s">
        <v>24</v>
      </c>
      <c r="W24" t="s">
        <v>686</v>
      </c>
      <c r="X24">
        <v>1</v>
      </c>
      <c r="Y24" t="s">
        <v>24</v>
      </c>
      <c r="Z24" t="s">
        <v>489</v>
      </c>
      <c r="AA24">
        <v>4</v>
      </c>
      <c r="AB24" t="s">
        <v>24</v>
      </c>
      <c r="AF24" t="s">
        <v>17</v>
      </c>
      <c r="AG24" t="s">
        <v>692</v>
      </c>
    </row>
    <row r="25" spans="1:33" ht="28.8" x14ac:dyDescent="0.3">
      <c r="A25" s="3" t="str">
        <f t="shared" si="0"/>
        <v>LIST_IHT_REQ_DEEMDOM_005</v>
      </c>
      <c r="B25" t="s">
        <v>34</v>
      </c>
      <c r="C25" t="s">
        <v>22</v>
      </c>
      <c r="D25" t="s">
        <v>632</v>
      </c>
      <c r="E25" t="s">
        <v>31</v>
      </c>
      <c r="F25">
        <v>3</v>
      </c>
      <c r="G25" t="s">
        <v>16</v>
      </c>
      <c r="H25" t="s">
        <v>17</v>
      </c>
      <c r="I25" t="s">
        <v>693</v>
      </c>
      <c r="J25" t="s">
        <v>614</v>
      </c>
      <c r="K25">
        <v>1</v>
      </c>
      <c r="L25" t="s">
        <v>615</v>
      </c>
      <c r="M25" s="3" t="str">
        <f>IF(B25="","","LIST"&amp;"_"&amp;IFERROR(VLOOKUP(B25,LOOKUPS!$K$2:$L$9,2,FALSE),"UNK")&amp;"_"&amp;IFERROR(VLOOKUP(C25,LOOKUPS!$N$2:$O$8,2,FALSE),"UNK")&amp;"_"&amp;UPPER(L25))</f>
        <v>LIST_IHT_REQ_DEEMDOM</v>
      </c>
      <c r="N25" s="3">
        <f>IF(M25="","",COUNTIF($M$2:M25,M25))</f>
        <v>5</v>
      </c>
      <c r="O25" t="s">
        <v>694</v>
      </c>
      <c r="P25">
        <v>5</v>
      </c>
      <c r="Q25" s="5" t="s">
        <v>695</v>
      </c>
      <c r="R25" s="4">
        <v>3</v>
      </c>
      <c r="S25" t="s">
        <v>24</v>
      </c>
      <c r="T25" t="s">
        <v>696</v>
      </c>
      <c r="U25">
        <v>15</v>
      </c>
      <c r="V25" t="s">
        <v>24</v>
      </c>
      <c r="W25" t="s">
        <v>691</v>
      </c>
      <c r="X25">
        <v>20</v>
      </c>
      <c r="Y25" t="s">
        <v>24</v>
      </c>
      <c r="Z25" t="s">
        <v>686</v>
      </c>
      <c r="AA25">
        <v>1</v>
      </c>
      <c r="AB25" t="s">
        <v>24</v>
      </c>
      <c r="AC25" t="s">
        <v>697</v>
      </c>
      <c r="AD25">
        <v>4</v>
      </c>
      <c r="AE25" t="s">
        <v>24</v>
      </c>
      <c r="AF25" t="s">
        <v>17</v>
      </c>
      <c r="AG25" t="s">
        <v>698</v>
      </c>
    </row>
    <row r="26" spans="1:33" ht="28.8" x14ac:dyDescent="0.3">
      <c r="A26" s="3" t="str">
        <f t="shared" si="0"/>
        <v>LIST_IHT_REQ_DEEMDOM_006</v>
      </c>
      <c r="B26" t="s">
        <v>34</v>
      </c>
      <c r="C26" t="s">
        <v>22</v>
      </c>
      <c r="D26" t="s">
        <v>632</v>
      </c>
      <c r="E26" t="s">
        <v>31</v>
      </c>
      <c r="F26">
        <v>3</v>
      </c>
      <c r="G26" t="s">
        <v>16</v>
      </c>
      <c r="H26" t="s">
        <v>17</v>
      </c>
      <c r="I26" t="s">
        <v>630</v>
      </c>
      <c r="J26" t="s">
        <v>614</v>
      </c>
      <c r="K26">
        <v>1</v>
      </c>
      <c r="L26" t="s">
        <v>615</v>
      </c>
      <c r="M26" s="3" t="str">
        <f>IF(B26="","","LIST"&amp;"_"&amp;IFERROR(VLOOKUP(B26,LOOKUPS!$K$2:$L$9,2,FALSE),"UNK")&amp;"_"&amp;IFERROR(VLOOKUP(C26,LOOKUPS!$N$2:$O$8,2,FALSE),"UNK")&amp;"_"&amp;UPPER(L26))</f>
        <v>LIST_IHT_REQ_DEEMDOM</v>
      </c>
      <c r="N26" s="3">
        <f>IF(M26="","",COUNTIF($M$2:M26,M26))</f>
        <v>6</v>
      </c>
      <c r="O26" t="s">
        <v>699</v>
      </c>
      <c r="P26">
        <v>2</v>
      </c>
      <c r="Q26" t="s">
        <v>700</v>
      </c>
      <c r="R26" t="s">
        <v>619</v>
      </c>
      <c r="S26" t="s">
        <v>24</v>
      </c>
      <c r="T26" t="s">
        <v>701</v>
      </c>
      <c r="U26" t="s">
        <v>631</v>
      </c>
      <c r="V26" t="s">
        <v>24</v>
      </c>
      <c r="AF26" t="s">
        <v>17</v>
      </c>
      <c r="AG26" t="s">
        <v>702</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5" activePane="bottomLeft" state="frozen"/>
      <selection pane="bottomLeft" activeCell="S6" sqref="S6"/>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IF(B2="","","PF"&amp;"_"&amp;IFERROR(VLOOKUP(B2,LOOKUPS!$K$2:$L$9,2,FALSE),"UNK")&amp;"_"&amp;IFERROR(VLOOKUP(C2,LOOKUPS!$N$2:$O$8,2,FALSE),"UNK")&amp;"_"&amp;UPPER(L2))</f>
        <v>PF_ETH_PF_</v>
      </c>
      <c r="N2" s="3">
        <f>IF(M2="","",COUNTIF($M$2:M2,M2))</f>
        <v>1</v>
      </c>
      <c r="O2" s="3" t="s">
        <v>114</v>
      </c>
      <c r="P2" s="3" t="s">
        <v>159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233</v>
      </c>
      <c r="P3" s="3" t="s">
        <v>234</v>
      </c>
      <c r="Q3" s="3" t="s">
        <v>123</v>
      </c>
      <c r="R3" s="3" t="s">
        <v>124</v>
      </c>
      <c r="S3" s="3" t="s">
        <v>125</v>
      </c>
      <c r="T3" s="3" t="s">
        <v>126</v>
      </c>
    </row>
    <row r="4" spans="1:32" ht="409.6" x14ac:dyDescent="0.3">
      <c r="A4" s="3" t="str">
        <f t="shared" si="0"/>
        <v>PF_ITNIC_PF_EIS_001</v>
      </c>
      <c r="B4" s="3" t="s">
        <v>21</v>
      </c>
      <c r="C4" s="3" t="s">
        <v>35</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PF_ITNIC_PF_EIS</v>
      </c>
      <c r="N4" s="3">
        <f>IF(M4="","",COUNTIF($M$2:M4,M4))</f>
        <v>1</v>
      </c>
      <c r="O4" s="3" t="s">
        <v>155</v>
      </c>
      <c r="P4" s="3" t="s">
        <v>842</v>
      </c>
      <c r="Q4" s="3" t="s">
        <v>156</v>
      </c>
      <c r="R4" s="3" t="s">
        <v>157</v>
      </c>
      <c r="S4" s="3" t="s">
        <v>844</v>
      </c>
      <c r="T4" s="3" t="s">
        <v>158</v>
      </c>
    </row>
    <row r="5" spans="1:32" ht="409.6" x14ac:dyDescent="0.3">
      <c r="A5" s="3" t="str">
        <f t="shared" si="0"/>
        <v>PF_ITNIC_PF_PSC_001</v>
      </c>
      <c r="B5" s="3" t="s">
        <v>21</v>
      </c>
      <c r="C5" s="3" t="s">
        <v>35</v>
      </c>
      <c r="D5" s="3" t="s">
        <v>160</v>
      </c>
      <c r="E5" s="3" t="s">
        <v>36</v>
      </c>
      <c r="F5" s="3">
        <v>3</v>
      </c>
      <c r="G5" s="3" t="s">
        <v>16</v>
      </c>
      <c r="H5" s="3" t="s">
        <v>17</v>
      </c>
      <c r="I5" s="3" t="s">
        <v>198</v>
      </c>
      <c r="J5" s="3" t="s">
        <v>128</v>
      </c>
      <c r="K5" s="3">
        <v>1</v>
      </c>
      <c r="L5" s="3" t="s">
        <v>162</v>
      </c>
      <c r="M5" s="3" t="str">
        <f>IF(B5="","","PF"&amp;"_"&amp;IFERROR(VLOOKUP(B5,LOOKUPS!$K$2:$L$9,2,FALSE),"UNK")&amp;"_"&amp;IFERROR(VLOOKUP(C5,LOOKUPS!$N$2:$O$8,2,FALSE),"UNK")&amp;"_"&amp;UPPER(L5))</f>
        <v>PF_ITNIC_PF_PSC</v>
      </c>
      <c r="N5" s="3">
        <f>IF(M5="","",COUNTIF($M$2:M5,M5))</f>
        <v>1</v>
      </c>
      <c r="O5" s="3" t="s">
        <v>199</v>
      </c>
      <c r="P5" s="3" t="s">
        <v>200</v>
      </c>
      <c r="Q5" s="3" t="s">
        <v>201</v>
      </c>
      <c r="R5" s="3" t="s">
        <v>202</v>
      </c>
      <c r="S5" s="3" t="s">
        <v>845</v>
      </c>
      <c r="T5" s="3" t="s">
        <v>843</v>
      </c>
      <c r="AF5" s="3" t="s">
        <v>17</v>
      </c>
    </row>
    <row r="6" spans="1:32" ht="409.6" x14ac:dyDescent="0.3">
      <c r="A6" s="3" t="str">
        <f t="shared" si="0"/>
        <v>PF_ITNIC_PF_PSC_002</v>
      </c>
      <c r="B6" s="3" t="s">
        <v>21</v>
      </c>
      <c r="C6" s="3" t="s">
        <v>35</v>
      </c>
      <c r="D6" s="3" t="s">
        <v>160</v>
      </c>
      <c r="E6" s="3" t="s">
        <v>36</v>
      </c>
      <c r="F6" s="3">
        <v>3</v>
      </c>
      <c r="G6" s="3" t="s">
        <v>16</v>
      </c>
      <c r="H6" s="3" t="s">
        <v>17</v>
      </c>
      <c r="I6" s="3" t="s">
        <v>198</v>
      </c>
      <c r="J6" s="3" t="s">
        <v>128</v>
      </c>
      <c r="K6" s="3">
        <v>1</v>
      </c>
      <c r="L6" s="3" t="s">
        <v>162</v>
      </c>
      <c r="M6" s="3" t="str">
        <f>IF(B6="","","PF"&amp;"_"&amp;IFERROR(VLOOKUP(B6,LOOKUPS!$K$2:$L$9,2,FALSE),"UNK")&amp;"_"&amp;IFERROR(VLOOKUP(C6,LOOKUPS!$N$2:$O$8,2,FALSE),"UNK")&amp;"_"&amp;UPPER(L6))</f>
        <v>PF_ITNIC_PF_PSC</v>
      </c>
      <c r="N6" s="3">
        <f>IF(M6="","",COUNTIF($M$2:M6,M6))</f>
        <v>2</v>
      </c>
      <c r="O6" s="3" t="s">
        <v>199</v>
      </c>
      <c r="P6" s="3" t="s">
        <v>235</v>
      </c>
      <c r="Q6" s="3" t="s">
        <v>236</v>
      </c>
      <c r="R6" s="3" t="s">
        <v>237</v>
      </c>
      <c r="S6" s="3" t="s">
        <v>846</v>
      </c>
      <c r="T6" s="3" t="s">
        <v>238</v>
      </c>
    </row>
    <row r="7" spans="1:32" ht="409.6" x14ac:dyDescent="0.3">
      <c r="A7" s="3" t="str">
        <f t="shared" si="0"/>
        <v>PF_ITNIC_PF_ITCOMP_001</v>
      </c>
      <c r="B7" s="3" t="s">
        <v>21</v>
      </c>
      <c r="C7" s="3" t="s">
        <v>35</v>
      </c>
      <c r="D7" s="3" t="s">
        <v>319</v>
      </c>
      <c r="E7" s="3" t="s">
        <v>36</v>
      </c>
      <c r="F7" s="3">
        <v>3</v>
      </c>
      <c r="G7" s="3" t="s">
        <v>16</v>
      </c>
      <c r="H7" s="3" t="s">
        <v>17</v>
      </c>
      <c r="I7" s="3" t="s">
        <v>320</v>
      </c>
      <c r="J7" s="3" t="s">
        <v>321</v>
      </c>
      <c r="K7" s="3">
        <v>1</v>
      </c>
      <c r="L7" s="3" t="s">
        <v>322</v>
      </c>
      <c r="M7" s="3" t="str">
        <f>IF(B7="","","PF"&amp;"_"&amp;IFERROR(VLOOKUP(B7,LOOKUPS!$K$2:$L$9,2,FALSE),"UNK")&amp;"_"&amp;IFERROR(VLOOKUP(C7,LOOKUPS!$N$2:$O$8,2,FALSE),"UNK")&amp;"_"&amp;UPPER(L7))</f>
        <v>PF_ITNIC_PF_ITCOMP</v>
      </c>
      <c r="N7" s="3">
        <f>IF(M7="","",COUNTIF($M$2:M7,M7))</f>
        <v>1</v>
      </c>
      <c r="O7" s="3" t="s">
        <v>319</v>
      </c>
      <c r="P7" s="3" t="s">
        <v>323</v>
      </c>
      <c r="Q7" s="3" t="s">
        <v>326</v>
      </c>
      <c r="R7" s="3" t="s">
        <v>327</v>
      </c>
      <c r="S7" s="3" t="s">
        <v>328</v>
      </c>
      <c r="T7" s="3" t="s">
        <v>325</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57.6"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Share Incentive Plan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AG2" sqref="A2:AG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632</v>
      </c>
      <c r="E2" t="s">
        <v>31</v>
      </c>
      <c r="F2">
        <v>3</v>
      </c>
      <c r="G2" t="s">
        <v>16</v>
      </c>
      <c r="H2" t="s">
        <v>17</v>
      </c>
      <c r="I2" t="s">
        <v>676</v>
      </c>
      <c r="J2" t="s">
        <v>614</v>
      </c>
      <c r="K2">
        <v>1</v>
      </c>
      <c r="L2" t="s">
        <v>615</v>
      </c>
      <c r="O2" t="s">
        <v>677</v>
      </c>
      <c r="P2">
        <v>2</v>
      </c>
      <c r="Q2" s="4" t="s">
        <v>678</v>
      </c>
      <c r="R2" s="4" t="s">
        <v>358</v>
      </c>
      <c r="S2" t="s">
        <v>24</v>
      </c>
      <c r="T2" t="s">
        <v>679</v>
      </c>
      <c r="U2" s="5" t="s">
        <v>357</v>
      </c>
      <c r="V2" t="s">
        <v>24</v>
      </c>
      <c r="X2" s="4"/>
      <c r="AA2" s="5"/>
      <c r="AF2" t="s">
        <v>17</v>
      </c>
      <c r="AG2" t="s">
        <v>680</v>
      </c>
    </row>
    <row r="3" spans="1:33" x14ac:dyDescent="0.3">
      <c r="B3" t="s">
        <v>34</v>
      </c>
      <c r="C3" t="s">
        <v>22</v>
      </c>
      <c r="D3" t="s">
        <v>632</v>
      </c>
      <c r="E3" t="s">
        <v>31</v>
      </c>
      <c r="F3">
        <v>3</v>
      </c>
      <c r="G3" t="s">
        <v>16</v>
      </c>
      <c r="H3" t="s">
        <v>17</v>
      </c>
      <c r="I3" t="s">
        <v>617</v>
      </c>
      <c r="J3" t="s">
        <v>614</v>
      </c>
      <c r="K3">
        <v>1</v>
      </c>
      <c r="L3" t="s">
        <v>615</v>
      </c>
      <c r="O3" t="s">
        <v>681</v>
      </c>
      <c r="P3">
        <v>2</v>
      </c>
      <c r="Q3" s="5" t="s">
        <v>489</v>
      </c>
      <c r="R3">
        <v>3</v>
      </c>
      <c r="S3" t="s">
        <v>24</v>
      </c>
      <c r="T3" t="s">
        <v>682</v>
      </c>
      <c r="U3" t="s">
        <v>618</v>
      </c>
      <c r="V3" t="s">
        <v>24</v>
      </c>
      <c r="AF3" t="s">
        <v>17</v>
      </c>
      <c r="AG3" t="s">
        <v>683</v>
      </c>
    </row>
    <row r="4" spans="1:33" x14ac:dyDescent="0.3">
      <c r="B4" t="s">
        <v>34</v>
      </c>
      <c r="C4" t="s">
        <v>22</v>
      </c>
      <c r="D4" t="s">
        <v>632</v>
      </c>
      <c r="E4" t="s">
        <v>31</v>
      </c>
      <c r="F4">
        <v>3</v>
      </c>
      <c r="G4" t="s">
        <v>16</v>
      </c>
      <c r="H4" t="s">
        <v>17</v>
      </c>
      <c r="I4" t="s">
        <v>620</v>
      </c>
      <c r="J4" t="s">
        <v>614</v>
      </c>
      <c r="K4">
        <v>1</v>
      </c>
      <c r="L4" t="s">
        <v>615</v>
      </c>
      <c r="O4" t="s">
        <v>684</v>
      </c>
      <c r="P4">
        <v>4</v>
      </c>
      <c r="Q4" s="5" t="s">
        <v>685</v>
      </c>
      <c r="R4" t="s">
        <v>394</v>
      </c>
      <c r="S4" t="s">
        <v>24</v>
      </c>
      <c r="T4" t="s">
        <v>507</v>
      </c>
      <c r="U4" t="s">
        <v>508</v>
      </c>
      <c r="V4" t="s">
        <v>24</v>
      </c>
      <c r="W4" t="s">
        <v>686</v>
      </c>
      <c r="X4">
        <v>1</v>
      </c>
      <c r="Y4" t="s">
        <v>24</v>
      </c>
      <c r="Z4" t="s">
        <v>489</v>
      </c>
      <c r="AA4">
        <v>2</v>
      </c>
      <c r="AB4" t="s">
        <v>24</v>
      </c>
      <c r="AF4" t="s">
        <v>17</v>
      </c>
      <c r="AG4" t="s">
        <v>687</v>
      </c>
    </row>
    <row r="5" spans="1:33" x14ac:dyDescent="0.3">
      <c r="B5" t="s">
        <v>34</v>
      </c>
      <c r="C5" t="s">
        <v>22</v>
      </c>
      <c r="D5" t="s">
        <v>632</v>
      </c>
      <c r="E5" t="s">
        <v>31</v>
      </c>
      <c r="F5">
        <v>3</v>
      </c>
      <c r="G5" t="s">
        <v>16</v>
      </c>
      <c r="H5" t="s">
        <v>17</v>
      </c>
      <c r="I5" t="s">
        <v>688</v>
      </c>
      <c r="J5" t="s">
        <v>614</v>
      </c>
      <c r="K5">
        <v>1</v>
      </c>
      <c r="L5" t="s">
        <v>615</v>
      </c>
      <c r="O5" t="s">
        <v>689</v>
      </c>
      <c r="P5">
        <v>4</v>
      </c>
      <c r="Q5" t="s">
        <v>690</v>
      </c>
      <c r="R5">
        <v>15</v>
      </c>
      <c r="S5" t="s">
        <v>24</v>
      </c>
      <c r="T5" t="s">
        <v>691</v>
      </c>
      <c r="U5">
        <v>20</v>
      </c>
      <c r="V5" t="s">
        <v>24</v>
      </c>
      <c r="W5" t="s">
        <v>686</v>
      </c>
      <c r="X5">
        <v>1</v>
      </c>
      <c r="Y5" t="s">
        <v>24</v>
      </c>
      <c r="Z5" t="s">
        <v>489</v>
      </c>
      <c r="AA5">
        <v>4</v>
      </c>
      <c r="AB5" t="s">
        <v>24</v>
      </c>
      <c r="AF5" t="s">
        <v>17</v>
      </c>
      <c r="AG5" t="s">
        <v>692</v>
      </c>
    </row>
    <row r="6" spans="1:33" x14ac:dyDescent="0.3">
      <c r="B6" t="s">
        <v>34</v>
      </c>
      <c r="C6" t="s">
        <v>22</v>
      </c>
      <c r="D6" t="s">
        <v>632</v>
      </c>
      <c r="E6" t="s">
        <v>31</v>
      </c>
      <c r="F6">
        <v>3</v>
      </c>
      <c r="G6" t="s">
        <v>16</v>
      </c>
      <c r="H6" t="s">
        <v>17</v>
      </c>
      <c r="I6" t="s">
        <v>693</v>
      </c>
      <c r="J6" t="s">
        <v>614</v>
      </c>
      <c r="K6">
        <v>1</v>
      </c>
      <c r="L6" t="s">
        <v>615</v>
      </c>
      <c r="O6" t="s">
        <v>694</v>
      </c>
      <c r="P6">
        <v>5</v>
      </c>
      <c r="Q6" s="5" t="s">
        <v>695</v>
      </c>
      <c r="R6" s="4">
        <v>3</v>
      </c>
      <c r="S6" t="s">
        <v>24</v>
      </c>
      <c r="T6" t="s">
        <v>696</v>
      </c>
      <c r="U6">
        <v>15</v>
      </c>
      <c r="V6" t="s">
        <v>24</v>
      </c>
      <c r="W6" t="s">
        <v>691</v>
      </c>
      <c r="X6">
        <v>20</v>
      </c>
      <c r="Y6" t="s">
        <v>24</v>
      </c>
      <c r="Z6" t="s">
        <v>686</v>
      </c>
      <c r="AA6">
        <v>1</v>
      </c>
      <c r="AB6" t="s">
        <v>24</v>
      </c>
      <c r="AC6" t="s">
        <v>697</v>
      </c>
      <c r="AD6">
        <v>4</v>
      </c>
      <c r="AE6" t="s">
        <v>24</v>
      </c>
      <c r="AF6" t="s">
        <v>17</v>
      </c>
      <c r="AG6" t="s">
        <v>698</v>
      </c>
    </row>
    <row r="7" spans="1:33" x14ac:dyDescent="0.3">
      <c r="B7" t="s">
        <v>34</v>
      </c>
      <c r="C7" t="s">
        <v>22</v>
      </c>
      <c r="D7" t="s">
        <v>632</v>
      </c>
      <c r="E7" t="s">
        <v>31</v>
      </c>
      <c r="F7">
        <v>3</v>
      </c>
      <c r="G7" t="s">
        <v>16</v>
      </c>
      <c r="H7" t="s">
        <v>17</v>
      </c>
      <c r="I7" t="s">
        <v>630</v>
      </c>
      <c r="J7" t="s">
        <v>614</v>
      </c>
      <c r="K7">
        <v>1</v>
      </c>
      <c r="L7" t="s">
        <v>615</v>
      </c>
      <c r="O7" t="s">
        <v>699</v>
      </c>
      <c r="P7">
        <v>2</v>
      </c>
      <c r="Q7" t="s">
        <v>700</v>
      </c>
      <c r="R7" t="s">
        <v>619</v>
      </c>
      <c r="S7" t="s">
        <v>24</v>
      </c>
      <c r="T7" t="s">
        <v>701</v>
      </c>
      <c r="U7" t="s">
        <v>631</v>
      </c>
      <c r="V7" t="s">
        <v>24</v>
      </c>
      <c r="AF7" t="s">
        <v>17</v>
      </c>
      <c r="AG7" t="s">
        <v>702</v>
      </c>
    </row>
    <row r="8" spans="1:33" x14ac:dyDescent="0.3">
      <c r="Q8" s="5"/>
      <c r="R8" s="5"/>
    </row>
    <row r="11" spans="1:33" x14ac:dyDescent="0.3">
      <c r="R11" s="4"/>
    </row>
    <row r="13" spans="1:33" x14ac:dyDescent="0.3">
      <c r="R13" s="8"/>
    </row>
    <row r="16" spans="1:33" x14ac:dyDescent="0.3">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2026-02-23T09:23:43Z</dcterms:modified>
</cp:coreProperties>
</file>