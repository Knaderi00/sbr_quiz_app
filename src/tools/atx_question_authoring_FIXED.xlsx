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365" documentId="11_1A3CAAE0EE81980AE886C8AC59EAF3A67F286A16" xr6:coauthVersionLast="47" xr6:coauthVersionMax="47" xr10:uidLastSave="{04EF8164-AF60-4199-BDE4-4B92AC697E43}"/>
  <bookViews>
    <workbookView xWindow="-108" yWindow="-108" windowWidth="23256" windowHeight="13896" firstSheet="1" activeTab="5"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 i="6" l="1"/>
  <c r="N7" i="6" s="1"/>
  <c r="A8" i="6"/>
  <c r="A9" i="6"/>
  <c r="A10" i="6"/>
  <c r="A11" i="6"/>
  <c r="A12" i="6"/>
  <c r="M16" i="3"/>
  <c r="M17" i="3"/>
  <c r="M18" i="3"/>
  <c r="M19" i="3"/>
  <c r="M20" i="3"/>
  <c r="M21" i="3"/>
  <c r="M22" i="3"/>
  <c r="M23" i="3"/>
  <c r="M24" i="3"/>
  <c r="M25" i="3"/>
  <c r="M26" i="3"/>
  <c r="M27" i="3"/>
  <c r="M28" i="3"/>
  <c r="A28" i="3" s="1"/>
  <c r="M29" i="3"/>
  <c r="A29" i="3" s="1"/>
  <c r="N29" i="3"/>
  <c r="M30" i="3"/>
  <c r="N30" i="3"/>
  <c r="M31" i="3"/>
  <c r="N31" i="3" s="1"/>
  <c r="M32" i="3"/>
  <c r="N32" i="3" s="1"/>
  <c r="M33" i="3"/>
  <c r="A33" i="3" s="1"/>
  <c r="N33" i="3"/>
  <c r="M34" i="3"/>
  <c r="A34" i="3" s="1"/>
  <c r="N34" i="3"/>
  <c r="M35" i="3"/>
  <c r="A35" i="3" s="1"/>
  <c r="N35" i="3"/>
  <c r="M36" i="3"/>
  <c r="A36" i="3" s="1"/>
  <c r="M37" i="3"/>
  <c r="N37" i="3"/>
  <c r="M38" i="3"/>
  <c r="N38" i="3" s="1"/>
  <c r="A30" i="3"/>
  <c r="A37" i="3"/>
  <c r="A38" i="3"/>
  <c r="M4" i="3"/>
  <c r="M5" i="3"/>
  <c r="M6" i="3"/>
  <c r="M7" i="3"/>
  <c r="M8" i="3"/>
  <c r="M9" i="3"/>
  <c r="M10" i="3"/>
  <c r="M11" i="3"/>
  <c r="M12" i="3"/>
  <c r="M13" i="3"/>
  <c r="M14" i="3"/>
  <c r="M15" i="3"/>
  <c r="M2" i="6"/>
  <c r="N2" i="6"/>
  <c r="M3" i="6"/>
  <c r="N3" i="6"/>
  <c r="M4" i="6"/>
  <c r="N4" i="6" s="1"/>
  <c r="M5" i="6"/>
  <c r="N5" i="6" s="1"/>
  <c r="M6" i="6"/>
  <c r="N6" i="6" s="1"/>
  <c r="N2" i="5"/>
  <c r="N3" i="5"/>
  <c r="N4" i="5"/>
  <c r="N5" i="5"/>
  <c r="N6" i="5"/>
  <c r="N7" i="5"/>
  <c r="N8" i="5"/>
  <c r="N9" i="5"/>
  <c r="N10" i="5"/>
  <c r="N11" i="5"/>
  <c r="N12" i="5"/>
  <c r="N13" i="5"/>
  <c r="N14" i="5"/>
  <c r="N15" i="5"/>
  <c r="N16" i="5"/>
  <c r="N17" i="5"/>
  <c r="N18" i="5"/>
  <c r="N19" i="5"/>
  <c r="N20" i="5"/>
  <c r="N21" i="5"/>
  <c r="N22" i="5"/>
  <c r="N23" i="5"/>
  <c r="N24" i="5"/>
  <c r="N25" i="5"/>
  <c r="N26" i="5"/>
  <c r="N27" i="5"/>
  <c r="N28" i="5"/>
  <c r="N29" i="5"/>
  <c r="M2" i="5"/>
  <c r="M3" i="5"/>
  <c r="M4" i="5"/>
  <c r="M5" i="5"/>
  <c r="M6" i="5"/>
  <c r="M7" i="5"/>
  <c r="M8" i="5"/>
  <c r="M9" i="5"/>
  <c r="M10" i="5"/>
  <c r="M11" i="5"/>
  <c r="M12" i="5"/>
  <c r="M13" i="5"/>
  <c r="M14" i="5"/>
  <c r="M15" i="5"/>
  <c r="M16" i="5"/>
  <c r="M17" i="5"/>
  <c r="M18" i="5"/>
  <c r="M19" i="5"/>
  <c r="M20" i="5"/>
  <c r="M21" i="5"/>
  <c r="M22" i="5"/>
  <c r="A7" i="6" l="1"/>
  <c r="N36" i="3"/>
  <c r="A32" i="3"/>
  <c r="N28" i="3"/>
  <c r="A31" i="3"/>
  <c r="A6" i="5"/>
  <c r="N8" i="6" l="1"/>
  <c r="N9" i="6"/>
  <c r="N10" i="6"/>
  <c r="N11" i="6"/>
  <c r="N12" i="6"/>
  <c r="N13" i="6"/>
  <c r="N14" i="6"/>
  <c r="N15" i="6"/>
  <c r="N16" i="6"/>
  <c r="N17" i="6"/>
  <c r="N18" i="6"/>
  <c r="N19" i="6"/>
  <c r="N20" i="6"/>
  <c r="N21" i="6"/>
  <c r="N22" i="6"/>
  <c r="N23" i="6"/>
  <c r="N24" i="6"/>
  <c r="N25" i="6"/>
  <c r="N26" i="6"/>
  <c r="A5" i="6"/>
  <c r="A6" i="6"/>
  <c r="A13" i="6"/>
  <c r="A14" i="6"/>
  <c r="A15" i="6"/>
  <c r="A16" i="6"/>
  <c r="A7" i="5"/>
  <c r="A8" i="5"/>
  <c r="A13" i="5"/>
  <c r="A17" i="5"/>
  <c r="A18" i="5"/>
  <c r="A19" i="5"/>
  <c r="A23" i="5"/>
  <c r="A31" i="5"/>
  <c r="A32" i="5"/>
  <c r="A33" i="5"/>
  <c r="A4" i="5"/>
  <c r="A5" i="5"/>
  <c r="H3" i="6"/>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229" i="7"/>
  <c r="M230" i="7"/>
  <c r="M231" i="7"/>
  <c r="M232" i="7"/>
  <c r="M233" i="7"/>
  <c r="M234" i="7"/>
  <c r="M235" i="7"/>
  <c r="M236" i="7"/>
  <c r="M237" i="7"/>
  <c r="M238" i="7"/>
  <c r="M239" i="7"/>
  <c r="M240" i="7"/>
  <c r="M241" i="7"/>
  <c r="M242" i="7"/>
  <c r="M243" i="7"/>
  <c r="M244" i="7"/>
  <c r="M245" i="7"/>
  <c r="M246" i="7"/>
  <c r="M247" i="7"/>
  <c r="M248" i="7"/>
  <c r="M249" i="7"/>
  <c r="M250" i="7"/>
  <c r="M251" i="7"/>
  <c r="M252" i="7"/>
  <c r="M253" i="7"/>
  <c r="M254" i="7"/>
  <c r="M255" i="7"/>
  <c r="M256" i="7"/>
  <c r="M257" i="7"/>
  <c r="M258" i="7"/>
  <c r="M259" i="7"/>
  <c r="M260" i="7"/>
  <c r="M261" i="7"/>
  <c r="M262" i="7"/>
  <c r="M263" i="7"/>
  <c r="M264" i="7"/>
  <c r="M265" i="7"/>
  <c r="M266" i="7"/>
  <c r="M267" i="7"/>
  <c r="M268" i="7"/>
  <c r="M269" i="7"/>
  <c r="M270" i="7"/>
  <c r="M271" i="7"/>
  <c r="M272" i="7"/>
  <c r="M273" i="7"/>
  <c r="M274" i="7"/>
  <c r="M275" i="7"/>
  <c r="M276" i="7"/>
  <c r="M277" i="7"/>
  <c r="M278" i="7"/>
  <c r="M279" i="7"/>
  <c r="M280" i="7"/>
  <c r="M281" i="7"/>
  <c r="M282" i="7"/>
  <c r="M283" i="7"/>
  <c r="M284" i="7"/>
  <c r="M285" i="7"/>
  <c r="M286" i="7"/>
  <c r="M287" i="7"/>
  <c r="M288" i="7"/>
  <c r="M289" i="7"/>
  <c r="M290" i="7"/>
  <c r="M291" i="7"/>
  <c r="M292" i="7"/>
  <c r="M293" i="7"/>
  <c r="M294" i="7"/>
  <c r="M295" i="7"/>
  <c r="M296" i="7"/>
  <c r="M297" i="7"/>
  <c r="M298" i="7"/>
  <c r="M299" i="7"/>
  <c r="M300" i="7"/>
  <c r="M301" i="7"/>
  <c r="M302" i="7"/>
  <c r="M303" i="7"/>
  <c r="M304" i="7"/>
  <c r="M305" i="7"/>
  <c r="M306" i="7"/>
  <c r="M307" i="7"/>
  <c r="M308" i="7"/>
  <c r="M309" i="7"/>
  <c r="M310" i="7"/>
  <c r="M311" i="7"/>
  <c r="M312" i="7"/>
  <c r="M313" i="7"/>
  <c r="M314" i="7"/>
  <c r="M315" i="7"/>
  <c r="M316" i="7"/>
  <c r="M317" i="7"/>
  <c r="M318" i="7"/>
  <c r="M319" i="7"/>
  <c r="M320" i="7"/>
  <c r="M321" i="7"/>
  <c r="M322" i="7"/>
  <c r="M323" i="7"/>
  <c r="M324" i="7"/>
  <c r="M325" i="7"/>
  <c r="M326" i="7"/>
  <c r="M327" i="7"/>
  <c r="M328" i="7"/>
  <c r="M329" i="7"/>
  <c r="M330" i="7"/>
  <c r="M331" i="7"/>
  <c r="M332" i="7"/>
  <c r="M333" i="7"/>
  <c r="M334" i="7"/>
  <c r="M335" i="7"/>
  <c r="M336" i="7"/>
  <c r="M337" i="7"/>
  <c r="M338" i="7"/>
  <c r="M339" i="7"/>
  <c r="M340" i="7"/>
  <c r="M341" i="7"/>
  <c r="M342" i="7"/>
  <c r="M343" i="7"/>
  <c r="M344" i="7"/>
  <c r="M345" i="7"/>
  <c r="M346" i="7"/>
  <c r="M347" i="7"/>
  <c r="M348" i="7"/>
  <c r="M349" i="7"/>
  <c r="M350" i="7"/>
  <c r="M351" i="7"/>
  <c r="M352" i="7"/>
  <c r="M353" i="7"/>
  <c r="M354" i="7"/>
  <c r="M355" i="7"/>
  <c r="M356" i="7"/>
  <c r="M357" i="7"/>
  <c r="M358" i="7"/>
  <c r="M359" i="7"/>
  <c r="M360" i="7"/>
  <c r="M361" i="7"/>
  <c r="M362" i="7"/>
  <c r="M363" i="7"/>
  <c r="M364" i="7"/>
  <c r="M365" i="7"/>
  <c r="M366" i="7"/>
  <c r="M367" i="7"/>
  <c r="M368" i="7"/>
  <c r="M369" i="7"/>
  <c r="M370" i="7"/>
  <c r="M371" i="7"/>
  <c r="M372" i="7"/>
  <c r="M373" i="7"/>
  <c r="M374" i="7"/>
  <c r="M375" i="7"/>
  <c r="M376" i="7"/>
  <c r="M377" i="7"/>
  <c r="M378" i="7"/>
  <c r="M379" i="7"/>
  <c r="M380" i="7"/>
  <c r="M381" i="7"/>
  <c r="M382" i="7"/>
  <c r="M383" i="7"/>
  <c r="M384" i="7"/>
  <c r="M385" i="7"/>
  <c r="M386" i="7"/>
  <c r="M387" i="7"/>
  <c r="M388" i="7"/>
  <c r="M389" i="7"/>
  <c r="M390" i="7"/>
  <c r="M391" i="7"/>
  <c r="M392" i="7"/>
  <c r="M393" i="7"/>
  <c r="M394" i="7"/>
  <c r="M395" i="7"/>
  <c r="M396" i="7"/>
  <c r="M397" i="7"/>
  <c r="M398" i="7"/>
  <c r="M399" i="7"/>
  <c r="M400" i="7"/>
  <c r="M401" i="7"/>
  <c r="M402" i="7"/>
  <c r="M403" i="7"/>
  <c r="M404" i="7"/>
  <c r="M405" i="7"/>
  <c r="M406" i="7"/>
  <c r="M407" i="7"/>
  <c r="M408" i="7"/>
  <c r="M409" i="7"/>
  <c r="M410" i="7"/>
  <c r="M411" i="7"/>
  <c r="M412" i="7"/>
  <c r="M413" i="7"/>
  <c r="M414" i="7"/>
  <c r="M415" i="7"/>
  <c r="M416" i="7"/>
  <c r="M417" i="7"/>
  <c r="M418" i="7"/>
  <c r="M419" i="7"/>
  <c r="M420" i="7"/>
  <c r="M421" i="7"/>
  <c r="M422" i="7"/>
  <c r="M423" i="7"/>
  <c r="M424" i="7"/>
  <c r="M425" i="7"/>
  <c r="M426" i="7"/>
  <c r="M427" i="7"/>
  <c r="M428" i="7"/>
  <c r="M429" i="7"/>
  <c r="M430" i="7"/>
  <c r="M431" i="7"/>
  <c r="M432" i="7"/>
  <c r="M433" i="7"/>
  <c r="M434" i="7"/>
  <c r="M435" i="7"/>
  <c r="M436" i="7"/>
  <c r="M437" i="7"/>
  <c r="M438" i="7"/>
  <c r="M439" i="7"/>
  <c r="M440" i="7"/>
  <c r="M441" i="7"/>
  <c r="M442" i="7"/>
  <c r="M443" i="7"/>
  <c r="M444" i="7"/>
  <c r="M445" i="7"/>
  <c r="M446" i="7"/>
  <c r="M447" i="7"/>
  <c r="M448" i="7"/>
  <c r="M449" i="7"/>
  <c r="M450" i="7"/>
  <c r="M451" i="7"/>
  <c r="M452" i="7"/>
  <c r="M453" i="7"/>
  <c r="M454" i="7"/>
  <c r="M455" i="7"/>
  <c r="M456" i="7"/>
  <c r="M457" i="7"/>
  <c r="M458" i="7"/>
  <c r="M459" i="7"/>
  <c r="M460" i="7"/>
  <c r="M461" i="7"/>
  <c r="M462" i="7"/>
  <c r="M463" i="7"/>
  <c r="M464" i="7"/>
  <c r="M465" i="7"/>
  <c r="M466" i="7"/>
  <c r="M467" i="7"/>
  <c r="M468" i="7"/>
  <c r="M469" i="7"/>
  <c r="M470" i="7"/>
  <c r="M471" i="7"/>
  <c r="M472" i="7"/>
  <c r="M473" i="7"/>
  <c r="M474" i="7"/>
  <c r="M475" i="7"/>
  <c r="M476" i="7"/>
  <c r="M477" i="7"/>
  <c r="M478" i="7"/>
  <c r="M479" i="7"/>
  <c r="M480" i="7"/>
  <c r="M481" i="7"/>
  <c r="M482" i="7"/>
  <c r="M483" i="7"/>
  <c r="M484" i="7"/>
  <c r="M485" i="7"/>
  <c r="M486" i="7"/>
  <c r="M487" i="7"/>
  <c r="M488" i="7"/>
  <c r="M489" i="7"/>
  <c r="M490" i="7"/>
  <c r="M491" i="7"/>
  <c r="M492" i="7"/>
  <c r="M493" i="7"/>
  <c r="M494" i="7"/>
  <c r="M495" i="7"/>
  <c r="M496" i="7"/>
  <c r="M497" i="7"/>
  <c r="M498" i="7"/>
  <c r="M499" i="7"/>
  <c r="M500" i="7"/>
  <c r="M501" i="7"/>
  <c r="M502" i="7"/>
  <c r="M503" i="7"/>
  <c r="M504" i="7"/>
  <c r="M505" i="7"/>
  <c r="M506" i="7"/>
  <c r="M507" i="7"/>
  <c r="M508" i="7"/>
  <c r="M509" i="7"/>
  <c r="M510" i="7"/>
  <c r="M511" i="7"/>
  <c r="M512" i="7"/>
  <c r="M513" i="7"/>
  <c r="M514" i="7"/>
  <c r="M515" i="7"/>
  <c r="M516" i="7"/>
  <c r="M517" i="7"/>
  <c r="M518" i="7"/>
  <c r="M519" i="7"/>
  <c r="M520" i="7"/>
  <c r="M521" i="7"/>
  <c r="M522" i="7"/>
  <c r="M523" i="7"/>
  <c r="M524" i="7"/>
  <c r="M525" i="7"/>
  <c r="M526" i="7"/>
  <c r="M527" i="7"/>
  <c r="M528" i="7"/>
  <c r="M529" i="7"/>
  <c r="M530" i="7"/>
  <c r="M531" i="7"/>
  <c r="M532" i="7"/>
  <c r="M533" i="7"/>
  <c r="M534" i="7"/>
  <c r="M535" i="7"/>
  <c r="M536" i="7"/>
  <c r="M537" i="7"/>
  <c r="M538" i="7"/>
  <c r="M539" i="7"/>
  <c r="M540" i="7"/>
  <c r="M541" i="7"/>
  <c r="M542" i="7"/>
  <c r="M543" i="7"/>
  <c r="M544" i="7"/>
  <c r="M545" i="7"/>
  <c r="M546" i="7"/>
  <c r="M547" i="7"/>
  <c r="M548" i="7"/>
  <c r="M549" i="7"/>
  <c r="M550" i="7"/>
  <c r="M551" i="7"/>
  <c r="M552" i="7"/>
  <c r="M553" i="7"/>
  <c r="M554" i="7"/>
  <c r="M555" i="7"/>
  <c r="M556" i="7"/>
  <c r="M557" i="7"/>
  <c r="M558" i="7"/>
  <c r="M559" i="7"/>
  <c r="M560" i="7"/>
  <c r="M561" i="7"/>
  <c r="M562" i="7"/>
  <c r="M563" i="7"/>
  <c r="M564" i="7"/>
  <c r="M565" i="7"/>
  <c r="M566" i="7"/>
  <c r="M567" i="7"/>
  <c r="M568" i="7"/>
  <c r="M569" i="7"/>
  <c r="M570" i="7"/>
  <c r="M571" i="7"/>
  <c r="M572" i="7"/>
  <c r="M573" i="7"/>
  <c r="M574" i="7"/>
  <c r="M575" i="7"/>
  <c r="M576" i="7"/>
  <c r="M577" i="7"/>
  <c r="M578" i="7"/>
  <c r="M579" i="7"/>
  <c r="M580" i="7"/>
  <c r="M581" i="7"/>
  <c r="M582" i="7"/>
  <c r="M583" i="7"/>
  <c r="M584" i="7"/>
  <c r="M585" i="7"/>
  <c r="M586" i="7"/>
  <c r="M587" i="7"/>
  <c r="M588" i="7"/>
  <c r="M589" i="7"/>
  <c r="M590" i="7"/>
  <c r="M591" i="7"/>
  <c r="M592" i="7"/>
  <c r="M593" i="7"/>
  <c r="M594" i="7"/>
  <c r="M595" i="7"/>
  <c r="M596" i="7"/>
  <c r="M597" i="7"/>
  <c r="M598" i="7"/>
  <c r="M599" i="7"/>
  <c r="M600" i="7"/>
  <c r="M601" i="7"/>
  <c r="M602" i="7"/>
  <c r="M603" i="7"/>
  <c r="M604" i="7"/>
  <c r="M605" i="7"/>
  <c r="M606" i="7"/>
  <c r="M607" i="7"/>
  <c r="M608" i="7"/>
  <c r="M609" i="7"/>
  <c r="M610" i="7"/>
  <c r="M611" i="7"/>
  <c r="M612" i="7"/>
  <c r="M613" i="7"/>
  <c r="M614" i="7"/>
  <c r="M615" i="7"/>
  <c r="M616" i="7"/>
  <c r="M617" i="7"/>
  <c r="M618" i="7"/>
  <c r="M619" i="7"/>
  <c r="M620" i="7"/>
  <c r="M621" i="7"/>
  <c r="M622" i="7"/>
  <c r="M623" i="7"/>
  <c r="M624" i="7"/>
  <c r="M625" i="7"/>
  <c r="M626" i="7"/>
  <c r="M627" i="7"/>
  <c r="M628" i="7"/>
  <c r="M629" i="7"/>
  <c r="M630" i="7"/>
  <c r="M631" i="7"/>
  <c r="M632" i="7"/>
  <c r="M633" i="7"/>
  <c r="M634" i="7"/>
  <c r="M635" i="7"/>
  <c r="M636" i="7"/>
  <c r="M637" i="7"/>
  <c r="M638" i="7"/>
  <c r="M639" i="7"/>
  <c r="M640" i="7"/>
  <c r="M641" i="7"/>
  <c r="M642" i="7"/>
  <c r="M643" i="7"/>
  <c r="M644" i="7"/>
  <c r="M645" i="7"/>
  <c r="M646" i="7"/>
  <c r="M647" i="7"/>
  <c r="M648" i="7"/>
  <c r="M649" i="7"/>
  <c r="M650" i="7"/>
  <c r="M651" i="7"/>
  <c r="M652" i="7"/>
  <c r="M653" i="7"/>
  <c r="M654" i="7"/>
  <c r="M655" i="7"/>
  <c r="M656" i="7"/>
  <c r="M657" i="7"/>
  <c r="M658" i="7"/>
  <c r="M659" i="7"/>
  <c r="M660" i="7"/>
  <c r="M661" i="7"/>
  <c r="M662" i="7"/>
  <c r="M663" i="7"/>
  <c r="M664" i="7"/>
  <c r="M665" i="7"/>
  <c r="M666" i="7"/>
  <c r="M667" i="7"/>
  <c r="M668" i="7"/>
  <c r="M669" i="7"/>
  <c r="M670" i="7"/>
  <c r="M671" i="7"/>
  <c r="M672" i="7"/>
  <c r="M673" i="7"/>
  <c r="M674" i="7"/>
  <c r="M675" i="7"/>
  <c r="M676" i="7"/>
  <c r="M677" i="7"/>
  <c r="M678" i="7"/>
  <c r="M679" i="7"/>
  <c r="M680" i="7"/>
  <c r="M681" i="7"/>
  <c r="M682" i="7"/>
  <c r="M683" i="7"/>
  <c r="M684" i="7"/>
  <c r="M685" i="7"/>
  <c r="M686" i="7"/>
  <c r="M687" i="7"/>
  <c r="M688" i="7"/>
  <c r="M689" i="7"/>
  <c r="M690" i="7"/>
  <c r="M691" i="7"/>
  <c r="M692" i="7"/>
  <c r="M693" i="7"/>
  <c r="M694" i="7"/>
  <c r="M695" i="7"/>
  <c r="M696" i="7"/>
  <c r="M697" i="7"/>
  <c r="M698" i="7"/>
  <c r="M699" i="7"/>
  <c r="M700" i="7"/>
  <c r="M701" i="7"/>
  <c r="M702" i="7"/>
  <c r="M703" i="7"/>
  <c r="M704" i="7"/>
  <c r="M705" i="7"/>
  <c r="M706" i="7"/>
  <c r="M707" i="7"/>
  <c r="M708" i="7"/>
  <c r="M709" i="7"/>
  <c r="M710" i="7"/>
  <c r="M711" i="7"/>
  <c r="M712" i="7"/>
  <c r="M713" i="7"/>
  <c r="M714" i="7"/>
  <c r="M715" i="7"/>
  <c r="M716" i="7"/>
  <c r="M717" i="7"/>
  <c r="M718" i="7"/>
  <c r="M719" i="7"/>
  <c r="M720" i="7"/>
  <c r="M721" i="7"/>
  <c r="M722" i="7"/>
  <c r="M723" i="7"/>
  <c r="M724" i="7"/>
  <c r="M725" i="7"/>
  <c r="M726" i="7"/>
  <c r="M727" i="7"/>
  <c r="M728" i="7"/>
  <c r="M729" i="7"/>
  <c r="M730" i="7"/>
  <c r="M731" i="7"/>
  <c r="M732" i="7"/>
  <c r="M733" i="7"/>
  <c r="M734" i="7"/>
  <c r="M735" i="7"/>
  <c r="M736" i="7"/>
  <c r="M737" i="7"/>
  <c r="M738" i="7"/>
  <c r="M739" i="7"/>
  <c r="M740" i="7"/>
  <c r="M741" i="7"/>
  <c r="M742" i="7"/>
  <c r="M743" i="7"/>
  <c r="M744" i="7"/>
  <c r="M745" i="7"/>
  <c r="M746" i="7"/>
  <c r="M747" i="7"/>
  <c r="M748" i="7"/>
  <c r="M749" i="7"/>
  <c r="M750" i="7"/>
  <c r="M751" i="7"/>
  <c r="M752" i="7"/>
  <c r="M753" i="7"/>
  <c r="M754" i="7"/>
  <c r="M755" i="7"/>
  <c r="M756" i="7"/>
  <c r="M757" i="7"/>
  <c r="M758" i="7"/>
  <c r="M759" i="7"/>
  <c r="M760" i="7"/>
  <c r="M761" i="7"/>
  <c r="M762" i="7"/>
  <c r="M763" i="7"/>
  <c r="M764" i="7"/>
  <c r="M765" i="7"/>
  <c r="M766" i="7"/>
  <c r="M767" i="7"/>
  <c r="M768" i="7"/>
  <c r="M769" i="7"/>
  <c r="M770" i="7"/>
  <c r="M771" i="7"/>
  <c r="M772" i="7"/>
  <c r="M773" i="7"/>
  <c r="M774" i="7"/>
  <c r="M775" i="7"/>
  <c r="M776" i="7"/>
  <c r="M777" i="7"/>
  <c r="M778" i="7"/>
  <c r="M779" i="7"/>
  <c r="M780" i="7"/>
  <c r="M781" i="7"/>
  <c r="M782" i="7"/>
  <c r="M783" i="7"/>
  <c r="M784" i="7"/>
  <c r="M785" i="7"/>
  <c r="M786" i="7"/>
  <c r="M787" i="7"/>
  <c r="M788" i="7"/>
  <c r="M789" i="7"/>
  <c r="M790" i="7"/>
  <c r="M791" i="7"/>
  <c r="M792" i="7"/>
  <c r="M793" i="7"/>
  <c r="M794" i="7"/>
  <c r="M795" i="7"/>
  <c r="M796" i="7"/>
  <c r="M797" i="7"/>
  <c r="M798" i="7"/>
  <c r="M799" i="7"/>
  <c r="M800" i="7"/>
  <c r="M801" i="7"/>
  <c r="M802" i="7"/>
  <c r="M803" i="7"/>
  <c r="M804" i="7"/>
  <c r="M805" i="7"/>
  <c r="M806" i="7"/>
  <c r="M807" i="7"/>
  <c r="M808" i="7"/>
  <c r="M809" i="7"/>
  <c r="M810" i="7"/>
  <c r="M811" i="7"/>
  <c r="M812" i="7"/>
  <c r="M813" i="7"/>
  <c r="M814" i="7"/>
  <c r="M815" i="7"/>
  <c r="M816" i="7"/>
  <c r="M817" i="7"/>
  <c r="M818" i="7"/>
  <c r="M819" i="7"/>
  <c r="M820" i="7"/>
  <c r="M821" i="7"/>
  <c r="M822" i="7"/>
  <c r="M823" i="7"/>
  <c r="M824" i="7"/>
  <c r="M825" i="7"/>
  <c r="M826" i="7"/>
  <c r="M827" i="7"/>
  <c r="M828" i="7"/>
  <c r="M829" i="7"/>
  <c r="M830" i="7"/>
  <c r="M831" i="7"/>
  <c r="M832" i="7"/>
  <c r="M833" i="7"/>
  <c r="M834" i="7"/>
  <c r="M835" i="7"/>
  <c r="M836" i="7"/>
  <c r="M837" i="7"/>
  <c r="M838" i="7"/>
  <c r="M839" i="7"/>
  <c r="M840" i="7"/>
  <c r="M841" i="7"/>
  <c r="M842" i="7"/>
  <c r="M843" i="7"/>
  <c r="M844" i="7"/>
  <c r="M845" i="7"/>
  <c r="M846" i="7"/>
  <c r="M847" i="7"/>
  <c r="M848" i="7"/>
  <c r="M849" i="7"/>
  <c r="M850" i="7"/>
  <c r="M851" i="7"/>
  <c r="M852" i="7"/>
  <c r="M853" i="7"/>
  <c r="M854" i="7"/>
  <c r="M855" i="7"/>
  <c r="M856" i="7"/>
  <c r="M857" i="7"/>
  <c r="M858" i="7"/>
  <c r="M859" i="7"/>
  <c r="M860" i="7"/>
  <c r="M861" i="7"/>
  <c r="M862" i="7"/>
  <c r="M863" i="7"/>
  <c r="M864" i="7"/>
  <c r="M865" i="7"/>
  <c r="M866" i="7"/>
  <c r="M867" i="7"/>
  <c r="M868" i="7"/>
  <c r="M869" i="7"/>
  <c r="M870" i="7"/>
  <c r="M871" i="7"/>
  <c r="M872" i="7"/>
  <c r="M873" i="7"/>
  <c r="M874" i="7"/>
  <c r="M875" i="7"/>
  <c r="M876" i="7"/>
  <c r="M877" i="7"/>
  <c r="M878" i="7"/>
  <c r="M879" i="7"/>
  <c r="M880" i="7"/>
  <c r="M881" i="7"/>
  <c r="M882" i="7"/>
  <c r="M883" i="7"/>
  <c r="M884" i="7"/>
  <c r="M885" i="7"/>
  <c r="M886" i="7"/>
  <c r="M887" i="7"/>
  <c r="M888" i="7"/>
  <c r="M889" i="7"/>
  <c r="M890" i="7"/>
  <c r="M891" i="7"/>
  <c r="M892" i="7"/>
  <c r="M893" i="7"/>
  <c r="M894" i="7"/>
  <c r="M895" i="7"/>
  <c r="M896" i="7"/>
  <c r="M897" i="7"/>
  <c r="M898" i="7"/>
  <c r="M899" i="7"/>
  <c r="M900" i="7"/>
  <c r="M901" i="7"/>
  <c r="M902" i="7"/>
  <c r="M903" i="7"/>
  <c r="M904" i="7"/>
  <c r="M905" i="7"/>
  <c r="M906" i="7"/>
  <c r="M907" i="7"/>
  <c r="M908" i="7"/>
  <c r="M909" i="7"/>
  <c r="M910" i="7"/>
  <c r="M911" i="7"/>
  <c r="M912" i="7"/>
  <c r="M913" i="7"/>
  <c r="M914" i="7"/>
  <c r="M915" i="7"/>
  <c r="M916" i="7"/>
  <c r="M917" i="7"/>
  <c r="M918" i="7"/>
  <c r="M919" i="7"/>
  <c r="M920" i="7"/>
  <c r="M921" i="7"/>
  <c r="M922" i="7"/>
  <c r="M923" i="7"/>
  <c r="M924" i="7"/>
  <c r="M925" i="7"/>
  <c r="M926" i="7"/>
  <c r="M927" i="7"/>
  <c r="M928" i="7"/>
  <c r="M929" i="7"/>
  <c r="M930" i="7"/>
  <c r="M931" i="7"/>
  <c r="M932" i="7"/>
  <c r="M933" i="7"/>
  <c r="M934" i="7"/>
  <c r="M935" i="7"/>
  <c r="M936" i="7"/>
  <c r="M937" i="7"/>
  <c r="M938" i="7"/>
  <c r="M939" i="7"/>
  <c r="M940" i="7"/>
  <c r="M941" i="7"/>
  <c r="M942" i="7"/>
  <c r="M943" i="7"/>
  <c r="M944" i="7"/>
  <c r="M945" i="7"/>
  <c r="M946" i="7"/>
  <c r="M947" i="7"/>
  <c r="M948" i="7"/>
  <c r="M949" i="7"/>
  <c r="M950" i="7"/>
  <c r="M951" i="7"/>
  <c r="M952" i="7"/>
  <c r="M953" i="7"/>
  <c r="M954" i="7"/>
  <c r="M955" i="7"/>
  <c r="M956" i="7"/>
  <c r="M957" i="7"/>
  <c r="M958" i="7"/>
  <c r="M959" i="7"/>
  <c r="M960" i="7"/>
  <c r="M961" i="7"/>
  <c r="M962" i="7"/>
  <c r="M963" i="7"/>
  <c r="M964" i="7"/>
  <c r="M965" i="7"/>
  <c r="M966" i="7"/>
  <c r="M967" i="7"/>
  <c r="M968" i="7"/>
  <c r="M969" i="7"/>
  <c r="M970" i="7"/>
  <c r="M971" i="7"/>
  <c r="M972" i="7"/>
  <c r="M973" i="7"/>
  <c r="M974" i="7"/>
  <c r="M975" i="7"/>
  <c r="M976" i="7"/>
  <c r="M977" i="7"/>
  <c r="M978" i="7"/>
  <c r="M979" i="7"/>
  <c r="M980" i="7"/>
  <c r="M981" i="7"/>
  <c r="M982" i="7"/>
  <c r="M983" i="7"/>
  <c r="M984" i="7"/>
  <c r="M985" i="7"/>
  <c r="M986" i="7"/>
  <c r="M987" i="7"/>
  <c r="M988" i="7"/>
  <c r="M989" i="7"/>
  <c r="M990" i="7"/>
  <c r="M991" i="7"/>
  <c r="M992" i="7"/>
  <c r="M993" i="7"/>
  <c r="M994" i="7"/>
  <c r="M995" i="7"/>
  <c r="M996" i="7"/>
  <c r="M997" i="7"/>
  <c r="M998" i="7"/>
  <c r="M999" i="7"/>
  <c r="M1000" i="7"/>
  <c r="M1001" i="7"/>
  <c r="M1002" i="7"/>
  <c r="M1003" i="7"/>
  <c r="M1004" i="7"/>
  <c r="M1005" i="7"/>
  <c r="M1006" i="7"/>
  <c r="M1007" i="7"/>
  <c r="M1008" i="7"/>
  <c r="M1009" i="7"/>
  <c r="M1010" i="7"/>
  <c r="M1011" i="7"/>
  <c r="M1012" i="7"/>
  <c r="M1013" i="7"/>
  <c r="M1014" i="7"/>
  <c r="M1015" i="7"/>
  <c r="M1016" i="7"/>
  <c r="M1017" i="7"/>
  <c r="M1018" i="7"/>
  <c r="M1019" i="7"/>
  <c r="M1020" i="7"/>
  <c r="M1021" i="7"/>
  <c r="M1022" i="7"/>
  <c r="M1023" i="7"/>
  <c r="M1024" i="7"/>
  <c r="M1025" i="7"/>
  <c r="M1026" i="7"/>
  <c r="M1027" i="7"/>
  <c r="M1028" i="7"/>
  <c r="M1029" i="7"/>
  <c r="M1030" i="7"/>
  <c r="M1031" i="7"/>
  <c r="M1032" i="7"/>
  <c r="M1033" i="7"/>
  <c r="M1034" i="7"/>
  <c r="M1035" i="7"/>
  <c r="M1036" i="7"/>
  <c r="M1037" i="7"/>
  <c r="M1038" i="7"/>
  <c r="M1039" i="7"/>
  <c r="M1040" i="7"/>
  <c r="M1041" i="7"/>
  <c r="M1042" i="7"/>
  <c r="M1043" i="7"/>
  <c r="M1044" i="7"/>
  <c r="M1045" i="7"/>
  <c r="M1046" i="7"/>
  <c r="M1047" i="7"/>
  <c r="M1048" i="7"/>
  <c r="M1049" i="7"/>
  <c r="M1050" i="7"/>
  <c r="M1051" i="7"/>
  <c r="M1052" i="7"/>
  <c r="M1053" i="7"/>
  <c r="M1054" i="7"/>
  <c r="M1055" i="7"/>
  <c r="M1056" i="7"/>
  <c r="M1057" i="7"/>
  <c r="M1058" i="7"/>
  <c r="M1059" i="7"/>
  <c r="M1060" i="7"/>
  <c r="M1061" i="7"/>
  <c r="M1062" i="7"/>
  <c r="M1063" i="7"/>
  <c r="M1064" i="7"/>
  <c r="M1065" i="7"/>
  <c r="M1066" i="7"/>
  <c r="M1067" i="7"/>
  <c r="M1068" i="7"/>
  <c r="M1069" i="7"/>
  <c r="M1070" i="7"/>
  <c r="M1071" i="7"/>
  <c r="M1072" i="7"/>
  <c r="M1073" i="7"/>
  <c r="M1074" i="7"/>
  <c r="M1075" i="7"/>
  <c r="M1076" i="7"/>
  <c r="M1077" i="7"/>
  <c r="M1078" i="7"/>
  <c r="M1079" i="7"/>
  <c r="M1080" i="7"/>
  <c r="M1081" i="7"/>
  <c r="M1082" i="7"/>
  <c r="M1083" i="7"/>
  <c r="M1084" i="7"/>
  <c r="M1085" i="7"/>
  <c r="M1086" i="7"/>
  <c r="M1087" i="7"/>
  <c r="M1088" i="7"/>
  <c r="M1089" i="7"/>
  <c r="M1090" i="7"/>
  <c r="M1091" i="7"/>
  <c r="M1092" i="7"/>
  <c r="M1093" i="7"/>
  <c r="M1094" i="7"/>
  <c r="M1095" i="7"/>
  <c r="M1096" i="7"/>
  <c r="M1097" i="7"/>
  <c r="M1098" i="7"/>
  <c r="M1099" i="7"/>
  <c r="M1100" i="7"/>
  <c r="M1101" i="7"/>
  <c r="M1102" i="7"/>
  <c r="M1103" i="7"/>
  <c r="M1104" i="7"/>
  <c r="M1105" i="7"/>
  <c r="M1106" i="7"/>
  <c r="M1107" i="7"/>
  <c r="M1108" i="7"/>
  <c r="M1109" i="7"/>
  <c r="M1110" i="7"/>
  <c r="M1111" i="7"/>
  <c r="M1112" i="7"/>
  <c r="M1113" i="7"/>
  <c r="M1114" i="7"/>
  <c r="M1115" i="7"/>
  <c r="M1116" i="7"/>
  <c r="M1117" i="7"/>
  <c r="M1118" i="7"/>
  <c r="M1119" i="7"/>
  <c r="M1120" i="7"/>
  <c r="M1121" i="7"/>
  <c r="M1122" i="7"/>
  <c r="M1123" i="7"/>
  <c r="M1124" i="7"/>
  <c r="M1125" i="7"/>
  <c r="M1126" i="7"/>
  <c r="M1127" i="7"/>
  <c r="M1128" i="7"/>
  <c r="M1129" i="7"/>
  <c r="M1130" i="7"/>
  <c r="M1131" i="7"/>
  <c r="M1132" i="7"/>
  <c r="M1133" i="7"/>
  <c r="M1134" i="7"/>
  <c r="M1135" i="7"/>
  <c r="M1136" i="7"/>
  <c r="M1137" i="7"/>
  <c r="M1138" i="7"/>
  <c r="M1139" i="7"/>
  <c r="M1140" i="7"/>
  <c r="M1141" i="7"/>
  <c r="M1142" i="7"/>
  <c r="M1143" i="7"/>
  <c r="M1144" i="7"/>
  <c r="M1145" i="7"/>
  <c r="M1146" i="7"/>
  <c r="M1147" i="7"/>
  <c r="M1148" i="7"/>
  <c r="M1149" i="7"/>
  <c r="M1150" i="7"/>
  <c r="M1151" i="7"/>
  <c r="M1152" i="7"/>
  <c r="M1153" i="7"/>
  <c r="M1154" i="7"/>
  <c r="M1155" i="7"/>
  <c r="M1156" i="7"/>
  <c r="M1157" i="7"/>
  <c r="M1158" i="7"/>
  <c r="M1159" i="7"/>
  <c r="M1160" i="7"/>
  <c r="M1161" i="7"/>
  <c r="M1162" i="7"/>
  <c r="M1163" i="7"/>
  <c r="M1164" i="7"/>
  <c r="M1165" i="7"/>
  <c r="M1166" i="7"/>
  <c r="M1167" i="7"/>
  <c r="M1168" i="7"/>
  <c r="M1169" i="7"/>
  <c r="M1170" i="7"/>
  <c r="M1171" i="7"/>
  <c r="M1172" i="7"/>
  <c r="M1173" i="7"/>
  <c r="M1174" i="7"/>
  <c r="M1175" i="7"/>
  <c r="M1176" i="7"/>
  <c r="M1177" i="7"/>
  <c r="M1178" i="7"/>
  <c r="M1179" i="7"/>
  <c r="M1180" i="7"/>
  <c r="M1181" i="7"/>
  <c r="M1182" i="7"/>
  <c r="M1183" i="7"/>
  <c r="M1184" i="7"/>
  <c r="M1185" i="7"/>
  <c r="M1186" i="7"/>
  <c r="M1187" i="7"/>
  <c r="M1188" i="7"/>
  <c r="M1189" i="7"/>
  <c r="M1190" i="7"/>
  <c r="M1191" i="7"/>
  <c r="M1192" i="7"/>
  <c r="M1193" i="7"/>
  <c r="M1194" i="7"/>
  <c r="M1195" i="7"/>
  <c r="M1196" i="7"/>
  <c r="M1197" i="7"/>
  <c r="M1198" i="7"/>
  <c r="M1199" i="7"/>
  <c r="M1200" i="7"/>
  <c r="M1201" i="7"/>
  <c r="M1202" i="7"/>
  <c r="M1203" i="7"/>
  <c r="M1204" i="7"/>
  <c r="M1205" i="7"/>
  <c r="M1206" i="7"/>
  <c r="M1207" i="7"/>
  <c r="M1208" i="7"/>
  <c r="M1209" i="7"/>
  <c r="M1210" i="7"/>
  <c r="M1211" i="7"/>
  <c r="M1212" i="7"/>
  <c r="M1213" i="7"/>
  <c r="M1214" i="7"/>
  <c r="M1215" i="7"/>
  <c r="M1216" i="7"/>
  <c r="M1217" i="7"/>
  <c r="M1218" i="7"/>
  <c r="M1219" i="7"/>
  <c r="M1220" i="7"/>
  <c r="M1221" i="7"/>
  <c r="M1222" i="7"/>
  <c r="M1223" i="7"/>
  <c r="M1224" i="7"/>
  <c r="M1225" i="7"/>
  <c r="M1226" i="7"/>
  <c r="M1227" i="7"/>
  <c r="M1228" i="7"/>
  <c r="M1229" i="7"/>
  <c r="M1230" i="7"/>
  <c r="M1231" i="7"/>
  <c r="M1232" i="7"/>
  <c r="M1233" i="7"/>
  <c r="M1234" i="7"/>
  <c r="M1235" i="7"/>
  <c r="M1236" i="7"/>
  <c r="M1237" i="7"/>
  <c r="M1238" i="7"/>
  <c r="M1239" i="7"/>
  <c r="M1240" i="7"/>
  <c r="M1241" i="7"/>
  <c r="M1242" i="7"/>
  <c r="M1243" i="7"/>
  <c r="M1244" i="7"/>
  <c r="M1245" i="7"/>
  <c r="M1246" i="7"/>
  <c r="M1247" i="7"/>
  <c r="M1248" i="7"/>
  <c r="M1249" i="7"/>
  <c r="M1250" i="7"/>
  <c r="M1251" i="7"/>
  <c r="M1252" i="7"/>
  <c r="M1253" i="7"/>
  <c r="M1254" i="7"/>
  <c r="M1255" i="7"/>
  <c r="M1256" i="7"/>
  <c r="M1257" i="7"/>
  <c r="M1258" i="7"/>
  <c r="M1259" i="7"/>
  <c r="M1260" i="7"/>
  <c r="M1261" i="7"/>
  <c r="M1262" i="7"/>
  <c r="M1263" i="7"/>
  <c r="M1264" i="7"/>
  <c r="M1265" i="7"/>
  <c r="M1266" i="7"/>
  <c r="M1267" i="7"/>
  <c r="M1268" i="7"/>
  <c r="M1269" i="7"/>
  <c r="M1270" i="7"/>
  <c r="M1271" i="7"/>
  <c r="M1272" i="7"/>
  <c r="M1273" i="7"/>
  <c r="M1274" i="7"/>
  <c r="M1275" i="7"/>
  <c r="M1276" i="7"/>
  <c r="M1277" i="7"/>
  <c r="M1278" i="7"/>
  <c r="M1279" i="7"/>
  <c r="M1280" i="7"/>
  <c r="M1281" i="7"/>
  <c r="M1282" i="7"/>
  <c r="M1283" i="7"/>
  <c r="M1284" i="7"/>
  <c r="M1285" i="7"/>
  <c r="M1286" i="7"/>
  <c r="M1287" i="7"/>
  <c r="M1288" i="7"/>
  <c r="M1289" i="7"/>
  <c r="M1290" i="7"/>
  <c r="M1291" i="7"/>
  <c r="M1292" i="7"/>
  <c r="M1293" i="7"/>
  <c r="M1294" i="7"/>
  <c r="M1295" i="7"/>
  <c r="M1296" i="7"/>
  <c r="M1297" i="7"/>
  <c r="M1298" i="7"/>
  <c r="M1299" i="7"/>
  <c r="M1300" i="7"/>
  <c r="M1301" i="7"/>
  <c r="M1302" i="7"/>
  <c r="M1303" i="7"/>
  <c r="M1304" i="7"/>
  <c r="M1305" i="7"/>
  <c r="M1306" i="7"/>
  <c r="M1307" i="7"/>
  <c r="M1308" i="7"/>
  <c r="M1309" i="7"/>
  <c r="M1310" i="7"/>
  <c r="M1311" i="7"/>
  <c r="M1312" i="7"/>
  <c r="M1313" i="7"/>
  <c r="M1314" i="7"/>
  <c r="M1315" i="7"/>
  <c r="M1316" i="7"/>
  <c r="M1317" i="7"/>
  <c r="M1318" i="7"/>
  <c r="M1319" i="7"/>
  <c r="M1320" i="7"/>
  <c r="M1321" i="7"/>
  <c r="M1322" i="7"/>
  <c r="M1323" i="7"/>
  <c r="M1324" i="7"/>
  <c r="M1325" i="7"/>
  <c r="M1326" i="7"/>
  <c r="M1327" i="7"/>
  <c r="M1328" i="7"/>
  <c r="M1329" i="7"/>
  <c r="M1330" i="7"/>
  <c r="M1331" i="7"/>
  <c r="M1332" i="7"/>
  <c r="M1333" i="7"/>
  <c r="M1334" i="7"/>
  <c r="M1335" i="7"/>
  <c r="M1336" i="7"/>
  <c r="M1337" i="7"/>
  <c r="M1338" i="7"/>
  <c r="M1339" i="7"/>
  <c r="M1340" i="7"/>
  <c r="M1341" i="7"/>
  <c r="M1342" i="7"/>
  <c r="M1343" i="7"/>
  <c r="M1344" i="7"/>
  <c r="M1345" i="7"/>
  <c r="M1346" i="7"/>
  <c r="M1347" i="7"/>
  <c r="M1348" i="7"/>
  <c r="M1349" i="7"/>
  <c r="M1350" i="7"/>
  <c r="M1351" i="7"/>
  <c r="M1352" i="7"/>
  <c r="M1353" i="7"/>
  <c r="M1354" i="7"/>
  <c r="M1355" i="7"/>
  <c r="M1356" i="7"/>
  <c r="M1357" i="7"/>
  <c r="M1358" i="7"/>
  <c r="M1359" i="7"/>
  <c r="M1360" i="7"/>
  <c r="M1361" i="7"/>
  <c r="M1362" i="7"/>
  <c r="M1363" i="7"/>
  <c r="M1364" i="7"/>
  <c r="M1365" i="7"/>
  <c r="M1366" i="7"/>
  <c r="M1367" i="7"/>
  <c r="M1368" i="7"/>
  <c r="M1369" i="7"/>
  <c r="M1370" i="7"/>
  <c r="M1371" i="7"/>
  <c r="M1372" i="7"/>
  <c r="M1373" i="7"/>
  <c r="M1374" i="7"/>
  <c r="M1375" i="7"/>
  <c r="M1376" i="7"/>
  <c r="M1377" i="7"/>
  <c r="M1378" i="7"/>
  <c r="M1379" i="7"/>
  <c r="M1380" i="7"/>
  <c r="M1381" i="7"/>
  <c r="M1382" i="7"/>
  <c r="M1383" i="7"/>
  <c r="M1384" i="7"/>
  <c r="M1385" i="7"/>
  <c r="M1386" i="7"/>
  <c r="M1387" i="7"/>
  <c r="M1388" i="7"/>
  <c r="M1389" i="7"/>
  <c r="M1390" i="7"/>
  <c r="M1391" i="7"/>
  <c r="M1392" i="7"/>
  <c r="M1393" i="7"/>
  <c r="M1394" i="7"/>
  <c r="M1395" i="7"/>
  <c r="M1396" i="7"/>
  <c r="M1397" i="7"/>
  <c r="M1398" i="7"/>
  <c r="M1399" i="7"/>
  <c r="M1400" i="7"/>
  <c r="M1401" i="7"/>
  <c r="M1402" i="7"/>
  <c r="M1403" i="7"/>
  <c r="M1404" i="7"/>
  <c r="M1405" i="7"/>
  <c r="M1406" i="7"/>
  <c r="M1407" i="7"/>
  <c r="M1408" i="7"/>
  <c r="M1409" i="7"/>
  <c r="M1410" i="7"/>
  <c r="M1411" i="7"/>
  <c r="M1412" i="7"/>
  <c r="M1413" i="7"/>
  <c r="M1414" i="7"/>
  <c r="M1415" i="7"/>
  <c r="M1416" i="7"/>
  <c r="M1417" i="7"/>
  <c r="M1418" i="7"/>
  <c r="M1419" i="7"/>
  <c r="M1420" i="7"/>
  <c r="M1421" i="7"/>
  <c r="M1422" i="7"/>
  <c r="M1423" i="7"/>
  <c r="M1424" i="7"/>
  <c r="M1425" i="7"/>
  <c r="M1426" i="7"/>
  <c r="M1427" i="7"/>
  <c r="M1428" i="7"/>
  <c r="M1429" i="7"/>
  <c r="M1430" i="7"/>
  <c r="M1431" i="7"/>
  <c r="M1432" i="7"/>
  <c r="M1433" i="7"/>
  <c r="M1434" i="7"/>
  <c r="M1435" i="7"/>
  <c r="M1436" i="7"/>
  <c r="M1437" i="7"/>
  <c r="M1438" i="7"/>
  <c r="M1439" i="7"/>
  <c r="M1440" i="7"/>
  <c r="M1441" i="7"/>
  <c r="M1442" i="7"/>
  <c r="M1443" i="7"/>
  <c r="M1444" i="7"/>
  <c r="M1445" i="7"/>
  <c r="M1446" i="7"/>
  <c r="M1447" i="7"/>
  <c r="M1448" i="7"/>
  <c r="M1449" i="7"/>
  <c r="M1450" i="7"/>
  <c r="M1451" i="7"/>
  <c r="M1452" i="7"/>
  <c r="M1453" i="7"/>
  <c r="M1454" i="7"/>
  <c r="M1455" i="7"/>
  <c r="M1456" i="7"/>
  <c r="M1457" i="7"/>
  <c r="M1458" i="7"/>
  <c r="M1459" i="7"/>
  <c r="M1460" i="7"/>
  <c r="M1461" i="7"/>
  <c r="M1462" i="7"/>
  <c r="M1463" i="7"/>
  <c r="M1464" i="7"/>
  <c r="M1465" i="7"/>
  <c r="M1466" i="7"/>
  <c r="M1467" i="7"/>
  <c r="M1468" i="7"/>
  <c r="M1469" i="7"/>
  <c r="M1470" i="7"/>
  <c r="M1471" i="7"/>
  <c r="M1472" i="7"/>
  <c r="M1473" i="7"/>
  <c r="M1474" i="7"/>
  <c r="M1475" i="7"/>
  <c r="M1476" i="7"/>
  <c r="M1477" i="7"/>
  <c r="M1478" i="7"/>
  <c r="M1479" i="7"/>
  <c r="M1480" i="7"/>
  <c r="M1481" i="7"/>
  <c r="M1482" i="7"/>
  <c r="M1483" i="7"/>
  <c r="M1484" i="7"/>
  <c r="M1485" i="7"/>
  <c r="M1486" i="7"/>
  <c r="M1487" i="7"/>
  <c r="M1488" i="7"/>
  <c r="M1489" i="7"/>
  <c r="M1490" i="7"/>
  <c r="M1491" i="7"/>
  <c r="M1492" i="7"/>
  <c r="M1493" i="7"/>
  <c r="M1494" i="7"/>
  <c r="M1495" i="7"/>
  <c r="M1496" i="7"/>
  <c r="M1497" i="7"/>
  <c r="M1498" i="7"/>
  <c r="M1499" i="7"/>
  <c r="M1500" i="7"/>
  <c r="M1501" i="7"/>
  <c r="M1502" i="7"/>
  <c r="M1503" i="7"/>
  <c r="M1504" i="7"/>
  <c r="M1505" i="7"/>
  <c r="M1506" i="7"/>
  <c r="M1507" i="7"/>
  <c r="M1508" i="7"/>
  <c r="M1509" i="7"/>
  <c r="M1510" i="7"/>
  <c r="M1511" i="7"/>
  <c r="M1512" i="7"/>
  <c r="M1513" i="7"/>
  <c r="M1514" i="7"/>
  <c r="M1515" i="7"/>
  <c r="M1516" i="7"/>
  <c r="M1517" i="7"/>
  <c r="M1518" i="7"/>
  <c r="M1519" i="7"/>
  <c r="M1520" i="7"/>
  <c r="M1521" i="7"/>
  <c r="M1522" i="7"/>
  <c r="M1523" i="7"/>
  <c r="M1524" i="7"/>
  <c r="M1525" i="7"/>
  <c r="M1526" i="7"/>
  <c r="M1527" i="7"/>
  <c r="M1528" i="7"/>
  <c r="M1529" i="7"/>
  <c r="M1530" i="7"/>
  <c r="M1531" i="7"/>
  <c r="M1532" i="7"/>
  <c r="M1533" i="7"/>
  <c r="M1534" i="7"/>
  <c r="M1535" i="7"/>
  <c r="M1536" i="7"/>
  <c r="M1537" i="7"/>
  <c r="M1538" i="7"/>
  <c r="M1539" i="7"/>
  <c r="M1540" i="7"/>
  <c r="M1541" i="7"/>
  <c r="M1542" i="7"/>
  <c r="M1543" i="7"/>
  <c r="M1544" i="7"/>
  <c r="M1545" i="7"/>
  <c r="M1546" i="7"/>
  <c r="M1547" i="7"/>
  <c r="M1548" i="7"/>
  <c r="M1549" i="7"/>
  <c r="M1550" i="7"/>
  <c r="M1551" i="7"/>
  <c r="M1552" i="7"/>
  <c r="M1553" i="7"/>
  <c r="M1554" i="7"/>
  <c r="M1555" i="7"/>
  <c r="M1556" i="7"/>
  <c r="M1557" i="7"/>
  <c r="M1558" i="7"/>
  <c r="M1559" i="7"/>
  <c r="M1560" i="7"/>
  <c r="M1561" i="7"/>
  <c r="M1562" i="7"/>
  <c r="M1563" i="7"/>
  <c r="M1564" i="7"/>
  <c r="M1565" i="7"/>
  <c r="M1566" i="7"/>
  <c r="M1567" i="7"/>
  <c r="M1568" i="7"/>
  <c r="M1569" i="7"/>
  <c r="M1570" i="7"/>
  <c r="M1571" i="7"/>
  <c r="M1572" i="7"/>
  <c r="M1573" i="7"/>
  <c r="M1574" i="7"/>
  <c r="M1575" i="7"/>
  <c r="M1576" i="7"/>
  <c r="M1577" i="7"/>
  <c r="M1578" i="7"/>
  <c r="M1579" i="7"/>
  <c r="M1580" i="7"/>
  <c r="M1581" i="7"/>
  <c r="M1582" i="7"/>
  <c r="M1583" i="7"/>
  <c r="M1584" i="7"/>
  <c r="M1585" i="7"/>
  <c r="M1586" i="7"/>
  <c r="M1587" i="7"/>
  <c r="M1588" i="7"/>
  <c r="M1589" i="7"/>
  <c r="M1590" i="7"/>
  <c r="M1591" i="7"/>
  <c r="M1592" i="7"/>
  <c r="M1593" i="7"/>
  <c r="M1594" i="7"/>
  <c r="M1595" i="7"/>
  <c r="M1596" i="7"/>
  <c r="M1597" i="7"/>
  <c r="M1598" i="7"/>
  <c r="M1599" i="7"/>
  <c r="M1600" i="7"/>
  <c r="M1601" i="7"/>
  <c r="M1602" i="7"/>
  <c r="M1603" i="7"/>
  <c r="M1604" i="7"/>
  <c r="M1605" i="7"/>
  <c r="M1606" i="7"/>
  <c r="M1607" i="7"/>
  <c r="M1608" i="7"/>
  <c r="M1609" i="7"/>
  <c r="M1610" i="7"/>
  <c r="M1611" i="7"/>
  <c r="M1612" i="7"/>
  <c r="M1613" i="7"/>
  <c r="M1614" i="7"/>
  <c r="M1615" i="7"/>
  <c r="M1616" i="7"/>
  <c r="M1617" i="7"/>
  <c r="M1618" i="7"/>
  <c r="M1619" i="7"/>
  <c r="M1620" i="7"/>
  <c r="M1621" i="7"/>
  <c r="M1622" i="7"/>
  <c r="M1623" i="7"/>
  <c r="M1624" i="7"/>
  <c r="M1625" i="7"/>
  <c r="M1626" i="7"/>
  <c r="M1627" i="7"/>
  <c r="M1628" i="7"/>
  <c r="M1629" i="7"/>
  <c r="M1630" i="7"/>
  <c r="M1631" i="7"/>
  <c r="M1632" i="7"/>
  <c r="M1633" i="7"/>
  <c r="M1634" i="7"/>
  <c r="M1635" i="7"/>
  <c r="M1636" i="7"/>
  <c r="M1637" i="7"/>
  <c r="M1638" i="7"/>
  <c r="M1639" i="7"/>
  <c r="M1640" i="7"/>
  <c r="M1641" i="7"/>
  <c r="M1642" i="7"/>
  <c r="M1643" i="7"/>
  <c r="M1644" i="7"/>
  <c r="M1645" i="7"/>
  <c r="M1646" i="7"/>
  <c r="M1647" i="7"/>
  <c r="M1648" i="7"/>
  <c r="M1649" i="7"/>
  <c r="M1650" i="7"/>
  <c r="M1651" i="7"/>
  <c r="M1652" i="7"/>
  <c r="M1653" i="7"/>
  <c r="M1654" i="7"/>
  <c r="M1655" i="7"/>
  <c r="M1656" i="7"/>
  <c r="M1657" i="7"/>
  <c r="M1658" i="7"/>
  <c r="M1659" i="7"/>
  <c r="M1660" i="7"/>
  <c r="M1661" i="7"/>
  <c r="M1662" i="7"/>
  <c r="M1663" i="7"/>
  <c r="M1664" i="7"/>
  <c r="M1665" i="7"/>
  <c r="M1666" i="7"/>
  <c r="M1667" i="7"/>
  <c r="M1668" i="7"/>
  <c r="M1669" i="7"/>
  <c r="M1670" i="7"/>
  <c r="M1671" i="7"/>
  <c r="M1672" i="7"/>
  <c r="M1673" i="7"/>
  <c r="M1674" i="7"/>
  <c r="M1675" i="7"/>
  <c r="M1676" i="7"/>
  <c r="M1677" i="7"/>
  <c r="M1678" i="7"/>
  <c r="M1679" i="7"/>
  <c r="M1680" i="7"/>
  <c r="M1681" i="7"/>
  <c r="M1682" i="7"/>
  <c r="M1683" i="7"/>
  <c r="M1684" i="7"/>
  <c r="M1685" i="7"/>
  <c r="M1686" i="7"/>
  <c r="M1687" i="7"/>
  <c r="M1688" i="7"/>
  <c r="M1689" i="7"/>
  <c r="M1690" i="7"/>
  <c r="M1691" i="7"/>
  <c r="M1692" i="7"/>
  <c r="M1693" i="7"/>
  <c r="M1694" i="7"/>
  <c r="M1695" i="7"/>
  <c r="M1696" i="7"/>
  <c r="M1697" i="7"/>
  <c r="M1698" i="7"/>
  <c r="M1699" i="7"/>
  <c r="M1700" i="7"/>
  <c r="M1701" i="7"/>
  <c r="M1702" i="7"/>
  <c r="M1703" i="7"/>
  <c r="M1704" i="7"/>
  <c r="M1705" i="7"/>
  <c r="M1706" i="7"/>
  <c r="M1707" i="7"/>
  <c r="M1708" i="7"/>
  <c r="M1709" i="7"/>
  <c r="M1710" i="7"/>
  <c r="M1711" i="7"/>
  <c r="M1712" i="7"/>
  <c r="M1713" i="7"/>
  <c r="M1714" i="7"/>
  <c r="M1715" i="7"/>
  <c r="M1716" i="7"/>
  <c r="M1717" i="7"/>
  <c r="M1718" i="7"/>
  <c r="M1719" i="7"/>
  <c r="M1720" i="7"/>
  <c r="M1721" i="7"/>
  <c r="M1722" i="7"/>
  <c r="M1723" i="7"/>
  <c r="M1724" i="7"/>
  <c r="M1725" i="7"/>
  <c r="M1726" i="7"/>
  <c r="M1727" i="7"/>
  <c r="M1728" i="7"/>
  <c r="M1729" i="7"/>
  <c r="M1730" i="7"/>
  <c r="M1731" i="7"/>
  <c r="M1732" i="7"/>
  <c r="M1733" i="7"/>
  <c r="M1734" i="7"/>
  <c r="M1735" i="7"/>
  <c r="M1736" i="7"/>
  <c r="M1737" i="7"/>
  <c r="M1738" i="7"/>
  <c r="M1739" i="7"/>
  <c r="M1740" i="7"/>
  <c r="M1741" i="7"/>
  <c r="M1742" i="7"/>
  <c r="M1743" i="7"/>
  <c r="M1744" i="7"/>
  <c r="M1745" i="7"/>
  <c r="M1746" i="7"/>
  <c r="M1747" i="7"/>
  <c r="M1748" i="7"/>
  <c r="M1749" i="7"/>
  <c r="M1750" i="7"/>
  <c r="M1751" i="7"/>
  <c r="M1752" i="7"/>
  <c r="M1753" i="7"/>
  <c r="M1754" i="7"/>
  <c r="M1755" i="7"/>
  <c r="M1756" i="7"/>
  <c r="M1757" i="7"/>
  <c r="M1758" i="7"/>
  <c r="M1759" i="7"/>
  <c r="M1760" i="7"/>
  <c r="M1761" i="7"/>
  <c r="M1762" i="7"/>
  <c r="M1763" i="7"/>
  <c r="M1764" i="7"/>
  <c r="M1765" i="7"/>
  <c r="M1766" i="7"/>
  <c r="M1767" i="7"/>
  <c r="M1768" i="7"/>
  <c r="M1769" i="7"/>
  <c r="M1770" i="7"/>
  <c r="M1771" i="7"/>
  <c r="M1772" i="7"/>
  <c r="M1773" i="7"/>
  <c r="M1774" i="7"/>
  <c r="M1775" i="7"/>
  <c r="M1776" i="7"/>
  <c r="M1777" i="7"/>
  <c r="M1778" i="7"/>
  <c r="M1779" i="7"/>
  <c r="M1780" i="7"/>
  <c r="M1781" i="7"/>
  <c r="M1782" i="7"/>
  <c r="M1783" i="7"/>
  <c r="M1784" i="7"/>
  <c r="M1785" i="7"/>
  <c r="M1786" i="7"/>
  <c r="M1787" i="7"/>
  <c r="M1788" i="7"/>
  <c r="M1789" i="7"/>
  <c r="M1790" i="7"/>
  <c r="M1791" i="7"/>
  <c r="M1792" i="7"/>
  <c r="M1793" i="7"/>
  <c r="M1794" i="7"/>
  <c r="M1795" i="7"/>
  <c r="M1796" i="7"/>
  <c r="M1797" i="7"/>
  <c r="M1798" i="7"/>
  <c r="M1799" i="7"/>
  <c r="M1800" i="7"/>
  <c r="M1801" i="7"/>
  <c r="M1802" i="7"/>
  <c r="M1803" i="7"/>
  <c r="M1804" i="7"/>
  <c r="M1805" i="7"/>
  <c r="M1806" i="7"/>
  <c r="M1807" i="7"/>
  <c r="M1808" i="7"/>
  <c r="M1809" i="7"/>
  <c r="M1810" i="7"/>
  <c r="M1811" i="7"/>
  <c r="M1812" i="7"/>
  <c r="M1813" i="7"/>
  <c r="M1814" i="7"/>
  <c r="M1815" i="7"/>
  <c r="M1816" i="7"/>
  <c r="M1817" i="7"/>
  <c r="M1818" i="7"/>
  <c r="M1819" i="7"/>
  <c r="M1820" i="7"/>
  <c r="M1821" i="7"/>
  <c r="M1822" i="7"/>
  <c r="M1823" i="7"/>
  <c r="M1824" i="7"/>
  <c r="M1825" i="7"/>
  <c r="M1826" i="7"/>
  <c r="M1827" i="7"/>
  <c r="M1828" i="7"/>
  <c r="M1829" i="7"/>
  <c r="M1830" i="7"/>
  <c r="M1831" i="7"/>
  <c r="M1832" i="7"/>
  <c r="M1833" i="7"/>
  <c r="M1834" i="7"/>
  <c r="M1835" i="7"/>
  <c r="M1836" i="7"/>
  <c r="M1837" i="7"/>
  <c r="M1838" i="7"/>
  <c r="M1839" i="7"/>
  <c r="M1840" i="7"/>
  <c r="M1841" i="7"/>
  <c r="M1842" i="7"/>
  <c r="M1843" i="7"/>
  <c r="M1844" i="7"/>
  <c r="M1845" i="7"/>
  <c r="M1846" i="7"/>
  <c r="M1847" i="7"/>
  <c r="M1848" i="7"/>
  <c r="M1849" i="7"/>
  <c r="M1850" i="7"/>
  <c r="M1851" i="7"/>
  <c r="M1852" i="7"/>
  <c r="M1853" i="7"/>
  <c r="M1854" i="7"/>
  <c r="M1855" i="7"/>
  <c r="M1856" i="7"/>
  <c r="M1857" i="7"/>
  <c r="M1858" i="7"/>
  <c r="M1859" i="7"/>
  <c r="M1860" i="7"/>
  <c r="M1861" i="7"/>
  <c r="M1862" i="7"/>
  <c r="M1863" i="7"/>
  <c r="M1864" i="7"/>
  <c r="M1865" i="7"/>
  <c r="M1866" i="7"/>
  <c r="M1867" i="7"/>
  <c r="M1868" i="7"/>
  <c r="M1869" i="7"/>
  <c r="M1870" i="7"/>
  <c r="M1871" i="7"/>
  <c r="M1872" i="7"/>
  <c r="M1873" i="7"/>
  <c r="M1874" i="7"/>
  <c r="M1875" i="7"/>
  <c r="M1876" i="7"/>
  <c r="M1877" i="7"/>
  <c r="M1878" i="7"/>
  <c r="M1879" i="7"/>
  <c r="M1880" i="7"/>
  <c r="M1881" i="7"/>
  <c r="M1882" i="7"/>
  <c r="M1883" i="7"/>
  <c r="M1884" i="7"/>
  <c r="M1885" i="7"/>
  <c r="M1886" i="7"/>
  <c r="M1887" i="7"/>
  <c r="M1888" i="7"/>
  <c r="M1889" i="7"/>
  <c r="M1890" i="7"/>
  <c r="M1891" i="7"/>
  <c r="M1892" i="7"/>
  <c r="M1893" i="7"/>
  <c r="M1894" i="7"/>
  <c r="M1895" i="7"/>
  <c r="M1896" i="7"/>
  <c r="M1897" i="7"/>
  <c r="M1898" i="7"/>
  <c r="M1899" i="7"/>
  <c r="M1900" i="7"/>
  <c r="M1901" i="7"/>
  <c r="M1902" i="7"/>
  <c r="M1903" i="7"/>
  <c r="M1904" i="7"/>
  <c r="M1905" i="7"/>
  <c r="M1906" i="7"/>
  <c r="M1907" i="7"/>
  <c r="M1908" i="7"/>
  <c r="M1909" i="7"/>
  <c r="M1910" i="7"/>
  <c r="M1911" i="7"/>
  <c r="M1912" i="7"/>
  <c r="M1913" i="7"/>
  <c r="M1914" i="7"/>
  <c r="M1915" i="7"/>
  <c r="M1916" i="7"/>
  <c r="M1917" i="7"/>
  <c r="M1918" i="7"/>
  <c r="M1919" i="7"/>
  <c r="M1920" i="7"/>
  <c r="M1921" i="7"/>
  <c r="M1922" i="7"/>
  <c r="M1923" i="7"/>
  <c r="M1924" i="7"/>
  <c r="M1925" i="7"/>
  <c r="M1926" i="7"/>
  <c r="M1927" i="7"/>
  <c r="M1928" i="7"/>
  <c r="M1929" i="7"/>
  <c r="M1930" i="7"/>
  <c r="M1931" i="7"/>
  <c r="M1932" i="7"/>
  <c r="M1933" i="7"/>
  <c r="M1934" i="7"/>
  <c r="M1935" i="7"/>
  <c r="M1936" i="7"/>
  <c r="M1937" i="7"/>
  <c r="M1938" i="7"/>
  <c r="M1939" i="7"/>
  <c r="M1940" i="7"/>
  <c r="M1941" i="7"/>
  <c r="M1942" i="7"/>
  <c r="M1943" i="7"/>
  <c r="M1944" i="7"/>
  <c r="M1945" i="7"/>
  <c r="M1946" i="7"/>
  <c r="M1947" i="7"/>
  <c r="M1948" i="7"/>
  <c r="M1949" i="7"/>
  <c r="M1950" i="7"/>
  <c r="M1951" i="7"/>
  <c r="M1952" i="7"/>
  <c r="M1953" i="7"/>
  <c r="M1954" i="7"/>
  <c r="M1955" i="7"/>
  <c r="M1956" i="7"/>
  <c r="M1957" i="7"/>
  <c r="M1958" i="7"/>
  <c r="M1959" i="7"/>
  <c r="M1960" i="7"/>
  <c r="M1961" i="7"/>
  <c r="M1962" i="7"/>
  <c r="M1963" i="7"/>
  <c r="M1964" i="7"/>
  <c r="M1965" i="7"/>
  <c r="M1966" i="7"/>
  <c r="M1967" i="7"/>
  <c r="M1968" i="7"/>
  <c r="M1969" i="7"/>
  <c r="M1970" i="7"/>
  <c r="M1971" i="7"/>
  <c r="M1972" i="7"/>
  <c r="M1973" i="7"/>
  <c r="M1974" i="7"/>
  <c r="M1975" i="7"/>
  <c r="M1976" i="7"/>
  <c r="M1977" i="7"/>
  <c r="M1978" i="7"/>
  <c r="M1979" i="7"/>
  <c r="M1980" i="7"/>
  <c r="M1981" i="7"/>
  <c r="M1982" i="7"/>
  <c r="M1983" i="7"/>
  <c r="M1984" i="7"/>
  <c r="M1985" i="7"/>
  <c r="M1986" i="7"/>
  <c r="M1987" i="7"/>
  <c r="M1988" i="7"/>
  <c r="M1989" i="7"/>
  <c r="M1990" i="7"/>
  <c r="M1991" i="7"/>
  <c r="M1992" i="7"/>
  <c r="M1993" i="7"/>
  <c r="M1994" i="7"/>
  <c r="M1995" i="7"/>
  <c r="M1996" i="7"/>
  <c r="M1997" i="7"/>
  <c r="M1998" i="7"/>
  <c r="M1999" i="7"/>
  <c r="M2000" i="7"/>
  <c r="A3" i="6"/>
  <c r="M8" i="6"/>
  <c r="M9" i="6"/>
  <c r="M10" i="6"/>
  <c r="M11" i="6"/>
  <c r="M12" i="6"/>
  <c r="M13" i="6"/>
  <c r="M14" i="6"/>
  <c r="M15" i="6"/>
  <c r="M16" i="6"/>
  <c r="M17" i="6"/>
  <c r="A17" i="6" s="1"/>
  <c r="M18" i="6"/>
  <c r="M19" i="6"/>
  <c r="A19" i="6" s="1"/>
  <c r="M20" i="6"/>
  <c r="A20" i="6" s="1"/>
  <c r="M21" i="6"/>
  <c r="M22" i="6"/>
  <c r="A22" i="6" s="1"/>
  <c r="M23" i="6"/>
  <c r="A23" i="6" s="1"/>
  <c r="M24" i="6"/>
  <c r="A24" i="6" s="1"/>
  <c r="M25" i="6"/>
  <c r="M26" i="6"/>
  <c r="A26" i="6" s="1"/>
  <c r="M27" i="6"/>
  <c r="A27" i="6" s="1"/>
  <c r="M28" i="6"/>
  <c r="M29" i="6"/>
  <c r="A29" i="6" s="1"/>
  <c r="M30" i="6"/>
  <c r="A30" i="6" s="1"/>
  <c r="M31" i="6"/>
  <c r="A31" i="6" s="1"/>
  <c r="M32" i="6"/>
  <c r="M33" i="6"/>
  <c r="A33" i="6" s="1"/>
  <c r="M34" i="6"/>
  <c r="A34" i="6" s="1"/>
  <c r="N34" i="6"/>
  <c r="M35" i="6"/>
  <c r="N35" i="6" s="1"/>
  <c r="M36" i="6"/>
  <c r="M37" i="6"/>
  <c r="A37" i="6" s="1"/>
  <c r="M38" i="6"/>
  <c r="A38" i="6" s="1"/>
  <c r="M39" i="6"/>
  <c r="M40" i="6"/>
  <c r="A40" i="6" s="1"/>
  <c r="M41" i="6"/>
  <c r="A41" i="6" s="1"/>
  <c r="N41" i="6"/>
  <c r="M42" i="6"/>
  <c r="A42" i="6" s="1"/>
  <c r="M43" i="6"/>
  <c r="M44" i="6"/>
  <c r="A44" i="6" s="1"/>
  <c r="N44" i="6"/>
  <c r="M45" i="6"/>
  <c r="A45" i="6" s="1"/>
  <c r="M46" i="6"/>
  <c r="M47" i="6"/>
  <c r="A47" i="6" s="1"/>
  <c r="M48" i="6"/>
  <c r="A48" i="6" s="1"/>
  <c r="N48" i="6"/>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N69" i="6"/>
  <c r="M70" i="6"/>
  <c r="A70" i="6" s="1"/>
  <c r="M71" i="6"/>
  <c r="A71" i="6" s="1"/>
  <c r="M72" i="6"/>
  <c r="A72" i="6" s="1"/>
  <c r="N72" i="6"/>
  <c r="M73" i="6"/>
  <c r="A73" i="6" s="1"/>
  <c r="M74" i="6"/>
  <c r="M75" i="6"/>
  <c r="A75" i="6" s="1"/>
  <c r="M76" i="6"/>
  <c r="A76" i="6" s="1"/>
  <c r="N76" i="6"/>
  <c r="M77" i="6"/>
  <c r="N77" i="6" s="1"/>
  <c r="M78" i="6"/>
  <c r="A78" i="6" s="1"/>
  <c r="M79" i="6"/>
  <c r="A79" i="6" s="1"/>
  <c r="N79" i="6"/>
  <c r="M80" i="6"/>
  <c r="A80" i="6" s="1"/>
  <c r="M81" i="6"/>
  <c r="M82" i="6"/>
  <c r="A82" i="6" s="1"/>
  <c r="M83" i="6"/>
  <c r="A83" i="6" s="1"/>
  <c r="M84" i="6"/>
  <c r="A84" i="6" s="1"/>
  <c r="M85" i="6"/>
  <c r="A85" i="6" s="1"/>
  <c r="M86" i="6"/>
  <c r="A86" i="6" s="1"/>
  <c r="M87" i="6"/>
  <c r="A87" i="6" s="1"/>
  <c r="M88" i="6"/>
  <c r="M89" i="6"/>
  <c r="A89" i="6" s="1"/>
  <c r="M90" i="6"/>
  <c r="A90" i="6" s="1"/>
  <c r="N90" i="6"/>
  <c r="M91" i="6"/>
  <c r="N91" i="6" s="1"/>
  <c r="M92" i="6"/>
  <c r="A92" i="6" s="1"/>
  <c r="M93" i="6"/>
  <c r="A93" i="6" s="1"/>
  <c r="M94" i="6"/>
  <c r="A94" i="6" s="1"/>
  <c r="M95" i="6"/>
  <c r="M96" i="6"/>
  <c r="A96" i="6" s="1"/>
  <c r="M97" i="6"/>
  <c r="A97" i="6" s="1"/>
  <c r="N97" i="6"/>
  <c r="M98" i="6"/>
  <c r="A98" i="6" s="1"/>
  <c r="M99" i="6"/>
  <c r="A99" i="6" s="1"/>
  <c r="M100" i="6"/>
  <c r="A100" i="6" s="1"/>
  <c r="M101" i="6"/>
  <c r="A101" i="6" s="1"/>
  <c r="M102" i="6"/>
  <c r="M103" i="6"/>
  <c r="A103" i="6" s="1"/>
  <c r="M104" i="6"/>
  <c r="A104" i="6" s="1"/>
  <c r="M105" i="6"/>
  <c r="N105" i="6" s="1"/>
  <c r="M106" i="6"/>
  <c r="M107" i="6"/>
  <c r="A107" i="6" s="1"/>
  <c r="M108" i="6"/>
  <c r="N108" i="6" s="1"/>
  <c r="M109" i="6"/>
  <c r="A110" i="6"/>
  <c r="M110" i="6"/>
  <c r="N110" i="6" s="1"/>
  <c r="M111" i="6"/>
  <c r="A111" i="6" s="1"/>
  <c r="N111" i="6"/>
  <c r="M112" i="6"/>
  <c r="A112" i="6" s="1"/>
  <c r="N112" i="6"/>
  <c r="M113" i="6"/>
  <c r="A113" i="6" s="1"/>
  <c r="N113" i="6"/>
  <c r="M114" i="6"/>
  <c r="A114" i="6" s="1"/>
  <c r="N114" i="6"/>
  <c r="M115" i="6"/>
  <c r="A115" i="6" s="1"/>
  <c r="M116" i="6"/>
  <c r="M117" i="6"/>
  <c r="A117" i="6" s="1"/>
  <c r="M118" i="6"/>
  <c r="A118" i="6" s="1"/>
  <c r="M119" i="6"/>
  <c r="N119" i="6" s="1"/>
  <c r="M120" i="6"/>
  <c r="A120" i="6" s="1"/>
  <c r="N120" i="6"/>
  <c r="M121" i="6"/>
  <c r="M122" i="6"/>
  <c r="A122" i="6" s="1"/>
  <c r="N122" i="6"/>
  <c r="M123" i="6"/>
  <c r="M124" i="6"/>
  <c r="A124" i="6" s="1"/>
  <c r="M125" i="6"/>
  <c r="A125" i="6" s="1"/>
  <c r="M126" i="6"/>
  <c r="M127" i="6"/>
  <c r="A127" i="6" s="1"/>
  <c r="M128" i="6"/>
  <c r="M129" i="6"/>
  <c r="A129" i="6" s="1"/>
  <c r="M130" i="6"/>
  <c r="M131" i="6"/>
  <c r="A131" i="6" s="1"/>
  <c r="M132" i="6"/>
  <c r="A132" i="6" s="1"/>
  <c r="N132" i="6"/>
  <c r="M133" i="6"/>
  <c r="N133" i="6" s="1"/>
  <c r="M134" i="6"/>
  <c r="N134" i="6" s="1"/>
  <c r="M135" i="6"/>
  <c r="A135" i="6" s="1"/>
  <c r="N135" i="6"/>
  <c r="M136" i="6"/>
  <c r="M137" i="6"/>
  <c r="M138" i="6"/>
  <c r="A138" i="6" s="1"/>
  <c r="M139" i="6"/>
  <c r="A139" i="6" s="1"/>
  <c r="N139" i="6"/>
  <c r="M140" i="6"/>
  <c r="A140" i="6" s="1"/>
  <c r="M141" i="6"/>
  <c r="M142" i="6"/>
  <c r="M143" i="6"/>
  <c r="A143" i="6" s="1"/>
  <c r="M144" i="6"/>
  <c r="M145" i="6"/>
  <c r="A145" i="6" s="1"/>
  <c r="M146" i="6"/>
  <c r="A146" i="6" s="1"/>
  <c r="M147" i="6"/>
  <c r="N147" i="6" s="1"/>
  <c r="M148" i="6"/>
  <c r="A148" i="6" s="1"/>
  <c r="M149" i="6"/>
  <c r="A149" i="6" s="1"/>
  <c r="M150" i="6"/>
  <c r="A150" i="6" s="1"/>
  <c r="N150" i="6"/>
  <c r="M151" i="6"/>
  <c r="M152" i="6"/>
  <c r="A152" i="6" s="1"/>
  <c r="N152" i="6"/>
  <c r="M153" i="6"/>
  <c r="A153" i="6" s="1"/>
  <c r="N153" i="6"/>
  <c r="M154" i="6"/>
  <c r="A154" i="6" s="1"/>
  <c r="M155" i="6"/>
  <c r="A155" i="6" s="1"/>
  <c r="M156" i="6"/>
  <c r="M157" i="6"/>
  <c r="A157" i="6" s="1"/>
  <c r="M158" i="6"/>
  <c r="M159" i="6"/>
  <c r="A159" i="6" s="1"/>
  <c r="M160" i="6"/>
  <c r="A160" i="6" s="1"/>
  <c r="N160" i="6"/>
  <c r="M161" i="6"/>
  <c r="N161" i="6" s="1"/>
  <c r="M162" i="6"/>
  <c r="A162" i="6" s="1"/>
  <c r="M163" i="6"/>
  <c r="A163" i="6" s="1"/>
  <c r="M164" i="6"/>
  <c r="N164" i="6" s="1"/>
  <c r="M165" i="6"/>
  <c r="A166" i="6"/>
  <c r="M166" i="6"/>
  <c r="N166" i="6"/>
  <c r="M167" i="6"/>
  <c r="A167" i="6" s="1"/>
  <c r="N167" i="6"/>
  <c r="M168" i="6"/>
  <c r="M169" i="6"/>
  <c r="A169" i="6" s="1"/>
  <c r="N169" i="6"/>
  <c r="M170" i="6"/>
  <c r="A170" i="6" s="1"/>
  <c r="N170" i="6"/>
  <c r="M171" i="6"/>
  <c r="A171" i="6" s="1"/>
  <c r="M172" i="6"/>
  <c r="M173" i="6"/>
  <c r="A173" i="6" s="1"/>
  <c r="M174" i="6"/>
  <c r="A174" i="6" s="1"/>
  <c r="M175" i="6"/>
  <c r="N175" i="6" s="1"/>
  <c r="M176" i="6"/>
  <c r="A176" i="6" s="1"/>
  <c r="N176" i="6"/>
  <c r="M177" i="6"/>
  <c r="A177" i="6" s="1"/>
  <c r="N177" i="6"/>
  <c r="M178" i="6"/>
  <c r="A178" i="6" s="1"/>
  <c r="M179" i="6"/>
  <c r="M180" i="6"/>
  <c r="A180" i="6" s="1"/>
  <c r="N180" i="6"/>
  <c r="M181" i="6"/>
  <c r="A181" i="6" s="1"/>
  <c r="M182" i="6"/>
  <c r="A182" i="6" s="1"/>
  <c r="M183" i="6"/>
  <c r="M184" i="6"/>
  <c r="A184" i="6" s="1"/>
  <c r="N184" i="6"/>
  <c r="M185" i="6"/>
  <c r="A185" i="6" s="1"/>
  <c r="M186" i="6"/>
  <c r="M187" i="6"/>
  <c r="A187" i="6" s="1"/>
  <c r="M188" i="6"/>
  <c r="A188" i="6" s="1"/>
  <c r="M189" i="6"/>
  <c r="N189" i="6" s="1"/>
  <c r="M190" i="6"/>
  <c r="N190" i="6" s="1"/>
  <c r="M191" i="6"/>
  <c r="A191" i="6" s="1"/>
  <c r="M192" i="6"/>
  <c r="A192" i="6" s="1"/>
  <c r="M193" i="6"/>
  <c r="M194" i="6"/>
  <c r="A194" i="6" s="1"/>
  <c r="N194" i="6"/>
  <c r="M195" i="6"/>
  <c r="A195" i="6" s="1"/>
  <c r="M196" i="6"/>
  <c r="A196" i="6" s="1"/>
  <c r="M197" i="6"/>
  <c r="A197" i="6" s="1"/>
  <c r="M198" i="6"/>
  <c r="M199" i="6"/>
  <c r="A199" i="6" s="1"/>
  <c r="M200" i="6"/>
  <c r="A3" i="5"/>
  <c r="A9" i="5"/>
  <c r="A10" i="5"/>
  <c r="A11" i="5"/>
  <c r="A15" i="5"/>
  <c r="A16" i="5"/>
  <c r="A20" i="5"/>
  <c r="A22" i="5"/>
  <c r="M23" i="5"/>
  <c r="M24" i="5"/>
  <c r="A24" i="5" s="1"/>
  <c r="M25" i="5"/>
  <c r="A25" i="5" s="1"/>
  <c r="M26" i="5"/>
  <c r="A26" i="5" s="1"/>
  <c r="M27" i="5"/>
  <c r="A27" i="5" s="1"/>
  <c r="M28" i="5"/>
  <c r="A28" i="5" s="1"/>
  <c r="M29" i="5"/>
  <c r="M30" i="5"/>
  <c r="N30" i="5" s="1"/>
  <c r="M31" i="5"/>
  <c r="N31" i="5"/>
  <c r="M32" i="5"/>
  <c r="N32" i="5" s="1"/>
  <c r="M33" i="5"/>
  <c r="N33" i="5" s="1"/>
  <c r="M34" i="5"/>
  <c r="A34" i="5" s="1"/>
  <c r="N34" i="5"/>
  <c r="M35" i="5"/>
  <c r="N35" i="5" s="1"/>
  <c r="M36" i="5"/>
  <c r="A36" i="5" s="1"/>
  <c r="A37" i="5"/>
  <c r="M37" i="5"/>
  <c r="N37" i="5" s="1"/>
  <c r="M38" i="5"/>
  <c r="A38" i="5" s="1"/>
  <c r="M39" i="5"/>
  <c r="A39" i="5" s="1"/>
  <c r="N39" i="5"/>
  <c r="M40" i="5"/>
  <c r="A40" i="5" s="1"/>
  <c r="M41" i="5"/>
  <c r="A41" i="5" s="1"/>
  <c r="M42" i="5"/>
  <c r="A42" i="5" s="1"/>
  <c r="N42" i="5"/>
  <c r="M43" i="5"/>
  <c r="A43" i="5" s="1"/>
  <c r="N43" i="5"/>
  <c r="M44" i="5"/>
  <c r="A44" i="5" s="1"/>
  <c r="M45" i="5"/>
  <c r="A45" i="5" s="1"/>
  <c r="M46" i="5"/>
  <c r="N46" i="5" s="1"/>
  <c r="M47" i="5"/>
  <c r="A47" i="5" s="1"/>
  <c r="N47" i="5"/>
  <c r="M48" i="5"/>
  <c r="A48" i="5" s="1"/>
  <c r="N48" i="5"/>
  <c r="M49" i="5"/>
  <c r="N49" i="5" s="1"/>
  <c r="M50" i="5"/>
  <c r="A50" i="5" s="1"/>
  <c r="M51" i="5"/>
  <c r="N51" i="5" s="1"/>
  <c r="M52" i="5"/>
  <c r="A52" i="5" s="1"/>
  <c r="N52" i="5"/>
  <c r="M53" i="5"/>
  <c r="A53" i="5" s="1"/>
  <c r="N53" i="5"/>
  <c r="M54" i="5"/>
  <c r="A54" i="5" s="1"/>
  <c r="N54" i="5"/>
  <c r="M55" i="5"/>
  <c r="A55" i="5" s="1"/>
  <c r="M56" i="5"/>
  <c r="A56" i="5" s="1"/>
  <c r="N56" i="5"/>
  <c r="M57" i="5"/>
  <c r="A57" i="5" s="1"/>
  <c r="N57" i="5"/>
  <c r="M58" i="5"/>
  <c r="A58" i="5" s="1"/>
  <c r="M59" i="5"/>
  <c r="A59" i="5" s="1"/>
  <c r="N59" i="5"/>
  <c r="M60" i="5"/>
  <c r="N60" i="5" s="1"/>
  <c r="M61" i="5"/>
  <c r="A61" i="5" s="1"/>
  <c r="N61" i="5"/>
  <c r="M62" i="5"/>
  <c r="A62" i="5" s="1"/>
  <c r="M63" i="5"/>
  <c r="N63" i="5" s="1"/>
  <c r="M64" i="5"/>
  <c r="A64" i="5" s="1"/>
  <c r="M65" i="5"/>
  <c r="A65" i="5" s="1"/>
  <c r="N65" i="5"/>
  <c r="M66" i="5"/>
  <c r="A66" i="5" s="1"/>
  <c r="M67" i="5"/>
  <c r="A67" i="5" s="1"/>
  <c r="M68" i="5"/>
  <c r="A68" i="5" s="1"/>
  <c r="N68" i="5"/>
  <c r="A69" i="5"/>
  <c r="M69" i="5"/>
  <c r="N69" i="5" s="1"/>
  <c r="M70" i="5"/>
  <c r="A70" i="5" s="1"/>
  <c r="N70" i="5"/>
  <c r="M71" i="5"/>
  <c r="A71" i="5" s="1"/>
  <c r="N71" i="5"/>
  <c r="M72" i="5"/>
  <c r="A72" i="5" s="1"/>
  <c r="M73" i="5"/>
  <c r="A73" i="5" s="1"/>
  <c r="N73" i="5"/>
  <c r="M74" i="5"/>
  <c r="N74" i="5" s="1"/>
  <c r="M75" i="5"/>
  <c r="A75" i="5" s="1"/>
  <c r="N75" i="5"/>
  <c r="M76" i="5"/>
  <c r="A76" i="5" s="1"/>
  <c r="M77" i="5"/>
  <c r="N77" i="5" s="1"/>
  <c r="M78" i="5"/>
  <c r="A78" i="5" s="1"/>
  <c r="M79" i="5"/>
  <c r="A79" i="5" s="1"/>
  <c r="N79" i="5"/>
  <c r="M80" i="5"/>
  <c r="A80" i="5" s="1"/>
  <c r="M81" i="5"/>
  <c r="A81" i="5" s="1"/>
  <c r="M82" i="5"/>
  <c r="A82" i="5" s="1"/>
  <c r="N82" i="5"/>
  <c r="A83" i="5"/>
  <c r="M83" i="5"/>
  <c r="N83" i="5" s="1"/>
  <c r="M84" i="5"/>
  <c r="A84" i="5" s="1"/>
  <c r="N84" i="5"/>
  <c r="M85" i="5"/>
  <c r="A85" i="5" s="1"/>
  <c r="N85" i="5"/>
  <c r="M86" i="5"/>
  <c r="A86" i="5" s="1"/>
  <c r="M87" i="5"/>
  <c r="A87" i="5" s="1"/>
  <c r="N87" i="5"/>
  <c r="M88" i="5"/>
  <c r="N88" i="5" s="1"/>
  <c r="M89" i="5"/>
  <c r="A89" i="5" s="1"/>
  <c r="N89" i="5"/>
  <c r="M90" i="5"/>
  <c r="A90" i="5" s="1"/>
  <c r="M91" i="5"/>
  <c r="N91" i="5" s="1"/>
  <c r="M92" i="5"/>
  <c r="A92" i="5" s="1"/>
  <c r="M93" i="5"/>
  <c r="A93" i="5" s="1"/>
  <c r="N93" i="5"/>
  <c r="M94" i="5"/>
  <c r="A94" i="5" s="1"/>
  <c r="M95" i="5"/>
  <c r="A95" i="5" s="1"/>
  <c r="M96" i="5"/>
  <c r="A96" i="5" s="1"/>
  <c r="N96" i="5"/>
  <c r="A97" i="5"/>
  <c r="M97" i="5"/>
  <c r="N97" i="5" s="1"/>
  <c r="M98" i="5"/>
  <c r="A98" i="5" s="1"/>
  <c r="N98" i="5"/>
  <c r="M99" i="5"/>
  <c r="A99" i="5" s="1"/>
  <c r="N99" i="5"/>
  <c r="M100" i="5"/>
  <c r="A100" i="5" s="1"/>
  <c r="M101" i="5"/>
  <c r="A101" i="5" s="1"/>
  <c r="N101" i="5"/>
  <c r="M102" i="5"/>
  <c r="N102" i="5" s="1"/>
  <c r="M103" i="5"/>
  <c r="A103" i="5" s="1"/>
  <c r="N103" i="5"/>
  <c r="M104" i="5"/>
  <c r="A104" i="5" s="1"/>
  <c r="M105" i="5"/>
  <c r="N105" i="5" s="1"/>
  <c r="M106" i="5"/>
  <c r="A106" i="5" s="1"/>
  <c r="M107" i="5"/>
  <c r="A107" i="5" s="1"/>
  <c r="N107" i="5"/>
  <c r="M108" i="5"/>
  <c r="A108" i="5" s="1"/>
  <c r="M109" i="5"/>
  <c r="A109" i="5" s="1"/>
  <c r="M110" i="5"/>
  <c r="A110" i="5" s="1"/>
  <c r="N110" i="5"/>
  <c r="A111" i="5"/>
  <c r="M111" i="5"/>
  <c r="N111" i="5" s="1"/>
  <c r="M112" i="5"/>
  <c r="A112" i="5" s="1"/>
  <c r="N112" i="5"/>
  <c r="M113" i="5"/>
  <c r="A113" i="5" s="1"/>
  <c r="N113" i="5"/>
  <c r="M114" i="5"/>
  <c r="A114" i="5" s="1"/>
  <c r="M115" i="5"/>
  <c r="A115" i="5" s="1"/>
  <c r="N115" i="5"/>
  <c r="M116" i="5"/>
  <c r="N116" i="5" s="1"/>
  <c r="M117" i="5"/>
  <c r="A117" i="5" s="1"/>
  <c r="N117" i="5"/>
  <c r="M118" i="5"/>
  <c r="A118" i="5" s="1"/>
  <c r="M119" i="5"/>
  <c r="N119" i="5" s="1"/>
  <c r="M120" i="5"/>
  <c r="A120" i="5" s="1"/>
  <c r="M121" i="5"/>
  <c r="A121" i="5" s="1"/>
  <c r="N121" i="5"/>
  <c r="M122" i="5"/>
  <c r="A122" i="5" s="1"/>
  <c r="M123" i="5"/>
  <c r="A123" i="5" s="1"/>
  <c r="M124" i="5"/>
  <c r="A124" i="5" s="1"/>
  <c r="N124" i="5"/>
  <c r="A125" i="5"/>
  <c r="M125" i="5"/>
  <c r="N125" i="5" s="1"/>
  <c r="M126" i="5"/>
  <c r="A126" i="5" s="1"/>
  <c r="N126" i="5"/>
  <c r="M127" i="5"/>
  <c r="A127" i="5" s="1"/>
  <c r="N127" i="5"/>
  <c r="M128" i="5"/>
  <c r="A128" i="5" s="1"/>
  <c r="M129" i="5"/>
  <c r="A129" i="5" s="1"/>
  <c r="N129" i="5"/>
  <c r="M130" i="5"/>
  <c r="N130" i="5" s="1"/>
  <c r="M131" i="5"/>
  <c r="A131" i="5" s="1"/>
  <c r="N131" i="5"/>
  <c r="M132" i="5"/>
  <c r="A132" i="5" s="1"/>
  <c r="M133" i="5"/>
  <c r="N133" i="5" s="1"/>
  <c r="M134" i="5"/>
  <c r="A134" i="5" s="1"/>
  <c r="M135" i="5"/>
  <c r="A135" i="5" s="1"/>
  <c r="N135" i="5"/>
  <c r="M136" i="5"/>
  <c r="A136" i="5" s="1"/>
  <c r="M137" i="5"/>
  <c r="A137" i="5" s="1"/>
  <c r="M138" i="5"/>
  <c r="A138" i="5" s="1"/>
  <c r="N138" i="5"/>
  <c r="A139" i="5"/>
  <c r="M139" i="5"/>
  <c r="N139" i="5" s="1"/>
  <c r="M140" i="5"/>
  <c r="A140" i="5" s="1"/>
  <c r="N140" i="5"/>
  <c r="M141" i="5"/>
  <c r="A141" i="5" s="1"/>
  <c r="N141" i="5"/>
  <c r="M142" i="5"/>
  <c r="A142" i="5" s="1"/>
  <c r="M143" i="5"/>
  <c r="A143" i="5" s="1"/>
  <c r="N143" i="5"/>
  <c r="M144" i="5"/>
  <c r="N144" i="5" s="1"/>
  <c r="M145" i="5"/>
  <c r="A145" i="5" s="1"/>
  <c r="N145" i="5"/>
  <c r="M146" i="5"/>
  <c r="A146" i="5" s="1"/>
  <c r="M147" i="5"/>
  <c r="N147" i="5" s="1"/>
  <c r="M148" i="5"/>
  <c r="A148" i="5" s="1"/>
  <c r="M149" i="5"/>
  <c r="A149" i="5" s="1"/>
  <c r="N149" i="5"/>
  <c r="M150" i="5"/>
  <c r="A150" i="5" s="1"/>
  <c r="M151" i="5"/>
  <c r="A151" i="5" s="1"/>
  <c r="M152" i="5"/>
  <c r="A152" i="5" s="1"/>
  <c r="N152" i="5"/>
  <c r="M153" i="5"/>
  <c r="A153" i="5" s="1"/>
  <c r="M154" i="5"/>
  <c r="A154" i="5" s="1"/>
  <c r="N154" i="5"/>
  <c r="M155" i="5"/>
  <c r="A155" i="5" s="1"/>
  <c r="N155" i="5"/>
  <c r="M156" i="5"/>
  <c r="A156" i="5" s="1"/>
  <c r="N156" i="5"/>
  <c r="M157" i="5"/>
  <c r="A157" i="5" s="1"/>
  <c r="A158" i="5"/>
  <c r="M158" i="5"/>
  <c r="N158" i="5" s="1"/>
  <c r="M159" i="5"/>
  <c r="A159" i="5" s="1"/>
  <c r="N159" i="5"/>
  <c r="M160" i="5"/>
  <c r="A160" i="5" s="1"/>
  <c r="N160" i="5"/>
  <c r="M161" i="5"/>
  <c r="N161" i="5" s="1"/>
  <c r="M162" i="5"/>
  <c r="A162" i="5" s="1"/>
  <c r="N162" i="5"/>
  <c r="M163" i="5"/>
  <c r="A163" i="5" s="1"/>
  <c r="N163" i="5"/>
  <c r="M164" i="5"/>
  <c r="A164" i="5" s="1"/>
  <c r="M165" i="5"/>
  <c r="A165" i="5" s="1"/>
  <c r="M166" i="5"/>
  <c r="A166" i="5" s="1"/>
  <c r="N166" i="5"/>
  <c r="M167" i="5"/>
  <c r="A167" i="5" s="1"/>
  <c r="M168" i="5"/>
  <c r="A168" i="5" s="1"/>
  <c r="N168" i="5"/>
  <c r="M169" i="5"/>
  <c r="A169" i="5" s="1"/>
  <c r="N169" i="5"/>
  <c r="M170" i="5"/>
  <c r="A170" i="5" s="1"/>
  <c r="N170" i="5"/>
  <c r="M171" i="5"/>
  <c r="A171" i="5" s="1"/>
  <c r="A172" i="5"/>
  <c r="M172" i="5"/>
  <c r="N172" i="5" s="1"/>
  <c r="M173" i="5"/>
  <c r="A173" i="5" s="1"/>
  <c r="N173" i="5"/>
  <c r="M174" i="5"/>
  <c r="A174" i="5" s="1"/>
  <c r="N174" i="5"/>
  <c r="M175" i="5"/>
  <c r="N175" i="5" s="1"/>
  <c r="M176" i="5"/>
  <c r="A176" i="5" s="1"/>
  <c r="N176" i="5"/>
  <c r="M177" i="5"/>
  <c r="A177" i="5" s="1"/>
  <c r="N177" i="5"/>
  <c r="M178" i="5"/>
  <c r="A178" i="5" s="1"/>
  <c r="M179" i="5"/>
  <c r="A179" i="5" s="1"/>
  <c r="M180" i="5"/>
  <c r="A180" i="5" s="1"/>
  <c r="N180" i="5"/>
  <c r="M181" i="5"/>
  <c r="A181" i="5" s="1"/>
  <c r="M182" i="5"/>
  <c r="A182" i="5" s="1"/>
  <c r="N182" i="5"/>
  <c r="M183" i="5"/>
  <c r="A183" i="5" s="1"/>
  <c r="N183" i="5"/>
  <c r="M184" i="5"/>
  <c r="A184" i="5" s="1"/>
  <c r="N184" i="5"/>
  <c r="M185" i="5"/>
  <c r="A185" i="5" s="1"/>
  <c r="A186" i="5"/>
  <c r="M186" i="5"/>
  <c r="N186" i="5" s="1"/>
  <c r="M187" i="5"/>
  <c r="A187" i="5" s="1"/>
  <c r="N187" i="5"/>
  <c r="M188" i="5"/>
  <c r="A188" i="5" s="1"/>
  <c r="N188" i="5"/>
  <c r="M189" i="5"/>
  <c r="N189" i="5" s="1"/>
  <c r="M190" i="5"/>
  <c r="A190" i="5" s="1"/>
  <c r="N190" i="5"/>
  <c r="M191" i="5"/>
  <c r="A191" i="5" s="1"/>
  <c r="N191" i="5"/>
  <c r="M192" i="5"/>
  <c r="A192" i="5" s="1"/>
  <c r="M193" i="5"/>
  <c r="A193" i="5" s="1"/>
  <c r="M194" i="5"/>
  <c r="A194" i="5" s="1"/>
  <c r="N194" i="5"/>
  <c r="M195" i="5"/>
  <c r="A195" i="5" s="1"/>
  <c r="M196" i="5"/>
  <c r="A196" i="5" s="1"/>
  <c r="N196" i="5"/>
  <c r="M197" i="5"/>
  <c r="A197" i="5" s="1"/>
  <c r="N197" i="5"/>
  <c r="M198" i="5"/>
  <c r="A198" i="5" s="1"/>
  <c r="N198" i="5"/>
  <c r="M199" i="5"/>
  <c r="A199" i="5" s="1"/>
  <c r="A200" i="5"/>
  <c r="M200" i="5"/>
  <c r="N200" i="5" s="1"/>
  <c r="M3" i="4"/>
  <c r="A3" i="4" s="1"/>
  <c r="M4" i="4"/>
  <c r="A4" i="4" s="1"/>
  <c r="N4" i="4"/>
  <c r="M5" i="4"/>
  <c r="A5" i="4" s="1"/>
  <c r="N5" i="4"/>
  <c r="M6" i="4"/>
  <c r="A6" i="4" s="1"/>
  <c r="N6" i="4"/>
  <c r="M7" i="4"/>
  <c r="N7" i="4" s="1"/>
  <c r="A8" i="4"/>
  <c r="M8" i="4"/>
  <c r="N8" i="4"/>
  <c r="M9" i="4"/>
  <c r="A9" i="4" s="1"/>
  <c r="N9" i="4"/>
  <c r="M10" i="4"/>
  <c r="A10" i="4" s="1"/>
  <c r="N10" i="4"/>
  <c r="M11" i="4"/>
  <c r="A11" i="4" s="1"/>
  <c r="N11" i="4"/>
  <c r="A12" i="4"/>
  <c r="M12" i="4"/>
  <c r="N12" i="4"/>
  <c r="M13" i="4"/>
  <c r="A13" i="4" s="1"/>
  <c r="N13" i="4"/>
  <c r="M14" i="4"/>
  <c r="A14" i="4" s="1"/>
  <c r="N14" i="4"/>
  <c r="M15" i="4"/>
  <c r="A15" i="4" s="1"/>
  <c r="N15" i="4"/>
  <c r="M16" i="4"/>
  <c r="A16" i="4" s="1"/>
  <c r="N16" i="4"/>
  <c r="M17" i="4"/>
  <c r="A17" i="4" s="1"/>
  <c r="M18" i="4"/>
  <c r="A18" i="4" s="1"/>
  <c r="N18" i="4"/>
  <c r="M19" i="4"/>
  <c r="A19" i="4" s="1"/>
  <c r="N19" i="4"/>
  <c r="M20" i="4"/>
  <c r="A20" i="4" s="1"/>
  <c r="N20" i="4"/>
  <c r="M21" i="4"/>
  <c r="N21" i="4" s="1"/>
  <c r="A22" i="4"/>
  <c r="M22" i="4"/>
  <c r="N22" i="4"/>
  <c r="M23" i="4"/>
  <c r="A23" i="4" s="1"/>
  <c r="N23" i="4"/>
  <c r="M24" i="4"/>
  <c r="A24" i="4" s="1"/>
  <c r="N24" i="4"/>
  <c r="M25" i="4"/>
  <c r="A25" i="4" s="1"/>
  <c r="N25" i="4"/>
  <c r="A26" i="4"/>
  <c r="M26" i="4"/>
  <c r="N26" i="4"/>
  <c r="M27" i="4"/>
  <c r="A27" i="4" s="1"/>
  <c r="N27" i="4"/>
  <c r="M28" i="4"/>
  <c r="A28" i="4" s="1"/>
  <c r="N28" i="4"/>
  <c r="M29" i="4"/>
  <c r="A29" i="4" s="1"/>
  <c r="N29" i="4"/>
  <c r="M30" i="4"/>
  <c r="A30" i="4" s="1"/>
  <c r="N30" i="4"/>
  <c r="M31" i="4"/>
  <c r="A31" i="4" s="1"/>
  <c r="M32" i="4"/>
  <c r="A32" i="4" s="1"/>
  <c r="N32" i="4"/>
  <c r="M33" i="4"/>
  <c r="A33" i="4" s="1"/>
  <c r="N33" i="4"/>
  <c r="M34" i="4"/>
  <c r="A34" i="4" s="1"/>
  <c r="N34" i="4"/>
  <c r="M35" i="4"/>
  <c r="N35" i="4" s="1"/>
  <c r="A36" i="4"/>
  <c r="M36" i="4"/>
  <c r="N36" i="4"/>
  <c r="M37" i="4"/>
  <c r="A37" i="4" s="1"/>
  <c r="N37" i="4"/>
  <c r="M38" i="4"/>
  <c r="A38" i="4" s="1"/>
  <c r="N38" i="4"/>
  <c r="M39" i="4"/>
  <c r="A39" i="4" s="1"/>
  <c r="N39" i="4"/>
  <c r="A40" i="4"/>
  <c r="M40" i="4"/>
  <c r="N40" i="4"/>
  <c r="M41" i="4"/>
  <c r="A41" i="4" s="1"/>
  <c r="N41" i="4"/>
  <c r="M42" i="4"/>
  <c r="A42" i="4" s="1"/>
  <c r="N42" i="4"/>
  <c r="M43" i="4"/>
  <c r="A43" i="4" s="1"/>
  <c r="N43" i="4"/>
  <c r="M44" i="4"/>
  <c r="A44" i="4" s="1"/>
  <c r="N44" i="4"/>
  <c r="M45" i="4"/>
  <c r="A45" i="4" s="1"/>
  <c r="M46" i="4"/>
  <c r="A46" i="4" s="1"/>
  <c r="N46" i="4"/>
  <c r="M47" i="4"/>
  <c r="A47" i="4" s="1"/>
  <c r="N47" i="4"/>
  <c r="M48" i="4"/>
  <c r="A48" i="4" s="1"/>
  <c r="N48" i="4"/>
  <c r="M49" i="4"/>
  <c r="N49" i="4" s="1"/>
  <c r="A50" i="4"/>
  <c r="M50" i="4"/>
  <c r="N50" i="4"/>
  <c r="M51" i="4"/>
  <c r="A51" i="4" s="1"/>
  <c r="N51" i="4"/>
  <c r="M52" i="4"/>
  <c r="A52" i="4" s="1"/>
  <c r="N52" i="4"/>
  <c r="M53" i="4"/>
  <c r="A53" i="4" s="1"/>
  <c r="N53" i="4"/>
  <c r="A54" i="4"/>
  <c r="M54" i="4"/>
  <c r="N54" i="4"/>
  <c r="M55" i="4"/>
  <c r="A55" i="4" s="1"/>
  <c r="N55" i="4"/>
  <c r="M56" i="4"/>
  <c r="A56" i="4" s="1"/>
  <c r="N56" i="4"/>
  <c r="M57" i="4"/>
  <c r="A57" i="4" s="1"/>
  <c r="N57" i="4"/>
  <c r="M58" i="4"/>
  <c r="A58" i="4" s="1"/>
  <c r="N58" i="4"/>
  <c r="M59" i="4"/>
  <c r="A59" i="4" s="1"/>
  <c r="M60" i="4"/>
  <c r="A60" i="4" s="1"/>
  <c r="N60" i="4"/>
  <c r="M61" i="4"/>
  <c r="A61" i="4" s="1"/>
  <c r="N61" i="4"/>
  <c r="M62" i="4"/>
  <c r="A62" i="4" s="1"/>
  <c r="N62" i="4"/>
  <c r="M63" i="4"/>
  <c r="N63" i="4" s="1"/>
  <c r="A64" i="4"/>
  <c r="M64" i="4"/>
  <c r="N64" i="4"/>
  <c r="M65" i="4"/>
  <c r="A65" i="4" s="1"/>
  <c r="N65" i="4"/>
  <c r="M66" i="4"/>
  <c r="A66" i="4" s="1"/>
  <c r="N66" i="4"/>
  <c r="M67" i="4"/>
  <c r="A67" i="4" s="1"/>
  <c r="N67" i="4"/>
  <c r="A68" i="4"/>
  <c r="M68" i="4"/>
  <c r="N68" i="4"/>
  <c r="M69" i="4"/>
  <c r="A69" i="4" s="1"/>
  <c r="N69" i="4"/>
  <c r="M70" i="4"/>
  <c r="A70" i="4" s="1"/>
  <c r="N70" i="4"/>
  <c r="M71" i="4"/>
  <c r="A71" i="4" s="1"/>
  <c r="N71" i="4"/>
  <c r="M72" i="4"/>
  <c r="A72" i="4" s="1"/>
  <c r="N72" i="4"/>
  <c r="M73" i="4"/>
  <c r="A73" i="4" s="1"/>
  <c r="M74" i="4"/>
  <c r="A74" i="4" s="1"/>
  <c r="N74" i="4"/>
  <c r="M75" i="4"/>
  <c r="A75" i="4" s="1"/>
  <c r="N75" i="4"/>
  <c r="M76" i="4"/>
  <c r="A76" i="4" s="1"/>
  <c r="N76" i="4"/>
  <c r="M77" i="4"/>
  <c r="N77" i="4" s="1"/>
  <c r="A78" i="4"/>
  <c r="M78" i="4"/>
  <c r="N78" i="4"/>
  <c r="M79" i="4"/>
  <c r="A79" i="4" s="1"/>
  <c r="N79" i="4"/>
  <c r="M80" i="4"/>
  <c r="A80" i="4" s="1"/>
  <c r="N80" i="4"/>
  <c r="M81" i="4"/>
  <c r="A81" i="4" s="1"/>
  <c r="N81" i="4"/>
  <c r="A82" i="4"/>
  <c r="M82" i="4"/>
  <c r="N82" i="4"/>
  <c r="M83" i="4"/>
  <c r="A83" i="4" s="1"/>
  <c r="N83" i="4"/>
  <c r="M84" i="4"/>
  <c r="A84" i="4" s="1"/>
  <c r="N84" i="4"/>
  <c r="M85" i="4"/>
  <c r="A85" i="4" s="1"/>
  <c r="N85" i="4"/>
  <c r="M86" i="4"/>
  <c r="A86" i="4" s="1"/>
  <c r="N86" i="4"/>
  <c r="M87" i="4"/>
  <c r="A87" i="4" s="1"/>
  <c r="M88" i="4"/>
  <c r="A88" i="4" s="1"/>
  <c r="N88" i="4"/>
  <c r="M89" i="4"/>
  <c r="A89" i="4" s="1"/>
  <c r="N89" i="4"/>
  <c r="M90" i="4"/>
  <c r="A90" i="4" s="1"/>
  <c r="N90" i="4"/>
  <c r="M91" i="4"/>
  <c r="N91" i="4" s="1"/>
  <c r="A92" i="4"/>
  <c r="M92" i="4"/>
  <c r="N92" i="4"/>
  <c r="M93" i="4"/>
  <c r="A93" i="4" s="1"/>
  <c r="N93" i="4"/>
  <c r="M94" i="4"/>
  <c r="A94" i="4" s="1"/>
  <c r="N94" i="4"/>
  <c r="M95" i="4"/>
  <c r="A95" i="4" s="1"/>
  <c r="N95" i="4"/>
  <c r="A96" i="4"/>
  <c r="M96" i="4"/>
  <c r="N96" i="4"/>
  <c r="M97" i="4"/>
  <c r="A97" i="4" s="1"/>
  <c r="N97" i="4"/>
  <c r="M98" i="4"/>
  <c r="A98" i="4" s="1"/>
  <c r="N98" i="4"/>
  <c r="M99" i="4"/>
  <c r="A99" i="4" s="1"/>
  <c r="N99" i="4"/>
  <c r="M100" i="4"/>
  <c r="A100" i="4" s="1"/>
  <c r="N100" i="4"/>
  <c r="M101" i="4"/>
  <c r="A101" i="4" s="1"/>
  <c r="M102" i="4"/>
  <c r="A102" i="4" s="1"/>
  <c r="N102" i="4"/>
  <c r="M103" i="4"/>
  <c r="A103" i="4" s="1"/>
  <c r="N103" i="4"/>
  <c r="M104" i="4"/>
  <c r="A104" i="4" s="1"/>
  <c r="N104" i="4"/>
  <c r="M105" i="4"/>
  <c r="N105" i="4" s="1"/>
  <c r="A106" i="4"/>
  <c r="M106" i="4"/>
  <c r="N106" i="4"/>
  <c r="M107" i="4"/>
  <c r="A107" i="4" s="1"/>
  <c r="N107" i="4"/>
  <c r="M108" i="4"/>
  <c r="A108" i="4" s="1"/>
  <c r="N108" i="4"/>
  <c r="M109" i="4"/>
  <c r="A109" i="4" s="1"/>
  <c r="N109" i="4"/>
  <c r="A110" i="4"/>
  <c r="M110" i="4"/>
  <c r="N110" i="4"/>
  <c r="M111" i="4"/>
  <c r="A111" i="4" s="1"/>
  <c r="N111" i="4"/>
  <c r="M112" i="4"/>
  <c r="A112" i="4" s="1"/>
  <c r="N112" i="4"/>
  <c r="M113" i="4"/>
  <c r="A113" i="4" s="1"/>
  <c r="N113" i="4"/>
  <c r="M114" i="4"/>
  <c r="A114" i="4" s="1"/>
  <c r="N114" i="4"/>
  <c r="M115" i="4"/>
  <c r="A115" i="4" s="1"/>
  <c r="M116" i="4"/>
  <c r="A116" i="4" s="1"/>
  <c r="N116" i="4"/>
  <c r="M117" i="4"/>
  <c r="A117" i="4" s="1"/>
  <c r="N117" i="4"/>
  <c r="M118" i="4"/>
  <c r="A118" i="4" s="1"/>
  <c r="N118" i="4"/>
  <c r="M119" i="4"/>
  <c r="N119" i="4" s="1"/>
  <c r="A120" i="4"/>
  <c r="M120" i="4"/>
  <c r="N120" i="4"/>
  <c r="M121" i="4"/>
  <c r="A121" i="4" s="1"/>
  <c r="N121" i="4"/>
  <c r="M122" i="4"/>
  <c r="A122" i="4" s="1"/>
  <c r="N122" i="4"/>
  <c r="M123" i="4"/>
  <c r="A123" i="4" s="1"/>
  <c r="N123" i="4"/>
  <c r="A124" i="4"/>
  <c r="M124" i="4"/>
  <c r="N124" i="4"/>
  <c r="M125" i="4"/>
  <c r="A125" i="4" s="1"/>
  <c r="N125" i="4"/>
  <c r="M126" i="4"/>
  <c r="A126" i="4" s="1"/>
  <c r="N126" i="4"/>
  <c r="M127" i="4"/>
  <c r="A127" i="4" s="1"/>
  <c r="N127" i="4"/>
  <c r="M128" i="4"/>
  <c r="A128" i="4" s="1"/>
  <c r="N128" i="4"/>
  <c r="M129" i="4"/>
  <c r="A129" i="4" s="1"/>
  <c r="M130" i="4"/>
  <c r="A130" i="4" s="1"/>
  <c r="N130" i="4"/>
  <c r="M131" i="4"/>
  <c r="A131" i="4" s="1"/>
  <c r="N131" i="4"/>
  <c r="M132" i="4"/>
  <c r="A132" i="4" s="1"/>
  <c r="N132" i="4"/>
  <c r="M133" i="4"/>
  <c r="N133" i="4" s="1"/>
  <c r="A134" i="4"/>
  <c r="M134" i="4"/>
  <c r="N134" i="4"/>
  <c r="M135" i="4"/>
  <c r="A135" i="4" s="1"/>
  <c r="N135" i="4"/>
  <c r="M136" i="4"/>
  <c r="A136" i="4" s="1"/>
  <c r="N136" i="4"/>
  <c r="M137" i="4"/>
  <c r="A137" i="4" s="1"/>
  <c r="N137" i="4"/>
  <c r="A138" i="4"/>
  <c r="M138" i="4"/>
  <c r="N138" i="4"/>
  <c r="M139" i="4"/>
  <c r="A139" i="4" s="1"/>
  <c r="N139" i="4"/>
  <c r="M140" i="4"/>
  <c r="A140" i="4" s="1"/>
  <c r="N140" i="4"/>
  <c r="M141" i="4"/>
  <c r="A141" i="4" s="1"/>
  <c r="N141" i="4"/>
  <c r="M142" i="4"/>
  <c r="A142" i="4" s="1"/>
  <c r="N142" i="4"/>
  <c r="M143" i="4"/>
  <c r="A143" i="4" s="1"/>
  <c r="M144" i="4"/>
  <c r="A144" i="4" s="1"/>
  <c r="N144" i="4"/>
  <c r="M145" i="4"/>
  <c r="A145" i="4" s="1"/>
  <c r="N145" i="4"/>
  <c r="M146" i="4"/>
  <c r="A146" i="4" s="1"/>
  <c r="N146" i="4"/>
  <c r="M147" i="4"/>
  <c r="N147" i="4" s="1"/>
  <c r="A148" i="4"/>
  <c r="M148" i="4"/>
  <c r="N148" i="4"/>
  <c r="M149" i="4"/>
  <c r="A149" i="4" s="1"/>
  <c r="N149" i="4"/>
  <c r="M150" i="4"/>
  <c r="A150" i="4" s="1"/>
  <c r="N150" i="4"/>
  <c r="M151" i="4"/>
  <c r="A151" i="4" s="1"/>
  <c r="N151" i="4"/>
  <c r="A152" i="4"/>
  <c r="M152" i="4"/>
  <c r="N152" i="4"/>
  <c r="M153" i="4"/>
  <c r="A153" i="4" s="1"/>
  <c r="N153" i="4"/>
  <c r="M154" i="4"/>
  <c r="A154" i="4" s="1"/>
  <c r="N154" i="4"/>
  <c r="M155" i="4"/>
  <c r="A155" i="4" s="1"/>
  <c r="N155" i="4"/>
  <c r="M156" i="4"/>
  <c r="A156" i="4" s="1"/>
  <c r="N156" i="4"/>
  <c r="M157" i="4"/>
  <c r="A157" i="4" s="1"/>
  <c r="M158" i="4"/>
  <c r="A158" i="4" s="1"/>
  <c r="N158" i="4"/>
  <c r="M159" i="4"/>
  <c r="A159" i="4" s="1"/>
  <c r="N159" i="4"/>
  <c r="M160" i="4"/>
  <c r="A160" i="4" s="1"/>
  <c r="N160" i="4"/>
  <c r="M161" i="4"/>
  <c r="N161" i="4" s="1"/>
  <c r="A162" i="4"/>
  <c r="M162" i="4"/>
  <c r="N162" i="4"/>
  <c r="M163" i="4"/>
  <c r="A163" i="4" s="1"/>
  <c r="N163" i="4"/>
  <c r="M164" i="4"/>
  <c r="A164" i="4" s="1"/>
  <c r="N164" i="4"/>
  <c r="M165" i="4"/>
  <c r="A165" i="4" s="1"/>
  <c r="N165" i="4"/>
  <c r="A166" i="4"/>
  <c r="M166" i="4"/>
  <c r="N166" i="4"/>
  <c r="M167" i="4"/>
  <c r="A167" i="4" s="1"/>
  <c r="N167" i="4"/>
  <c r="M168" i="4"/>
  <c r="A168" i="4" s="1"/>
  <c r="N168" i="4"/>
  <c r="M169" i="4"/>
  <c r="A169" i="4" s="1"/>
  <c r="N169" i="4"/>
  <c r="M3" i="3"/>
  <c r="M39" i="3"/>
  <c r="A39" i="3" s="1"/>
  <c r="M40" i="3"/>
  <c r="A40" i="3" s="1"/>
  <c r="M41" i="3"/>
  <c r="A41" i="3" s="1"/>
  <c r="M42" i="3"/>
  <c r="M43" i="3"/>
  <c r="A43" i="3" s="1"/>
  <c r="M44" i="3"/>
  <c r="A44" i="3" s="1"/>
  <c r="M45" i="3"/>
  <c r="A45" i="3" s="1"/>
  <c r="M46" i="3"/>
  <c r="A46" i="3" s="1"/>
  <c r="M47" i="3"/>
  <c r="M48" i="3"/>
  <c r="A48" i="3" s="1"/>
  <c r="M49" i="3"/>
  <c r="N49" i="3" s="1"/>
  <c r="M50" i="3"/>
  <c r="M51" i="3"/>
  <c r="N51" i="3" s="1"/>
  <c r="A51" i="3" s="1"/>
  <c r="M52" i="3"/>
  <c r="M53" i="3"/>
  <c r="M54" i="3"/>
  <c r="M55" i="3"/>
  <c r="M56" i="3"/>
  <c r="N56" i="3" s="1"/>
  <c r="A56" i="3" s="1"/>
  <c r="M57" i="3"/>
  <c r="M58" i="3"/>
  <c r="M59" i="3"/>
  <c r="A59" i="3" s="1"/>
  <c r="M60" i="3"/>
  <c r="M61" i="3"/>
  <c r="N61" i="3" s="1"/>
  <c r="A61" i="3" s="1"/>
  <c r="M62" i="3"/>
  <c r="M63" i="3"/>
  <c r="N63" i="3" s="1"/>
  <c r="M64" i="3"/>
  <c r="M65" i="3"/>
  <c r="N65" i="3" s="1"/>
  <c r="A65" i="3" s="1"/>
  <c r="M66" i="3"/>
  <c r="M67" i="3"/>
  <c r="M68" i="3"/>
  <c r="M69" i="3"/>
  <c r="M70" i="3"/>
  <c r="N70" i="3" s="1"/>
  <c r="A70" i="3" s="1"/>
  <c r="M71" i="3"/>
  <c r="M72" i="3"/>
  <c r="M73" i="3"/>
  <c r="A73" i="3" s="1"/>
  <c r="N73" i="3"/>
  <c r="M74" i="3"/>
  <c r="M75" i="3"/>
  <c r="N75" i="3" s="1"/>
  <c r="A75" i="3" s="1"/>
  <c r="M76" i="3"/>
  <c r="M77" i="3"/>
  <c r="N77" i="3" s="1"/>
  <c r="M78" i="3"/>
  <c r="M79" i="3"/>
  <c r="N79" i="3" s="1"/>
  <c r="A79" i="3" s="1"/>
  <c r="M80" i="3"/>
  <c r="M81" i="3"/>
  <c r="M82" i="3"/>
  <c r="M83" i="3"/>
  <c r="M84" i="3"/>
  <c r="N84" i="3" s="1"/>
  <c r="A84" i="3" s="1"/>
  <c r="M85" i="3"/>
  <c r="M86" i="3"/>
  <c r="M87" i="3"/>
  <c r="A87" i="3" s="1"/>
  <c r="M88" i="3"/>
  <c r="M89" i="3"/>
  <c r="N89" i="3" s="1"/>
  <c r="A89" i="3" s="1"/>
  <c r="M90" i="3"/>
  <c r="M91" i="3"/>
  <c r="N91" i="3" s="1"/>
  <c r="M92" i="3"/>
  <c r="M93" i="3"/>
  <c r="N93" i="3" s="1"/>
  <c r="A93" i="3" s="1"/>
  <c r="M94" i="3"/>
  <c r="M95" i="3"/>
  <c r="M96" i="3"/>
  <c r="M97" i="3"/>
  <c r="M98" i="3"/>
  <c r="N98" i="3" s="1"/>
  <c r="A98" i="3" s="1"/>
  <c r="M99" i="3"/>
  <c r="M100" i="3"/>
  <c r="M101" i="3"/>
  <c r="A101" i="3" s="1"/>
  <c r="M102" i="3"/>
  <c r="M103" i="3"/>
  <c r="N103" i="3" s="1"/>
  <c r="A103" i="3" s="1"/>
  <c r="M104" i="3"/>
  <c r="M105" i="3"/>
  <c r="N105" i="3" s="1"/>
  <c r="M106" i="3"/>
  <c r="M107" i="3"/>
  <c r="N107" i="3" s="1"/>
  <c r="A107" i="3" s="1"/>
  <c r="M108" i="3"/>
  <c r="M109" i="3"/>
  <c r="M110" i="3"/>
  <c r="M111" i="3"/>
  <c r="M112" i="3"/>
  <c r="N112" i="3" s="1"/>
  <c r="A112" i="3" s="1"/>
  <c r="M113" i="3"/>
  <c r="M114" i="3"/>
  <c r="M115" i="3"/>
  <c r="A115" i="3" s="1"/>
  <c r="N115" i="3"/>
  <c r="M116" i="3"/>
  <c r="M117" i="3"/>
  <c r="N117" i="3" s="1"/>
  <c r="A117" i="3" s="1"/>
  <c r="M118" i="3"/>
  <c r="M119" i="3"/>
  <c r="N119" i="3" s="1"/>
  <c r="M120" i="3"/>
  <c r="N120" i="3" s="1"/>
  <c r="M121" i="3"/>
  <c r="N121" i="3" s="1"/>
  <c r="A121" i="3" s="1"/>
  <c r="M122" i="3"/>
  <c r="M123" i="3"/>
  <c r="M124" i="3"/>
  <c r="M125" i="3"/>
  <c r="M126" i="3"/>
  <c r="N126" i="3" s="1"/>
  <c r="A126" i="3" s="1"/>
  <c r="M127" i="3"/>
  <c r="M128" i="3"/>
  <c r="M129" i="3"/>
  <c r="A129" i="3" s="1"/>
  <c r="N129" i="3"/>
  <c r="M130" i="3"/>
  <c r="M131" i="3"/>
  <c r="N131" i="3" s="1"/>
  <c r="A131" i="3" s="1"/>
  <c r="M132" i="3"/>
  <c r="M133" i="3"/>
  <c r="N133" i="3" s="1"/>
  <c r="M134" i="3"/>
  <c r="N134" i="3" s="1"/>
  <c r="M135" i="3"/>
  <c r="N135" i="3" s="1"/>
  <c r="A135" i="3" s="1"/>
  <c r="M136" i="3"/>
  <c r="M137" i="3"/>
  <c r="M138" i="3"/>
  <c r="M139" i="3"/>
  <c r="N139" i="3"/>
  <c r="A139" i="3" s="1"/>
  <c r="M140" i="3"/>
  <c r="N140" i="3" s="1"/>
  <c r="A140" i="3" s="1"/>
  <c r="M141" i="3"/>
  <c r="M142" i="3"/>
  <c r="M143" i="3"/>
  <c r="A143" i="3" s="1"/>
  <c r="M144" i="3"/>
  <c r="M2" i="4"/>
  <c r="N2" i="4" s="1"/>
  <c r="M2" i="3"/>
  <c r="N2" i="3" l="1"/>
  <c r="N20" i="3"/>
  <c r="A20" i="3" s="1"/>
  <c r="N15" i="3"/>
  <c r="A15" i="3" s="1"/>
  <c r="N21" i="3"/>
  <c r="A21" i="3" s="1"/>
  <c r="N4" i="3"/>
  <c r="A4" i="3" s="1"/>
  <c r="N8" i="3"/>
  <c r="N16" i="3"/>
  <c r="A16" i="3" s="1"/>
  <c r="N27" i="3"/>
  <c r="A27" i="3" s="1"/>
  <c r="N13" i="3"/>
  <c r="A13" i="3" s="1"/>
  <c r="N18" i="3"/>
  <c r="A18" i="3" s="1"/>
  <c r="N10" i="3"/>
  <c r="A10" i="3" s="1"/>
  <c r="N9" i="3"/>
  <c r="N14" i="3"/>
  <c r="A14" i="3" s="1"/>
  <c r="N7" i="3"/>
  <c r="A7" i="3" s="1"/>
  <c r="N5" i="3"/>
  <c r="N12" i="3"/>
  <c r="A12" i="3" s="1"/>
  <c r="N24" i="3"/>
  <c r="A24" i="3" s="1"/>
  <c r="N26" i="3"/>
  <c r="A26" i="3" s="1"/>
  <c r="N11" i="3"/>
  <c r="A11" i="3" s="1"/>
  <c r="N19" i="3"/>
  <c r="A19" i="3" s="1"/>
  <c r="N17" i="3"/>
  <c r="A17" i="3" s="1"/>
  <c r="N22" i="3"/>
  <c r="A22" i="3" s="1"/>
  <c r="N25" i="3"/>
  <c r="A25" i="3" s="1"/>
  <c r="N6" i="3"/>
  <c r="A6" i="3" s="1"/>
  <c r="N23" i="3"/>
  <c r="A23" i="3" s="1"/>
  <c r="N42" i="3"/>
  <c r="A42" i="3"/>
  <c r="N87" i="3"/>
  <c r="N47" i="3"/>
  <c r="A47" i="3"/>
  <c r="N45" i="3"/>
  <c r="N143" i="3"/>
  <c r="N101" i="3"/>
  <c r="N59" i="3"/>
  <c r="A30" i="5"/>
  <c r="N146" i="5"/>
  <c r="N132" i="5"/>
  <c r="N118" i="5"/>
  <c r="N104" i="5"/>
  <c r="N90" i="5"/>
  <c r="N76" i="5"/>
  <c r="N62" i="5"/>
  <c r="N40" i="5"/>
  <c r="N192" i="6"/>
  <c r="N162" i="6"/>
  <c r="N140" i="6"/>
  <c r="N98" i="6"/>
  <c r="A29" i="5"/>
  <c r="A14" i="5"/>
  <c r="A12"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A21" i="5"/>
  <c r="N195" i="6"/>
  <c r="N93" i="6"/>
  <c r="A9" i="3"/>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21" i="4"/>
  <c r="A147" i="4"/>
  <c r="A7" i="4"/>
  <c r="N157" i="4"/>
  <c r="N143" i="4"/>
  <c r="N129" i="4"/>
  <c r="N115" i="4"/>
  <c r="N101" i="4"/>
  <c r="N87" i="4"/>
  <c r="N73" i="4"/>
  <c r="N59" i="4"/>
  <c r="N45" i="4"/>
  <c r="N31" i="4"/>
  <c r="N17" i="4"/>
  <c r="N3" i="4"/>
  <c r="A161" i="4"/>
  <c r="A133" i="4"/>
  <c r="A105" i="4"/>
  <c r="A119" i="4"/>
  <c r="A91" i="4"/>
  <c r="A63" i="4"/>
  <c r="A49" i="4"/>
  <c r="A35" i="4"/>
  <c r="N3" i="3"/>
  <c r="A3" i="3" s="1"/>
  <c r="A127" i="3"/>
  <c r="A74" i="3"/>
  <c r="A113" i="3"/>
  <c r="A60" i="3"/>
  <c r="A85" i="3"/>
  <c r="A50" i="3"/>
  <c r="A88" i="3"/>
  <c r="A95" i="3"/>
  <c r="N138" i="3"/>
  <c r="A138" i="3" s="1"/>
  <c r="A134" i="3"/>
  <c r="N124" i="3"/>
  <c r="A124" i="3" s="1"/>
  <c r="A120" i="3"/>
  <c r="N110" i="3"/>
  <c r="A110" i="3" s="1"/>
  <c r="N142" i="3"/>
  <c r="A142" i="3" s="1"/>
  <c r="N128" i="3"/>
  <c r="A128" i="3" s="1"/>
  <c r="N114" i="3"/>
  <c r="A114" i="3" s="1"/>
  <c r="N100" i="3"/>
  <c r="A100" i="3" s="1"/>
  <c r="N86" i="3"/>
  <c r="A86" i="3" s="1"/>
  <c r="N72" i="3"/>
  <c r="A72" i="3" s="1"/>
  <c r="N58" i="3"/>
  <c r="A58" i="3" s="1"/>
  <c r="N44" i="3"/>
  <c r="N137" i="3"/>
  <c r="A137" i="3" s="1"/>
  <c r="A133" i="3"/>
  <c r="N123" i="3"/>
  <c r="A123" i="3" s="1"/>
  <c r="A119" i="3"/>
  <c r="N109" i="3"/>
  <c r="A109" i="3" s="1"/>
  <c r="A105" i="3"/>
  <c r="N95" i="3"/>
  <c r="A91" i="3"/>
  <c r="N81" i="3"/>
  <c r="A81" i="3" s="1"/>
  <c r="A77" i="3"/>
  <c r="N67" i="3"/>
  <c r="A67" i="3" s="1"/>
  <c r="A63" i="3"/>
  <c r="N53" i="3"/>
  <c r="A53" i="3" s="1"/>
  <c r="A49" i="3"/>
  <c r="N39" i="3"/>
  <c r="N76" i="3"/>
  <c r="A76" i="3" s="1"/>
  <c r="N62" i="3"/>
  <c r="A62" i="3" s="1"/>
  <c r="N48" i="3"/>
  <c r="N141" i="3"/>
  <c r="A141" i="3" s="1"/>
  <c r="N127" i="3"/>
  <c r="N113" i="3"/>
  <c r="N99" i="3"/>
  <c r="A99" i="3" s="1"/>
  <c r="N85" i="3"/>
  <c r="N71" i="3"/>
  <c r="A71" i="3" s="1"/>
  <c r="N57" i="3"/>
  <c r="A57" i="3" s="1"/>
  <c r="N43" i="3"/>
  <c r="N90" i="3"/>
  <c r="A90" i="3" s="1"/>
  <c r="N136" i="3"/>
  <c r="A136" i="3" s="1"/>
  <c r="N122" i="3"/>
  <c r="A122" i="3" s="1"/>
  <c r="N66" i="3"/>
  <c r="A66" i="3" s="1"/>
  <c r="A5" i="3"/>
  <c r="N132" i="3"/>
  <c r="A132" i="3" s="1"/>
  <c r="N104" i="3"/>
  <c r="A104" i="3" s="1"/>
  <c r="N108" i="3"/>
  <c r="A108" i="3" s="1"/>
  <c r="N94" i="3"/>
  <c r="A94" i="3" s="1"/>
  <c r="N80" i="3"/>
  <c r="A80" i="3" s="1"/>
  <c r="N52" i="3"/>
  <c r="A52" i="3" s="1"/>
  <c r="N118" i="3"/>
  <c r="A118" i="3" s="1"/>
  <c r="N144" i="3"/>
  <c r="A144" i="3" s="1"/>
  <c r="N130" i="3"/>
  <c r="A130" i="3" s="1"/>
  <c r="N116" i="3"/>
  <c r="A116" i="3" s="1"/>
  <c r="N102" i="3"/>
  <c r="A102" i="3" s="1"/>
  <c r="N88" i="3"/>
  <c r="N74" i="3"/>
  <c r="N60" i="3"/>
  <c r="N46" i="3"/>
  <c r="N125" i="3"/>
  <c r="A125" i="3" s="1"/>
  <c r="N111" i="3"/>
  <c r="A111" i="3" s="1"/>
  <c r="N97" i="3"/>
  <c r="A97" i="3" s="1"/>
  <c r="N83" i="3"/>
  <c r="A83" i="3" s="1"/>
  <c r="N69" i="3"/>
  <c r="A69" i="3" s="1"/>
  <c r="N55" i="3"/>
  <c r="A55" i="3" s="1"/>
  <c r="N41" i="3"/>
  <c r="N106" i="3"/>
  <c r="A106" i="3" s="1"/>
  <c r="N92" i="3"/>
  <c r="A92" i="3" s="1"/>
  <c r="N78" i="3"/>
  <c r="A78" i="3" s="1"/>
  <c r="N64" i="3"/>
  <c r="A64" i="3" s="1"/>
  <c r="N50" i="3"/>
  <c r="A8" i="3"/>
  <c r="N96" i="3"/>
  <c r="A96" i="3" s="1"/>
  <c r="N82" i="3"/>
  <c r="A82" i="3" s="1"/>
  <c r="N68" i="3"/>
  <c r="A68" i="3" s="1"/>
  <c r="N54" i="3"/>
  <c r="A54" i="3" s="1"/>
  <c r="N40" i="3"/>
  <c r="A2" i="3"/>
  <c r="A2" i="4"/>
  <c r="A2" i="5"/>
  <c r="A2" i="6"/>
  <c r="N2" i="7" l="1"/>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s="1"/>
  <c r="A250" i="7" l="1"/>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<sst xmlns="http://schemas.openxmlformats.org/spreadsheetml/2006/main" count="1556" uniqueCount="395">
  <si>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</si>
  <si>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</si>
  <si>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</si>
  <si>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</si>
  <si>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</si>
  <si>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</si>
  <si>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</si>
  <si>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</si>
  <si>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</si>
  <si>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</si>
  <si>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</si>
  <si>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</si>
  <si>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</si>
  <si>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</si>
  <si>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</si>
  <si>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</si>
  <si>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</si>
  <si>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</si>
  <si>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</si>
  <si>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</si>
  <si>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</si>
  <si>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</si>
  <si>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</si>
  <si>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</si>
  <si>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</si>
  <si>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</si>
  <si>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</si>
  <si>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</si>
  <si>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</si>
  <si>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</si>
  <si>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</si>
  <si>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</si>
  <si>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</si>
  <si>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</si>
  <si>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</si>
  <si>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</si>
  <si>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</si>
  <si>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</si>
  <si>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</si>
  <si>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</si>
  <si>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</si>
  <si>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</si>
  <si>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</si>
  <si>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</si>
  <si>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</si>
  <si>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</si>
  <si>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</si>
  <si>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</si>
  <si>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</si>
  <si>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</si>
  <si>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</si>
  <si>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</si>
  <si>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</si>
  <si>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</si>
  <si>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</si>
  <si>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</si>
  <si>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</si>
  <si>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</si>
  <si>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</si>
  <si>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</si>
  <si>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</si>
  <si>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</si>
  <si>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</si>
  <si>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</si>
  <si>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</si>
  <si>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</si>
  <si>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</si>
  <si>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</si>
  <si>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</si>
  <si>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</si>
  <si>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</si>
  <si>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</si>
  <si>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</si>
  <si>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</si>
  <si>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</si>
  <si>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</si>
  <si>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</si>
  <si>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</si>
  <si>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</si>
  <si>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</si>
  <si>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</si>
  <si>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</si>
  <si>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</si>
  <si>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</si>
  <si>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</si>
  <si>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</si>
  <si>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</si>
  <si>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</si>
  <si>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</si>
  <si>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</si>
  <si>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</si>
  <si>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</si>
  <si>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</si>
  <si>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</si>
  <si>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</si>
  <si>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</si>
  <si>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</si>
  <si>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</si>
  <si>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</si>
  <si>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</si>
  <si>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</si>
  <si>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</si>
  <si>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</si>
  <si>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</si>
  <si>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</si>
  <si>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</si>
  <si>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</si>
  <si>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</si>
  <si>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</si>
  <si>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</si>
  <si>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</si>
  <si>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</si>
  <si>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</si>
  <si>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</si>
  <si>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</si>
  <si>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</si>
  <si>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</si>
  <si>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</si>
  <si>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</si>
  <si>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</si>
  <si>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medium</t>
  </si>
  <si>
    <t>ir35;deemed_payment;nic</t>
  </si>
  <si>
    <t>proforma</t>
  </si>
  <si>
    <t>IR35</t>
  </si>
  <si>
    <t>["1","2","3","4","5","6","7","8"]</t>
  </si>
  <si>
    <t>["S1","S2","S3","S4","S5","S6","S7","S8"]</t>
  </si>
  <si>
    <t>[{"line_id":"S4","text":"Less employer's NIC on actual payments","is_distractor":false},{"line_id":"S7","text":"Employer's NIC (note)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</si>
  <si>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t>
  </si>
  <si>
    <t>eis;seis;vct</t>
  </si>
  <si>
    <t>notes</t>
  </si>
  <si>
    <t>EIS</t>
  </si>
  <si>
    <t>For EIS income tax relief, what is the maximum amount of qualifying subscriptions that can attract relief in a tax year, and at what rate (ignoring the ‘lower of’ liability cap)?</t>
  </si>
  <si>
    <t>A. Up to £1,000,000 at 30%</t>
  </si>
  <si>
    <t>B. Up to £200,000 at 30%</t>
  </si>
  <si>
    <t>C. Up to £1,000,000 at 50%</t>
  </si>
  <si>
    <t>D. Unlimited subscriptions at 30%</t>
  </si>
  <si>
    <t>E. Up to £200,000 at 50%</t>
  </si>
  <si>
    <t>A</t>
  </si>
  <si>
    <t>EIS income tax relief is a tax reducer on subscriptions up to £1,000,000 in a tax year at 30% (subject to being capped by the individual’s income tax liability). Distractors: B[same_family], C[threshold_swap], D[exception_as_rule], E[threshold_swap].</t>
  </si>
  <si>
    <t>An individual subscribed for qualifying EIS shares and claimed EIS income tax relief at 30%. The shares are later sold at a loss. How is the amount of income tax relief withdrawn (per your notes)?</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</si>
  <si>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</si>
  <si>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</si>
  <si>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</si>
  <si>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</si>
  <si>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Which statement correctly describes the CGT/dividend position for VCT shares (per your notes)?</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</si>
  <si>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</si>
  <si>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</si>
  <si>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</si>
  <si>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</si>
  <si>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</si>
  <si>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</si>
  <si>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</si>
  <si>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</si>
  <si>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</si>
  <si>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</si>
  <si>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</si>
  <si>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</si>
  <si>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</si>
  <si>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</si>
  <si>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</si>
  <si>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Per your notes: EIS reinvestment (deferral) window is 1 year before to 3 years after disposal; SEIS reinvestment relief requires reinvestment in qualifying SEIS shares during the same tax year.</t>
  </si>
  <si>
    <t>PF_CGA_REQ_EIS__001</t>
  </si>
  <si>
    <t>PF_CGA_REQ_EIS_</t>
  </si>
  <si>
    <t>EIS investor checklist</t>
  </si>
  <si>
    <t>Drag the statements into the most logical order for an individual making (and later exiting) a qualifying EIS investment, based on your notes.</t>
  </si>
  <si>
    <t>["1", "2", "3", "4", "5", "6", "7"]</t>
  </si>
  <si>
    <t>["S1", "S2", "S3", "S4", "S5", "S6", "S7"]</t>
  </si>
  <si>
    <t>[{"line_id": "S1", "text": "Subscribe in cash for newly issued ordinary shares (irreedeemable and fully paid up)", "is_distractor": false}, {"line_id": "S2", "text": "Ensure the investor is not ‘connected’ (not an employee and does not own &gt;30% share capital)", "is_distractor": false}, {"line_id": "S3", "text": "At investment date, investor must not hold other shares in the company (except existing EIS/SEIS holdings)", "is_distractor": false}, {"line_id": "S4", "text": "Claim EIS income tax relief as a tax reducer (up to £1,000,000 subscriptions; lower of 30% subscription or IT liability)", "is_distractor": false}, {"line_id": "S5", "text": "Hold the shares for at least 3 years to avoid withdrawal of relief", "is_distractor": false}, {"line_id": "S6", "text": "Remember claim deadline: by 5th anniversary of normal SA filing date for the tax year of investment (e.g., 31 Jan 2031 for 2024/25)", "is_distractor": false}, {"line_id": "S7", "text": "Consider CGT position on disposal: after 3 years, gain is exempt; loss is allowable with cost reduced by net EIS relief not withdrawn", "is_distractor": false}, {"line_id": "D1", "text": "Shares must be held for at least 5 years to retain the income tax relief", "is_distractor": true}, {"line_id": "D2", "text": "Relief applies to subscriptions up to £200,000 at 50% (subject to liability cap)", "is_distractor": true}]</t>
  </si>
  <si>
    <t>This proforma captures the main EIS subscription conditions, the income tax relief mechanics and timing, and the key holding-period/disposal consequences described in your notes.</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</si>
  <si>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</si>
  <si>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</si>
  <si>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</si>
  <si>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</si>
  <si>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</si>
  <si>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</si>
  <si>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</si>
  <si>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</si>
  <si>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</si>
  <si>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</si>
  <si>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</si>
  <si>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</si>
  <si>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Where a PSC provides services to a small entity and IR35 applies (per your notes), which statement is correct?</t>
  </si>
  <si>
    <t>C. Employment allowance can be used to offset employer NIC on the deemed salary</t>
  </si>
  <si>
    <t>D. Dividends are taxed twice: once as dividends and again as deemed salary</t>
  </si>
  <si>
    <t>E. The client must issue an SDS with a 45-day challenge process</t>
  </si>
  <si>
    <t>For small entities (per your notes):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</si>
  <si>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ir35;sds;ddp;medium_large_entity</t>
  </si>
  <si>
    <t>For services provided by a PSC to a medium or large entity (per your notes), who determines whether IR35 applies and what document is issued?</t>
  </si>
  <si>
    <t>B. The PSC determines status and issues an SDS to the client</t>
  </si>
  <si>
    <t>C. HMRC determines status and issues an SDS to both parties</t>
  </si>
  <si>
    <t>E. The PSC determines status and issues a 45-day DDP notice</t>
  </si>
  <si>
    <t>Per your notes: for medium/large entities, the client determines whether IR35 applies and issues an SDS with reasons; the individual can challenge and the client must respond within 45 days. Distractors: B[term_confusion], C[exception_as_rule], D[exception_as_rule], E[term_confusion].</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</si>
  <si>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</si>
  <si>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</si>
  <si>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</si>
  <si>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</si>
  <si>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</si>
  <si>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</si>
  <si>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</si>
  <si>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</si>
  <si>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</si>
  <si>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</si>
  <si>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</si>
  <si>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Per your notes for small entities: a deemed salary is calculated; employment allowance cannot be used; dividends form part of the deemed salary and are not taxed separately as dividends; deemed salary is treated as paid on the last day of the tax year.</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</si>
  <si>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</si>
  <si>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</si>
  <si>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</si>
  <si>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</si>
  <si>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</si>
  <si>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</si>
  <si>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</si>
  <si>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</si>
  <si>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</si>
  <si>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Per your notes: for medium/large entities the client determines IR35 and issues an SDS; there is a 45-day challenge/response window; the DDP is taxed like employment and is deducted to prevent double taxation when PSC later remunerates the individual.</t>
  </si>
  <si>
    <t>psc;ir35;sds;ddp</t>
  </si>
  <si>
    <t>Medium/large PSC IR35 process</t>
  </si>
  <si>
    <t>Drag the lines into the correct order describing the IR35 process for services provided by a PSC to a medium or large entity (whole-line matching only).</t>
  </si>
  <si>
    <t>["1","2","3","4","5","6"]</t>
  </si>
  <si>
    <t>["S1","S2","S3","S4","S5","S6"]</t>
  </si>
  <si>
    <t>[{"line_id":"S1","text":"Client determines whether IR35 rules apply (medium/large entity engagement)","is_distractor":false},{"line_id":"S2","text":"Client issues a Status Determination Statement (SDS) with reasons" ,"is_distractor":false},{"line_id":"S3","text":"Individual can challenge the SDS before final payment; client must respond within 45 days" ,"is_distractor":false},{"line_id":"S4","text":"Client operates PAYE/NIC on the deemed direct payment (DDP) as if PSC were a direct employee" ,"is_distractor":false},{"line_id":"S5","text":"PSC receives the fee net of tax withheld by the client; the net fee is non-taxable to PSC" ,"is_distractor":false},{"line_id":"S6","text":"When PSC later pays salary/dividends, remuneration is free of PAYE/NIC up to the level of the DDP (to avoid double taxation)" ,"is_distractor":false},{"line_id":"D1","text":"PSC determines IR35 status and issues the SDS to the client" ,"is_distractor":true},{"line_id":"D2","text":"Employment allowance can be used to offset employer NIC on the DDP" ,"is_distractor":true}]</t>
  </si>
  <si>
    <t>This sequence matches your notes: for medium/large entities the client determines status and issues an SDS (with a 45-day challenge window), operates PAYE/NIC on the DDP, and the DDP is used to prevent double taxation when the PSC later remunerates the individual.</t>
  </si>
  <si>
    <t>Employee share schemes (SAYE / CSOP / EMI / SIP)</t>
  </si>
  <si>
    <t>saye;share_schemes</t>
  </si>
  <si>
    <t>SHS</t>
  </si>
  <si>
    <t>Which statement correctly describes SAYE (Save As You Earn) per your notes?</t>
  </si>
  <si>
    <t>A. Employees save £5–£500 per month for 3 or 5 years; no IT/NIC on grant/exercise; at maturity they can take cash tax-free or buy shares, with CGT on sale</t>
  </si>
  <si>
    <t>B. Selected employees are granted options up to £60,000 which must be exercised 3–10 years after grant</t>
  </si>
  <si>
    <t>C. SAYE must be offered only to full-time directors and key employees</t>
  </si>
  <si>
    <t>D. SAYE savings must be invested in employer shares throughout the term</t>
  </si>
  <si>
    <t>E. SAYE gives CGT-free disposal of shares if held 3 years</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</si>
  <si>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</si>
  <si>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</si>
  <si>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For a CSOP (Company Share Option Plan), which rule is correct per your notes?</t>
  </si>
  <si>
    <t>B. Options may be exercised at any time provided the option price is below market value</t>
  </si>
  <si>
    <t>C. Anyone who held over 30% of any company in the last 12 months can participate</t>
  </si>
  <si>
    <t>D. Maximum grant is £250,000 per employee</t>
  </si>
  <si>
    <t>Your notes: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</si>
  <si>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emi;discount;nic</t>
  </si>
  <si>
    <t>Under EMI, when can an income tax (and possibly NIC) charge arise at exercise per your notes?</t>
  </si>
  <si>
    <t>B. Always at exercise, because EMI options are taxed as employment income</t>
  </si>
  <si>
    <t>D. Only if the company has gross assets above £30m at grant</t>
  </si>
  <si>
    <t>E. Never at exercise; only CGT applies regardless of pricing</t>
  </si>
  <si>
    <t>Your notes: EMI has no IT/NIC at grant or exercise unless issued at a discount to MV at grant; then at exercise IT (and NIC if listed) is on the lower of discount vs MV at exercise and the price paid. Distractors: B[exception_as_rule], C[term_confusion], D[threshold_swap], E[wrong_direction].</t>
  </si>
  <si>
    <t>csop;emi;limits</t>
  </si>
  <si>
    <t>Fill in the limits/timings: Under CSOP the max option value per employee is {gap1} and options must be exercised between {gap2} and {gap3} years. Under EMI, the employee limit is {gap4} and the total company grant limit is {gap5}.</t>
  </si>
  <si>
    <t>["£60,000", "£250,000", "£200,000"]</t>
  </si>
  <si>
    <t>["3", "5", "1"]</t>
  </si>
  <si>
    <t>["10", "5", "3"]</t>
  </si>
  <si>
    <t>["£250,000", "£60,000", "£3,000,000"]</t>
  </si>
  <si>
    <t>["£3,000,000", "£30,000,000", "£60,000"]</t>
  </si>
  <si>
    <t>Per your notes: CSOP limit £60,000 and exercise window 3–10 years. EMI limits: £250,000 per employee and £3m total company grant.</t>
  </si>
  <si>
    <t>sip;hold_period;withdrawal</t>
  </si>
  <si>
    <t>SIP withdrawal charges: If shares are held in the SIP for more than {gap1} years, there is no IT or NIC on withdrawal. If held for less than {gap2} years, IT and NIC are based on {gap3} at withdrawal. If held between {gap4} and {gap5} years, the IT/NIC charge is based on the lower of MV at award vs MV at withdrawal.</t>
  </si>
  <si>
    <t>["5", "3", "10"]</t>
  </si>
  <si>
    <t>["3", "5", "18 months"]</t>
  </si>
  <si>
    <t>["market value", "original subscription cost", "option price"]</t>
  </si>
  <si>
    <t>market value</t>
  </si>
  <si>
    <t>["3", "5", "10"]</t>
  </si>
  <si>
    <t>["5", "10", "18 months"]</t>
  </si>
  <si>
    <t>Per your notes: SIP &gt;5 years: no IT/NIC on taking shares out. &lt;3 years: IT/NIC based on market value at withdrawal. 3–5 years: IT/NIC based on the lower of MV at award and MV at withdrawal.</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</si>
  <si>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</si>
  <si>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</si>
  <si>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</si>
  <si>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</si>
  <si>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</si>
  <si>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</si>
  <si>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</si>
  <si>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</si>
  <si>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</si>
  <si>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[{"line_id":"S1","text":"Payment for services (net VAT)","is_distractor":false},{"line_id":"S2","text":"(Direct cost of materials)" ,"is_distractor":false},{"line_id":"S3","text":"Allowable expenses" ,"is_distractor":false},{"line_id":"S4","text":"Deemed direct payment (DDP)" ,"is_distractor":false},{"line_id":"D1","text":"(Statutory 5%)" ,"is_distractor":true},{"line_id":"D2","text":"Employer's NIC 13.8/113.8" ,"is_distractor":true}]</t>
  </si>
  <si>
    <t>Client will withold income tax and Class 1 Employee NICs on DDP as if the individual was an employee. PSC receives fee net of tax and drawings are net of tax up to the limit of the DDP</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</si>
  <si>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</si>
  <si>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</si>
  <si>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</si>
  <si>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</si>
  <si>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</si>
  <si>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</si>
  <si>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</si>
  <si>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</si>
  <si>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A. CSOP must be open to all employees on similar terms</t>
  </si>
  <si>
    <t>E. Options must be exercised between 3 and 10 years after grant</t>
  </si>
  <si>
    <t>A. Only if the employee works fewer than 25 hours per week</t>
  </si>
  <si>
    <t>Employee share schemes terminology</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</si>
  <si>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</si>
  <si>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</si>
  <si>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</si>
  <si>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</si>
  <si>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</si>
  <si>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</si>
  <si>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</si>
  <si>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</si>
  <si>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</si>
  <si>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 scheme rules (company)</t>
  </si>
  <si>
    <t>emi;company_rules</t>
  </si>
  <si>
    <t>EMI</t>
  </si>
  <si>
    <t>For EMI eligibility, what is the maximum gross assets limit for the company (per your notes)?</t>
  </si>
  <si>
    <t>A. Less than £30m</t>
  </si>
  <si>
    <t>B. Less than £3m</t>
  </si>
  <si>
    <t>C. Less than £60k</t>
  </si>
  <si>
    <t>D. Less than £250k</t>
  </si>
  <si>
    <t>E. No gross asset limit applies</t>
  </si>
  <si>
    <t>Per your notes, an EMI company can be listed but must have gross assets of less than £30m. Distractors: B[same_family], C[threshold_swap], D[threshold_swap], E[exception_as_rule].</t>
  </si>
  <si>
    <t>Which statement about a company’s listing status for EMI is correct (per your notes)?</t>
  </si>
  <si>
    <t>A. The company must be unlisted to qualify for EMI</t>
  </si>
  <si>
    <t>B. The company can be listed, provided other EMI conditions (including gross assets &lt; £30m) are met</t>
  </si>
  <si>
    <t>C. The company can only be AIM-listed, not fully listed</t>
  </si>
  <si>
    <t>D. Listing automatically disqualifies EMI regardless of gross assets</t>
  </si>
  <si>
    <t>E. Listing is allowed only if the company has fewer than 30 employees</t>
  </si>
  <si>
    <t>Your notes state the company can be listed, but must meet conditions including gross assets &lt; £30m. Distractors: B[exception_as_rule], C[term_confusion], D[wrong_direction], E[threshold_swap].</t>
  </si>
  <si>
    <t>For EMI eligibility, which employee headcount condition applies to the company (per your notes)?</t>
  </si>
  <si>
    <t>A. No more than 75% of employees can be part-time</t>
  </si>
  <si>
    <t>B. Fewer than 30 employees</t>
  </si>
  <si>
    <t>C. Fewer than 250 employees</t>
  </si>
  <si>
    <t>D. Exactly 250 employees or fewer</t>
  </si>
  <si>
    <t>E. Fewer than 18 months average service</t>
  </si>
  <si>
    <t>Per your notes, the company must have less than 250 employees. Distractors: B[threshold_swap], C[term_confusion], D[threshold_swap], E[term_confusion].</t>
  </si>
  <si>
    <t>Which UK presence requirement must the company meet for EMI (per your notes)?</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</si>
  <si>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</si>
  <si>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</si>
  <si>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</si>
  <si>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</si>
  <si>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</si>
  <si>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</si>
  <si>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Which control condition must be satisfied for an EMI company (per your notes)?</t>
  </si>
  <si>
    <t>A. The company must be a close company</t>
  </si>
  <si>
    <t>B. The company must be a subsidiary of a listed parent</t>
  </si>
  <si>
    <t>C. The company must be controlled by UK resident shareholders</t>
  </si>
  <si>
    <t>D. The company must be controlled by employees participating in EMI</t>
  </si>
  <si>
    <t>E. The company must not be under the control of another company</t>
  </si>
  <si>
    <t>Per your notes, the company must not be under control of another company. Distractors: B[wrong_direction], C[exception_as_rule], D[exception_as_rule], E[term_confusion].</t>
  </si>
  <si>
    <t>EMI scheme rules (employees)</t>
  </si>
  <si>
    <t>emi;employee_rules</t>
  </si>
  <si>
    <t>Which working-time condition applies to employees for EMI eligibility (per your notes)?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</si>
  <si>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</si>
  <si>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</si>
  <si>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</si>
  <si>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</si>
  <si>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</si>
  <si>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</si>
  <si>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Which ownership condition excludes an employee from EMI (per your notes)?</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</si>
  <si>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</si>
  <si>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</si>
  <si>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</si>
  <si>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</si>
  <si>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</si>
  <si>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Per your notes, employees who own &gt;30% of ordinary shares are excluded. Distractors: B[threshold_swap], C[exception_as_rule], D[term_confusion], E[term_confusion].</t>
  </si>
  <si>
    <t>EMI scheme rules (shares)</t>
  </si>
  <si>
    <t>emi;share_conditions</t>
  </si>
  <si>
    <t>For EMI, what type of shares must the options relate to (per your notes)?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</si>
  <si>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</si>
  <si>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</si>
  <si>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</si>
  <si>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</si>
  <si>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</si>
  <si>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</si>
  <si>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 scheme rules (limits)</t>
  </si>
  <si>
    <t>emi;limits</t>
  </si>
  <si>
    <t>What is the maximum EMI value an individual employee can hold (per your notes)?</t>
  </si>
  <si>
    <t>A. £60,000</t>
  </si>
  <si>
    <t>B. £250,000</t>
  </si>
  <si>
    <t>C. £200,000</t>
  </si>
  <si>
    <t>D. £3,000,000</t>
  </si>
  <si>
    <t>E. £30,000,000</t>
  </si>
  <si>
    <t>Per your notes, an employee can hold a maximum EMI of £250,000. Distractors: B[same_family], C[threshold_swap], D[same_family], E[same_family].</t>
  </si>
  <si>
    <t>What is the total maximum EMI that a company can grant (per your notes)?</t>
  </si>
  <si>
    <t>A. £3,000,000</t>
  </si>
  <si>
    <t>C. £60,000</t>
  </si>
  <si>
    <t>D. £30,000,000</t>
  </si>
  <si>
    <t>E. Unlimited, provided each employee stays under £250,000</t>
  </si>
  <si>
    <t>Your notes state the company can grant up to £3m in total. Distractors: B[same_family], C[same_family], D[threshold_swap], E[exception_as_rule].</t>
  </si>
  <si>
    <t>If the EMI limits are reached, what restriction applies next (per your notes)?</t>
  </si>
  <si>
    <t>A. EMI can still be granted but only to new employees</t>
  </si>
  <si>
    <t>B. No more EMI can be granted for five years</t>
  </si>
  <si>
    <t>C. No more EMI can be granted for three years</t>
  </si>
  <si>
    <t>D. EMI can be granted only if the company becomes unlisted</t>
  </si>
  <si>
    <t>E. EMI can be granted only up to £60,000 per employee</t>
  </si>
  <si>
    <t>Per your notes: once at the limit, no more EMI can be granted for three years. Distractors: B[threshold_swap], C[exception_as_rule], D[term_confusion], E[same_family].</t>
  </si>
  <si>
    <t>emi;limits;interaction</t>
  </si>
  <si>
    <t>How do other option schemes interact with EMI limits (per your notes)?</t>
  </si>
  <si>
    <t>A. Only SIP participation reduces the EMI limit</t>
  </si>
  <si>
    <t>B. SAYE reduces the EMI limit; CSOP does not</t>
  </si>
  <si>
    <t>C. Both CSOP and SAYE reduce the EMI limit</t>
  </si>
  <si>
    <t>D. Neither CSOP nor SAYE affects the EMI limit</t>
  </si>
  <si>
    <t>E. CSOP options reduce the EMI limit; SAYE does not</t>
  </si>
  <si>
    <t>Your notes: CSOP options reduce the EMI limit, while SAYE does not. Distractors: B[wrong_direction], C[exception_as_rule], D[exception_as_rule], E[term_confusion].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</si>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</sst>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89" dataDxfId="88">
  <tableColumns count="22">
    <tableColumn id="1" xr3:uid="{3143F177-F819-460E-B2A9-7D5DF7E40EF8}" name="question_id" dataDxfId="87">
      <calculatedColumnFormula>IF(M2="","",M2&amp;"_"&amp;TEXT(N2,"000"))</calculatedColumnFormula>
    </tableColumn>
    <tableColumn id="2" xr3:uid="{590E99E6-E7E0-4850-B349-788F35665CFB}" name="topic" dataDxfId="86"/>
    <tableColumn id="3" xr3:uid="{0E1102D9-5102-4F5F-94D2-8CDF0342B713}" name="component" dataDxfId="85"/>
    <tableColumn id="4" xr3:uid="{53167456-D2D6-46F5-902F-E25B72847760}" name="subtopic" dataDxfId="84"/>
    <tableColumn id="5" xr3:uid="{4A660E62-FD15-4B74-8FBC-1B8A2BAB6305}" name="question_type" dataDxfId="83"/>
    <tableColumn id="6" xr3:uid="{039025CC-846C-46D7-B1D9-63E3BAF69C9A}" name="difficulty" dataDxfId="82"/>
    <tableColumn id="7" xr3:uid="{996F048C-5FD0-410B-88A3-192D3E6417E2}" name="priority" dataDxfId="81"/>
    <tableColumn id="8" xr3:uid="{EECF5330-4BBC-4ED3-B9D0-64317766CBE4}" name="active" dataDxfId="80"/>
    <tableColumn id="9" xr3:uid="{CBAF624D-83AD-45AD-8500-A2E7B1F24794}" name="tags" dataDxfId="79"/>
    <tableColumn id="10" xr3:uid="{95517BC8-09AC-46E6-AF79-F48569B6E3B4}" name="source_ref" dataDxfId="78"/>
    <tableColumn id="11" xr3:uid="{0ADA81E5-57A0-454C-BA26-289888F2A40C}" name="version" dataDxfId="77"/>
    <tableColumn id="12" xr3:uid="{91DFC1B0-44F2-4CAB-869F-2A1536A924E3}" name="subtopic_code" dataDxfId="76"/>
    <tableColumn id="13" xr3:uid="{DD40E926-33DD-466F-A912-E8459B494AEC}" name="id_prefix" dataDxfId="75">
      <calculatedColumnFormula>IF(B2="","","MCQ"&amp;"_"&amp;IFERROR(VLOOKUP(B2,LOOKUPS!$K$2:$L$9,2,FALSE),"UNK")&amp;"_"&amp;IFERROR(VLOOKUP(C2,LOOKUPS!$N$2:$O$8,2,FALSE),"UNK")&amp;"_"&amp;UPPER(L2))</calculatedColumnFormula>
    </tableColumn>
    <tableColumn id="14" xr3:uid="{B91893FC-B206-4333-AA9F-C9D2E6E88ACB}" name="next_seq" dataDxfId="74">
      <calculatedColumnFormula>IF(M2="","",COUNTIF($M$2:M2,M2))</calculatedColumnFormula>
    </tableColumn>
    <tableColumn id="15" xr3:uid="{1078EC50-F43B-43D7-97FF-5DF911C915E9}" name="prompt" dataDxfId="73"/>
    <tableColumn id="16" xr3:uid="{09037EB0-2F5E-423E-A0B0-A6FA96AAD55C}" name="option_a" dataDxfId="72"/>
    <tableColumn id="17" xr3:uid="{15DBBA40-E39C-49BC-A29D-15E22618204B}" name="option_b" dataDxfId="71"/>
    <tableColumn id="18" xr3:uid="{0DD51665-D870-4BD5-AE89-AC0E7B104E33}" name="option_c" dataDxfId="70"/>
    <tableColumn id="19" xr3:uid="{F03E2272-D332-4A35-A9A4-1207B0516B62}" name="option_d" dataDxfId="69"/>
    <tableColumn id="20" xr3:uid="{2094478F-A251-4AEF-8340-6DC80238A2B4}" name="option_e" dataDxfId="68"/>
    <tableColumn id="21" xr3:uid="{C7639FD0-0BCA-4C05-B93C-0446381E2D4C}" name="correct_option" dataDxfId="67"/>
    <tableColumn id="22" xr3:uid="{F4B67840-87C2-4942-BF58-96478C0C83A8}" name="explanation" dataDxfId="6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65" dataDxfId="64">
  <autoFilter ref="A1:AC169" xr:uid="{F0BC66BE-4E93-4072-A344-FDCACD8C00F6}"/>
  <tableColumns count="29">
    <tableColumn id="1" xr3:uid="{3B955206-414A-482E-8FC0-84A96C4CF49D}" name="question_id" dataDxfId="63">
      <calculatedColumnFormula>IF(M2="","",M2&amp;"_"&amp;TEXT(N2,"000"))</calculatedColumnFormula>
    </tableColumn>
    <tableColumn id="2" xr3:uid="{53027823-F0F6-4E94-8AA1-7C6222262D18}" name="topic" dataDxfId="62"/>
    <tableColumn id="3" xr3:uid="{FD05D5D8-FEA8-48A4-A203-0640D7E619F3}" name="component" dataDxfId="61"/>
    <tableColumn id="4" xr3:uid="{6C2A5CA5-1F90-40D0-A5FA-2742635ABD9A}" name="subtopic" dataDxfId="60"/>
    <tableColumn id="5" xr3:uid="{2B0B69B7-AE58-4CB1-B966-1041649BA116}" name="question_type" dataDxfId="59"/>
    <tableColumn id="6" xr3:uid="{C38B8210-1ACE-45F9-9CAE-F367DA3457ED}" name="difficulty" dataDxfId="58"/>
    <tableColumn id="7" xr3:uid="{53156DAB-1E60-4E68-A9F0-DEDD057BE1AC}" name="priority" dataDxfId="57"/>
    <tableColumn id="8" xr3:uid="{1A85DF8A-ED45-47D7-A6CE-49487F67719B}" name="active" dataDxfId="56"/>
    <tableColumn id="9" xr3:uid="{69D5925E-FDC6-4D60-8287-CD87D72B5723}" name="tags" dataDxfId="55"/>
    <tableColumn id="10" xr3:uid="{0E5E2BA0-7572-4684-9AAE-4051BB319822}" name="source_ref" dataDxfId="54"/>
    <tableColumn id="11" xr3:uid="{B3ED8671-D7AC-48C1-917D-C7E1740038CA}" name="version" dataDxfId="53"/>
    <tableColumn id="12" xr3:uid="{45CE182C-3F25-456B-AAEF-C30193AACF0B}" name="subtopic_code" dataDxfId="52"/>
    <tableColumn id="13" xr3:uid="{78AA824C-B13F-429B-94FD-D39E31754843}" name="id_prefix" dataDxfId="51">
      <calculatedColumnFormula>IF(B2="","","AB"&amp;"_"&amp;IFERROR(VLOOKUP(B2,LOOKUPS!$K$2:$L$9,2,FALSE),"UNK")&amp;"_"&amp;IFERROR(VLOOKUP(C2,LOOKUPS!$N$2:$O$8,2,FALSE),"UNK")&amp;"_"&amp;UPPER(L2))</calculatedColumnFormula>
    </tableColumn>
    <tableColumn id="14" xr3:uid="{57DABC95-1398-407F-818F-E602994B1CF6}" name="next_seq" dataDxfId="50">
      <calculatedColumnFormula>IF(M2="","",COUNTIF($M$2:M2,M2))</calculatedColumnFormula>
    </tableColumn>
    <tableColumn id="15" xr3:uid="{9B2B78EF-2FEE-4BC0-A5FA-D4C2889E74AC}" name="prompt_template" dataDxfId="49"/>
    <tableColumn id="16" xr3:uid="{A8DA9CBD-4C5A-43D0-919E-806E91BEF2EC}" name="gap_count" dataDxfId="48"/>
    <tableColumn id="17" xr3:uid="{F27057E5-A92F-418A-9046-13198E5C9905}" name="choice_a" dataDxfId="47"/>
    <tableColumn id="18" xr3:uid="{E02B27C2-2A44-4E0C-BB94-33C75571BE39}" name="choice_b" dataDxfId="46"/>
    <tableColumn id="19" xr3:uid="{BE479B0C-524B-4C87-AA56-13D53F5D58D5}" name="gap1_correct" dataDxfId="45"/>
    <tableColumn id="20" xr3:uid="{FB5A250C-A156-41E2-8727-D9FA40DA2A74}" name="gap1_allow_repeat" dataDxfId="44"/>
    <tableColumn id="21" xr3:uid="{C7905FE7-BED4-4E80-837C-A5AFDEA02E55}" name="gap2_correct" dataDxfId="43"/>
    <tableColumn id="22" xr3:uid="{2BEB549B-37F9-46B5-B769-4E7075E6757F}" name="gap2_allow_repeat" dataDxfId="42"/>
    <tableColumn id="23" xr3:uid="{143FD944-31A1-40F2-A55D-2870E48C6692}" name="gap3_correct" dataDxfId="41"/>
    <tableColumn id="24" xr3:uid="{E4C97B71-682B-49DE-9CAA-066517D57069}" name="gap3_allow_repeat" dataDxfId="40"/>
    <tableColumn id="25" xr3:uid="{F5BF61B5-9AFD-48D4-9EAB-F4AED68F034F}" name="gap4_correct" dataDxfId="39"/>
    <tableColumn id="26" xr3:uid="{E77B49CD-93F0-4B8D-84D6-8F89A4EE54B3}" name="gap4_allow_repeat" dataDxfId="38"/>
    <tableColumn id="27" xr3:uid="{E73C4452-41C3-40FA-9EA3-93520038EF24}" name="gap5_correct" dataDxfId="37"/>
    <tableColumn id="28" xr3:uid="{67789CB9-B40B-4D48-9861-1F300F9603FA}" name="gap5_allow_repeat" dataDxfId="36"/>
    <tableColumn id="29" xr3:uid="{0524B72D-170D-4329-A999-A8626F98ECC5}" name="explanation" dataDxfId="3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34" dataDxfId="33">
  <autoFilter ref="A1:AG200" xr:uid="{E9B73698-D520-45DF-BE06-581F3140E2CF}"/>
  <tableColumns count="33">
    <tableColumn id="1" xr3:uid="{23420D1D-4A05-4D96-AC71-540C3566B6D4}" name="question_id" dataDxfId="32">
      <calculatedColumnFormula>IF(M2="","",M2&amp;"_"&amp;TEXT(N2,"000"))</calculatedColumnFormula>
    </tableColumn>
    <tableColumn id="2" xr3:uid="{DC8B6EB1-DEA7-4C27-ACC9-69DC66E4B88E}" name="topic" dataDxfId="31"/>
    <tableColumn id="3" xr3:uid="{9FF86C9D-41D3-4FA4-B52D-DE409BE4A75A}" name="component" dataDxfId="30"/>
    <tableColumn id="4" xr3:uid="{CF05BD93-E736-4B25-8614-DACA00DAE906}" name="subtopic" dataDxfId="29"/>
    <tableColumn id="5" xr3:uid="{3B32BF91-E453-4825-B02A-C9BC262C6501}" name="question_type" dataDxfId="28"/>
    <tableColumn id="6" xr3:uid="{C453CAE0-2DF7-4300-96BF-5974156B83E9}" name="difficulty" dataDxfId="27"/>
    <tableColumn id="7" xr3:uid="{B0E77438-C755-4693-AFFA-FE5BF50CA179}" name="priority" dataDxfId="26"/>
    <tableColumn id="8" xr3:uid="{BD79D28D-84B7-48E4-9C88-D55EFAAC128A}" name="active" dataDxfId="25"/>
    <tableColumn id="9" xr3:uid="{3600A004-FB06-48AA-A47D-E8E1DBCBBD75}" name="tags" dataDxfId="24"/>
    <tableColumn id="10" xr3:uid="{484D9A70-6E15-4F60-B434-8A4FB8281401}" name="source_ref" dataDxfId="23"/>
    <tableColumn id="11" xr3:uid="{EE94405E-C69D-448E-AC70-52FDAF43EBE9}" name="version" dataDxfId="22"/>
    <tableColumn id="12" xr3:uid="{EDE5DE77-4198-4D58-92AD-0C6FF2D96198}" name="subtopic_code" dataDxfId="21"/>
    <tableColumn id="13" xr3:uid="{7AB24E72-5B7E-414E-A308-A75760161DBB}" name="id_prefix" dataDxfId="20">
      <calculatedColumnFormula>IF(B2="","","LIST"&amp;"_"&amp;IFERROR(VLOOKUP(B2,LOOKUPS!$K$2:$L$9,2,FALSE),"UNK")&amp;"_"&amp;IFERROR(VLOOKUP(C2,LOOKUPS!$N$2:$O$8,2,FALSE),"UNK")&amp;"_"&amp;UPPER(L2))</calculatedColumnFormula>
    </tableColumn>
    <tableColumn id="14" xr3:uid="{4B76C721-244D-449D-BF23-744114658180}" name="next_seq" dataDxfId="19">
      <calculatedColumnFormula>IF(M2="","",COUNTIF($M$2:M2,M2))</calculatedColumnFormula>
    </tableColumn>
    <tableColumn id="15" xr3:uid="{D95D8A12-9CCC-4D04-88FC-E4C479D3FA48}" name="prompt_template" dataDxfId="18"/>
    <tableColumn id="16" xr3:uid="{DFEE9D8B-25D0-47D1-91CD-27BAF5A2B0C6}" name="gap_count" dataDxfId="17"/>
    <tableColumn id="17" xr3:uid="{4B54EDED-BB6C-4CF9-B4BD-77B72C1AE74B}" name="gap1_options" dataDxfId="16"/>
    <tableColumn id="18" xr3:uid="{18BD33FC-339C-4F30-A820-1E4DADAE51D5}" name="gap1_correct" dataDxfId="15"/>
    <tableColumn id="19" xr3:uid="{43A9E514-1D21-4695-925C-920775974EE5}" name="gap1_allow_repeat" dataDxfId="14"/>
    <tableColumn id="20" xr3:uid="{0C92276E-A5F9-4842-B3B7-DF3087088063}" name="gap2_options" dataDxfId="13"/>
    <tableColumn id="21" xr3:uid="{5406E7DC-2332-49A6-8E05-AA02BA020D80}" name="gap2_correct" dataDxfId="12"/>
    <tableColumn id="22" xr3:uid="{88025412-F321-4D67-AF51-1887302619F1}" name="gap2_allow_repeat" dataDxfId="11"/>
    <tableColumn id="23" xr3:uid="{D286A38F-0421-4573-AB37-656CD478776B}" name="gap3_options" dataDxfId="10"/>
    <tableColumn id="24" xr3:uid="{285479CE-E217-4634-9381-0B4A5327983D}" name="gap3_correct" dataDxfId="9"/>
    <tableColumn id="25" xr3:uid="{1E85105A-3EF1-497C-A227-9A9786DE5761}" name="gap3_allow_repeat" dataDxfId="8"/>
    <tableColumn id="26" xr3:uid="{17D4F9FA-2E8F-40B3-A782-CE1712FEF429}" name="gap4_options" dataDxfId="7"/>
    <tableColumn id="27" xr3:uid="{7FCD686D-B135-4FC9-984F-86069B94E23E}" name="gap4_correct" dataDxfId="6"/>
    <tableColumn id="28" xr3:uid="{01ACCF42-786E-4349-917F-438AB0CFCDAB}" name="gap4_allow_repeat" dataDxfId="5"/>
    <tableColumn id="29" xr3:uid="{AEFF6A1F-711E-4299-8776-D2354BA5BACA}" name="gap5_options" dataDxfId="4"/>
    <tableColumn id="30" xr3:uid="{4C9D15DF-0AEF-4A21-8E7F-C25F24B38036}" name="gap5_correct" dataDxfId="3"/>
    <tableColumn id="31" xr3:uid="{BD273472-5A00-4BB3-9ABB-71585A886E01}" name="gap5_allow_repeat" dataDxfId="2"/>
    <tableColumn id="32" xr3:uid="{85590086-C385-442F-8B44-596E3C01119B}" name="enforce_unique_across_gaps" dataDxfId="1"/>
    <tableColumn id="33" xr3:uid="{B392F52E-81DF-4D51-B364-73E4418D1CA5}" name="explanation" dataDxfId="0"/>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111" dataDxfId="110">
  <autoFilter ref="A1:T200" xr:uid="{9AF4D9C1-FF64-473A-A14E-7E8B7794D33C}"/>
  <tableColumns count="20">
    <tableColumn id="1" xr3:uid="{DF3953CC-F6CA-48A8-B362-3DB144A28B1C}" name="question_id" dataDxfId="109">
      <calculatedColumnFormula>IF(M2="","",M2&amp;"_"&amp;TEXT(N2,"000"))</calculatedColumnFormula>
    </tableColumn>
    <tableColumn id="2" xr3:uid="{B7C3FEC2-CD62-499C-AC65-1F88F7098C32}" name="topic" dataDxfId="108"/>
    <tableColumn id="3" xr3:uid="{FE2F0177-731D-432C-8A5B-9F9373EFFDA5}" name="component" dataDxfId="107"/>
    <tableColumn id="4" xr3:uid="{4240EBF3-C5BF-470A-9949-BE30D5F7F009}" name="subtopic" dataDxfId="106"/>
    <tableColumn id="5" xr3:uid="{7D620D70-554F-4F3D-A441-36BD6B9D4B3F}" name="question_type" dataDxfId="105"/>
    <tableColumn id="6" xr3:uid="{F134E6DC-3407-49BF-BDD9-CC17691B59DA}" name="difficulty" dataDxfId="104"/>
    <tableColumn id="7" xr3:uid="{297F4083-A338-49A2-9858-3CA99B7566DA}" name="priority" dataDxfId="103"/>
    <tableColumn id="8" xr3:uid="{EADB0D92-DBBA-4595-86A9-CC225D6BF45E}" name="active" dataDxfId="102"/>
    <tableColumn id="9" xr3:uid="{5CDF48CA-7DE2-4FC2-AE5B-76546C51FA76}" name="tags" dataDxfId="101"/>
    <tableColumn id="10" xr3:uid="{CBB40C3B-89F6-492E-9EF7-1608F76B6960}" name="source_ref" dataDxfId="100"/>
    <tableColumn id="11" xr3:uid="{8162DE10-7559-4F34-8269-8312D2CD8D8C}" name="version" dataDxfId="99"/>
    <tableColumn id="12" xr3:uid="{AC0FD800-8ECC-40D0-957C-7E8F2A52221F}" name="subtopic_code" dataDxfId="98"/>
    <tableColumn id="13" xr3:uid="{8621D83B-892D-4532-A540-AFA1F548F6CF}" name="id_prefix" dataDxfId="97">
      <calculatedColumnFormula>IF(B2="","","PF"&amp;"_"&amp;IFERROR(VLOOKUP(B2,LOOKUPS!$K$2:$L$9,2,FALSE),"UNK")&amp;"_"&amp;IFERROR(VLOOKUP(C2,LOOKUPS!$N$2:$O$8,2,FALSE),"UNK")&amp;"_"&amp;UPPER(L2))</calculatedColumnFormula>
    </tableColumn>
    <tableColumn id="14" xr3:uid="{C3522ADD-7243-49BF-A9FD-2035E3CF75D7}" name="next_seq" dataDxfId="96">
      <calculatedColumnFormula>IF(M2="","",COUNTIF($M$2:M2,M2))</calculatedColumnFormula>
    </tableColumn>
    <tableColumn id="15" xr3:uid="{9904B470-9EB2-41C4-9CF4-2292C9367D4C}" name="title" dataDxfId="95"/>
    <tableColumn id="16" xr3:uid="{12F4188F-DD37-47E9-8CEC-8967DB411266}" name="instructions" dataDxfId="94"/>
    <tableColumn id="30" xr3:uid="{2EEA9DB6-3F69-4882-BCD6-27607A87326B}" name="slot_labels_json" dataDxfId="93"/>
    <tableColumn id="27" xr3:uid="{668C5D89-6268-47EA-853F-948B6093BF67}" name="correct_line_ids_json" dataDxfId="92"/>
    <tableColumn id="28" xr3:uid="{1BE0DD35-7F1B-4867-A45B-FBF2F9983BC3}" name="lines_json" dataDxfId="91"/>
    <tableColumn id="29" xr3:uid="{963B0537-5B12-4702-8EDA-F4424960ECC9}" name="explanation" dataDxfId="9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9"/>
  <sheetViews>
    <sheetView workbookViewId="0">
      <pane ySplit="1" topLeftCell="A2" activePane="bottomLeft" state="frozen"/>
      <selection pane="bottomLeft" activeCell="C31" sqref="C31"/>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48</v>
      </c>
      <c r="K8" t="s">
        <v>47</v>
      </c>
      <c r="L8" t="s">
        <v>49</v>
      </c>
      <c r="N8" t="s">
        <v>48</v>
      </c>
      <c r="O8" t="s">
        <v>50</v>
      </c>
    </row>
    <row r="9" spans="1:15" x14ac:dyDescent="0.3">
      <c r="A9" t="s">
        <v>51</v>
      </c>
      <c r="K9" t="s">
        <v>51</v>
      </c>
      <c r="L9" t="s">
        <v>51</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200"/>
  <sheetViews>
    <sheetView topLeftCell="L1" workbookViewId="0">
      <pane ySplit="1" topLeftCell="A13" activePane="bottomLeft" state="frozen"/>
      <selection pane="bottomLeft" activeCell="R16" sqref="R16"/>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IF(B2="","","MCQ"&amp;"_"&amp;IFERROR(VLOOKUP(B2,LOOKUPS!$K$2:$L$9,2,FALSE),"UNK")&amp;"_"&amp;IFERROR(VLOOKUP(C2,LOOKUPS!$N$2:$O$8,2,FALSE),"UNK")&amp;"_"&amp;UPPER(L2))</f>
        <v>MCQ_ETH_DEF_</v>
      </c>
      <c r="N2" s="3">
        <f>IF(M2="","",COUNTIF($M$2:M2,M2))</f>
        <v>1</v>
      </c>
      <c r="O2" s="3" t="s">
        <v>102</v>
      </c>
      <c r="P2" s="3" t="s">
        <v>108</v>
      </c>
      <c r="Q2" s="3" t="s">
        <v>110</v>
      </c>
      <c r="R2" s="3" t="s">
        <v>107</v>
      </c>
      <c r="S2" s="3" t="s">
        <v>109</v>
      </c>
      <c r="T2" s="3" t="s">
        <v>111</v>
      </c>
      <c r="U2" s="3" t="s">
        <v>260</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IF(B3="","","MCQ"&amp;"_"&amp;IFERROR(VLOOKUP(B3,LOOKUPS!$K$2:$L$9,2,FALSE),"UNK")&amp;"_"&amp;IFERROR(VLOOKUP(C3,LOOKUPS!$N$2:$O$8,2,FALSE),"UNK")&amp;"_"&amp;UPPER(L3))</f>
        <v>MCQ_ETH_DEF_</v>
      </c>
      <c r="N3" s="3">
        <f>IF(M3="","",COUNTIF($M$2:M3,M3))</f>
        <v>2</v>
      </c>
      <c r="O3" s="3" t="s">
        <v>103</v>
      </c>
      <c r="P3" s="3" t="s">
        <v>107</v>
      </c>
      <c r="Q3" s="3" t="s">
        <v>111</v>
      </c>
      <c r="R3" s="3" t="s">
        <v>109</v>
      </c>
      <c r="S3" s="3" t="s">
        <v>110</v>
      </c>
      <c r="T3" s="3" t="s">
        <v>108</v>
      </c>
      <c r="U3" s="3" t="s">
        <v>261</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IF(B4="","","MCQ"&amp;"_"&amp;IFERROR(VLOOKUP(B4,LOOKUPS!$K$2:$L$9,2,FALSE),"UNK")&amp;"_"&amp;IFERROR(VLOOKUP(C4,LOOKUPS!$N$2:$O$8,2,FALSE),"UNK")&amp;"_"&amp;UPPER(L4))</f>
        <v>MCQ_ETH_DEF_</v>
      </c>
      <c r="N4" s="3">
        <f>IF(M4="","",COUNTIF($M$2:M4,M4))</f>
        <v>3</v>
      </c>
      <c r="O4" s="3" t="s">
        <v>104</v>
      </c>
      <c r="P4" s="3" t="s">
        <v>109</v>
      </c>
      <c r="Q4" s="3" t="s">
        <v>108</v>
      </c>
      <c r="R4" s="3" t="s">
        <v>111</v>
      </c>
      <c r="S4" s="3" t="s">
        <v>107</v>
      </c>
      <c r="T4" s="3" t="s">
        <v>110</v>
      </c>
      <c r="U4" s="3" t="s">
        <v>137</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IF(B5="","","MCQ"&amp;"_"&amp;IFERROR(VLOOKUP(B5,LOOKUPS!$K$2:$L$9,2,FALSE),"UNK")&amp;"_"&amp;IFERROR(VLOOKUP(C5,LOOKUPS!$N$2:$O$8,2,FALSE),"UNK")&amp;"_"&amp;UPPER(L5))</f>
        <v>MCQ_ETH_DEF_</v>
      </c>
      <c r="N5" s="3">
        <f>IF(M5="","",COUNTIF($M$2:M5,M5))</f>
        <v>4</v>
      </c>
      <c r="O5" s="3" t="s">
        <v>105</v>
      </c>
      <c r="P5" s="3" t="s">
        <v>107</v>
      </c>
      <c r="Q5" s="3" t="s">
        <v>110</v>
      </c>
      <c r="R5" s="3" t="s">
        <v>108</v>
      </c>
      <c r="S5" s="3" t="s">
        <v>111</v>
      </c>
      <c r="T5" s="3" t="s">
        <v>109</v>
      </c>
      <c r="U5" s="3" t="s">
        <v>262</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IF(B6="","","MCQ"&amp;"_"&amp;IFERROR(VLOOKUP(B6,LOOKUPS!$K$2:$L$9,2,FALSE),"UNK")&amp;"_"&amp;IFERROR(VLOOKUP(C6,LOOKUPS!$N$2:$O$8,2,FALSE),"UNK")&amp;"_"&amp;UPPER(L6))</f>
        <v>MCQ_ETH_DEF_</v>
      </c>
      <c r="N6" s="3">
        <f>IF(M6="","",COUNTIF($M$2:M6,M6))</f>
        <v>5</v>
      </c>
      <c r="O6" s="3" t="s">
        <v>106</v>
      </c>
      <c r="P6" s="3" t="s">
        <v>108</v>
      </c>
      <c r="Q6" s="3" t="s">
        <v>109</v>
      </c>
      <c r="R6" s="3" t="s">
        <v>110</v>
      </c>
      <c r="S6" s="3" t="s">
        <v>111</v>
      </c>
      <c r="T6" s="3" t="s">
        <v>107</v>
      </c>
      <c r="U6" s="3" t="s">
        <v>263</v>
      </c>
      <c r="V6" s="3" t="s">
        <v>111</v>
      </c>
    </row>
    <row r="7" spans="1:22" ht="72" x14ac:dyDescent="0.3">
      <c r="A7" s="3" t="str">
        <f t="shared" si="0"/>
        <v>MCQ_ITNIC_REQ_EIS_001</v>
      </c>
      <c r="B7" s="3" t="s">
        <v>21</v>
      </c>
      <c r="C7" s="6" t="s">
        <v>22</v>
      </c>
      <c r="D7" s="6" t="s">
        <v>118</v>
      </c>
      <c r="E7" s="3" t="s">
        <v>18</v>
      </c>
      <c r="F7" s="3">
        <v>3</v>
      </c>
      <c r="G7" s="3" t="s">
        <v>16</v>
      </c>
      <c r="H7" s="3" t="s">
        <v>17</v>
      </c>
      <c r="I7" s="3" t="s">
        <v>128</v>
      </c>
      <c r="J7" s="3" t="s">
        <v>129</v>
      </c>
      <c r="K7" s="3">
        <v>1</v>
      </c>
      <c r="L7" s="3" t="s">
        <v>130</v>
      </c>
      <c r="M7" s="3" t="str">
        <f>IF(B7="","","MCQ"&amp;"_"&amp;IFERROR(VLOOKUP(B7,LOOKUPS!$K$2:$L$9,2,FALSE),"UNK")&amp;"_"&amp;IFERROR(VLOOKUP(C7,LOOKUPS!$N$2:$O$8,2,FALSE),"UNK")&amp;"_"&amp;UPPER(L7))</f>
        <v>MCQ_ITNIC_REQ_EIS</v>
      </c>
      <c r="N7" s="3">
        <f>IF(M7="","",COUNTIF($M$2:M7,M7))</f>
        <v>1</v>
      </c>
      <c r="O7" s="3" t="s">
        <v>131</v>
      </c>
      <c r="P7" s="3" t="s">
        <v>132</v>
      </c>
      <c r="Q7" s="3" t="s">
        <v>133</v>
      </c>
      <c r="R7" s="3" t="s">
        <v>134</v>
      </c>
      <c r="S7" s="3" t="s">
        <v>135</v>
      </c>
      <c r="T7" s="3" t="s">
        <v>136</v>
      </c>
      <c r="U7" s="3" t="s">
        <v>137</v>
      </c>
      <c r="V7" s="3" t="s">
        <v>138</v>
      </c>
    </row>
    <row r="8" spans="1:22" ht="72" x14ac:dyDescent="0.3">
      <c r="A8" s="3" t="str">
        <f t="shared" si="0"/>
        <v>MCQ_ITNIC_CALC_EIS_001</v>
      </c>
      <c r="B8" s="3" t="s">
        <v>21</v>
      </c>
      <c r="C8" s="6" t="s">
        <v>40</v>
      </c>
      <c r="D8" s="6" t="s">
        <v>118</v>
      </c>
      <c r="E8" s="3" t="s">
        <v>18</v>
      </c>
      <c r="F8" s="3">
        <v>3</v>
      </c>
      <c r="G8" s="3" t="s">
        <v>16</v>
      </c>
      <c r="H8" s="3" t="s">
        <v>17</v>
      </c>
      <c r="I8" s="3" t="s">
        <v>128</v>
      </c>
      <c r="J8" s="3" t="s">
        <v>129</v>
      </c>
      <c r="K8" s="3">
        <v>1</v>
      </c>
      <c r="L8" s="3" t="s">
        <v>130</v>
      </c>
      <c r="M8" s="3" t="str">
        <f>IF(B8="","","MCQ"&amp;"_"&amp;IFERROR(VLOOKUP(B8,LOOKUPS!$K$2:$L$9,2,FALSE),"UNK")&amp;"_"&amp;IFERROR(VLOOKUP(C8,LOOKUPS!$N$2:$O$8,2,FALSE),"UNK")&amp;"_"&amp;UPPER(L8))</f>
        <v>MCQ_ITNIC_CALC_EIS</v>
      </c>
      <c r="N8" s="3">
        <f>IF(M8="","",COUNTIF($M$2:M8,M8))</f>
        <v>1</v>
      </c>
      <c r="O8" s="3" t="s">
        <v>139</v>
      </c>
      <c r="P8" s="3" t="s">
        <v>271</v>
      </c>
      <c r="Q8" s="3" t="s">
        <v>140</v>
      </c>
      <c r="R8" s="3" t="s">
        <v>141</v>
      </c>
      <c r="S8" s="3" t="s">
        <v>272</v>
      </c>
      <c r="T8" s="3" t="s">
        <v>142</v>
      </c>
      <c r="U8" s="3" t="s">
        <v>263</v>
      </c>
      <c r="V8" s="3" t="s">
        <v>143</v>
      </c>
    </row>
    <row r="9" spans="1:22" ht="100.8" x14ac:dyDescent="0.3">
      <c r="A9" s="3" t="str">
        <f t="shared" si="0"/>
        <v>MCQ_ITNIC_DEF_EIS_001</v>
      </c>
      <c r="B9" s="3" t="s">
        <v>21</v>
      </c>
      <c r="C9" s="6" t="s">
        <v>15</v>
      </c>
      <c r="D9" s="6" t="s">
        <v>118</v>
      </c>
      <c r="E9" s="3" t="s">
        <v>18</v>
      </c>
      <c r="F9" s="3">
        <v>3</v>
      </c>
      <c r="G9" s="3" t="s">
        <v>16</v>
      </c>
      <c r="H9" s="3" t="s">
        <v>17</v>
      </c>
      <c r="I9" s="3" t="s">
        <v>128</v>
      </c>
      <c r="J9" s="3" t="s">
        <v>129</v>
      </c>
      <c r="K9" s="3">
        <v>1</v>
      </c>
      <c r="L9" s="3" t="s">
        <v>130</v>
      </c>
      <c r="M9" s="3" t="str">
        <f>IF(B9="","","MCQ"&amp;"_"&amp;IFERROR(VLOOKUP(B9,LOOKUPS!$K$2:$L$9,2,FALSE),"UNK")&amp;"_"&amp;IFERROR(VLOOKUP(C9,LOOKUPS!$N$2:$O$8,2,FALSE),"UNK")&amp;"_"&amp;UPPER(L9))</f>
        <v>MCQ_ITNIC_DEF_EIS</v>
      </c>
      <c r="N9" s="3">
        <f>IF(M9="","",COUNTIF($M$2:M9,M9))</f>
        <v>1</v>
      </c>
      <c r="O9" s="3" t="s">
        <v>144</v>
      </c>
      <c r="P9" s="3" t="s">
        <v>273</v>
      </c>
      <c r="Q9" s="3" t="s">
        <v>145</v>
      </c>
      <c r="R9" s="3" t="s">
        <v>146</v>
      </c>
      <c r="S9" s="3" t="s">
        <v>147</v>
      </c>
      <c r="T9" s="3" t="s">
        <v>274</v>
      </c>
      <c r="U9" s="3" t="s">
        <v>261</v>
      </c>
      <c r="V9" s="3" t="s">
        <v>148</v>
      </c>
    </row>
    <row r="10" spans="1:22" ht="100.8" x14ac:dyDescent="0.3">
      <c r="A10" s="3" t="str">
        <f t="shared" si="0"/>
        <v>MCQ_ITNIC_DEF_PSC_001</v>
      </c>
      <c r="B10" s="3" t="s">
        <v>21</v>
      </c>
      <c r="C10" s="3" t="s">
        <v>15</v>
      </c>
      <c r="D10" s="3" t="s">
        <v>170</v>
      </c>
      <c r="E10" s="3" t="s">
        <v>18</v>
      </c>
      <c r="F10" s="3">
        <v>3</v>
      </c>
      <c r="G10" s="3" t="s">
        <v>16</v>
      </c>
      <c r="H10" s="3" t="s">
        <v>17</v>
      </c>
      <c r="I10" s="3" t="s">
        <v>171</v>
      </c>
      <c r="J10" s="3" t="s">
        <v>129</v>
      </c>
      <c r="K10" s="3">
        <v>1</v>
      </c>
      <c r="L10" s="3" t="s">
        <v>172</v>
      </c>
      <c r="M10" s="3" t="str">
        <f>IF(B10="","","MCQ"&amp;"_"&amp;IFERROR(VLOOKUP(B10,LOOKUPS!$K$2:$L$9,2,FALSE),"UNK")&amp;"_"&amp;IFERROR(VLOOKUP(C10,LOOKUPS!$N$2:$O$8,2,FALSE),"UNK")&amp;"_"&amp;UPPER(L10))</f>
        <v>MCQ_ITNIC_DEF_PSC</v>
      </c>
      <c r="N10" s="3">
        <f>IF(M10="","",COUNTIF($M$2:M10,M10))</f>
        <v>1</v>
      </c>
      <c r="O10" s="3" t="s">
        <v>173</v>
      </c>
      <c r="P10" s="3" t="s">
        <v>174</v>
      </c>
      <c r="Q10" s="3" t="s">
        <v>175</v>
      </c>
      <c r="R10" s="3" t="s">
        <v>176</v>
      </c>
      <c r="S10" s="3" t="s">
        <v>177</v>
      </c>
      <c r="T10" s="3" t="s">
        <v>178</v>
      </c>
      <c r="U10" s="3" t="s">
        <v>260</v>
      </c>
      <c r="V10" s="3" t="s">
        <v>179</v>
      </c>
    </row>
    <row r="11" spans="1:22" ht="100.8" x14ac:dyDescent="0.3">
      <c r="A11" s="3" t="str">
        <f t="shared" si="0"/>
        <v>MCQ_ITNIC_REQ_PSC_001</v>
      </c>
      <c r="B11" s="3" t="s">
        <v>21</v>
      </c>
      <c r="C11" s="3" t="s">
        <v>22</v>
      </c>
      <c r="D11" s="3" t="s">
        <v>170</v>
      </c>
      <c r="E11" s="3" t="s">
        <v>18</v>
      </c>
      <c r="F11" s="3">
        <v>3</v>
      </c>
      <c r="G11" s="3" t="s">
        <v>16</v>
      </c>
      <c r="H11" s="3" t="s">
        <v>17</v>
      </c>
      <c r="I11" s="3" t="s">
        <v>180</v>
      </c>
      <c r="J11" s="3" t="s">
        <v>129</v>
      </c>
      <c r="K11" s="3">
        <v>1</v>
      </c>
      <c r="L11" s="3" t="s">
        <v>172</v>
      </c>
      <c r="M11" s="3" t="str">
        <f>IF(B11="","","MCQ"&amp;"_"&amp;IFERROR(VLOOKUP(B11,LOOKUPS!$K$2:$L$9,2,FALSE),"UNK")&amp;"_"&amp;IFERROR(VLOOKUP(C11,LOOKUPS!$N$2:$O$8,2,FALSE),"UNK")&amp;"_"&amp;UPPER(L11))</f>
        <v>MCQ_ITNIC_REQ_PSC</v>
      </c>
      <c r="N11" s="3">
        <f>IF(M11="","",COUNTIF($M$2:M11,M11))</f>
        <v>1</v>
      </c>
      <c r="O11" s="3" t="s">
        <v>181</v>
      </c>
      <c r="P11" s="3" t="s">
        <v>275</v>
      </c>
      <c r="Q11" s="3" t="s">
        <v>276</v>
      </c>
      <c r="R11" s="3" t="s">
        <v>182</v>
      </c>
      <c r="S11" s="3" t="s">
        <v>183</v>
      </c>
      <c r="T11" s="3" t="s">
        <v>184</v>
      </c>
      <c r="U11" s="3" t="s">
        <v>262</v>
      </c>
      <c r="V11" s="3" t="s">
        <v>185</v>
      </c>
    </row>
    <row r="12" spans="1:22" ht="86.4" x14ac:dyDescent="0.3">
      <c r="A12" s="3" t="str">
        <f t="shared" si="0"/>
        <v>MCQ_ITNIC_REQ_PSC_002</v>
      </c>
      <c r="B12" s="3" t="s">
        <v>21</v>
      </c>
      <c r="C12" s="3" t="s">
        <v>22</v>
      </c>
      <c r="D12" s="3" t="s">
        <v>170</v>
      </c>
      <c r="E12" s="3" t="s">
        <v>18</v>
      </c>
      <c r="F12" s="3">
        <v>3</v>
      </c>
      <c r="G12" s="3" t="s">
        <v>16</v>
      </c>
      <c r="H12" s="3" t="s">
        <v>17</v>
      </c>
      <c r="I12" s="3" t="s">
        <v>186</v>
      </c>
      <c r="J12" s="3" t="s">
        <v>129</v>
      </c>
      <c r="K12" s="3">
        <v>1</v>
      </c>
      <c r="L12" s="3" t="s">
        <v>172</v>
      </c>
      <c r="M12" s="3" t="str">
        <f>IF(B12="","","MCQ"&amp;"_"&amp;IFERROR(VLOOKUP(B12,LOOKUPS!$K$2:$L$9,2,FALSE),"UNK")&amp;"_"&amp;IFERROR(VLOOKUP(C12,LOOKUPS!$N$2:$O$8,2,FALSE),"UNK")&amp;"_"&amp;UPPER(L12))</f>
        <v>MCQ_ITNIC_REQ_PSC</v>
      </c>
      <c r="N12" s="3">
        <f>IF(M12="","",COUNTIF($M$2:M12,M12))</f>
        <v>2</v>
      </c>
      <c r="O12" s="3" t="s">
        <v>187</v>
      </c>
      <c r="P12" s="3" t="s">
        <v>277</v>
      </c>
      <c r="Q12" s="3" t="s">
        <v>188</v>
      </c>
      <c r="R12" s="3" t="s">
        <v>189</v>
      </c>
      <c r="S12" s="3" t="s">
        <v>278</v>
      </c>
      <c r="T12" s="3" t="s">
        <v>190</v>
      </c>
      <c r="U12" s="3" t="s">
        <v>263</v>
      </c>
      <c r="V12" s="3" t="s">
        <v>191</v>
      </c>
    </row>
    <row r="13" spans="1:22" ht="100.8" x14ac:dyDescent="0.3">
      <c r="A13" s="3" t="str">
        <f t="shared" si="0"/>
        <v>MCQ_ITNIC_DEF_SHS_001</v>
      </c>
      <c r="B13" s="3" t="s">
        <v>21</v>
      </c>
      <c r="C13" s="3" t="s">
        <v>15</v>
      </c>
      <c r="D13" s="3" t="s">
        <v>221</v>
      </c>
      <c r="E13" s="3" t="s">
        <v>18</v>
      </c>
      <c r="F13" s="3">
        <v>3</v>
      </c>
      <c r="G13" s="3" t="s">
        <v>16</v>
      </c>
      <c r="H13" s="3" t="s">
        <v>17</v>
      </c>
      <c r="I13" s="3" t="s">
        <v>222</v>
      </c>
      <c r="J13" s="3" t="s">
        <v>129</v>
      </c>
      <c r="K13" s="3">
        <v>1</v>
      </c>
      <c r="L13" s="3" t="s">
        <v>223</v>
      </c>
      <c r="M13" s="3" t="str">
        <f>IF(B13="","","MCQ"&amp;"_"&amp;IFERROR(VLOOKUP(B13,LOOKUPS!$K$2:$L$9,2,FALSE),"UNK")&amp;"_"&amp;IFERROR(VLOOKUP(C13,LOOKUPS!$N$2:$O$8,2,FALSE),"UNK")&amp;"_"&amp;UPPER(L13))</f>
        <v>MCQ_ITNIC_DEF_SHS</v>
      </c>
      <c r="N13" s="3">
        <f>IF(M13="","",COUNTIF($M$2:M13,M13))</f>
        <v>1</v>
      </c>
      <c r="O13" s="3" t="s">
        <v>224</v>
      </c>
      <c r="P13" s="3" t="s">
        <v>225</v>
      </c>
      <c r="Q13" s="3" t="s">
        <v>226</v>
      </c>
      <c r="R13" s="3" t="s">
        <v>227</v>
      </c>
      <c r="S13" s="3" t="s">
        <v>228</v>
      </c>
      <c r="T13" s="3" t="s">
        <v>229</v>
      </c>
      <c r="U13" s="3" t="s">
        <v>137</v>
      </c>
      <c r="V13" s="3" t="s">
        <v>230</v>
      </c>
    </row>
    <row r="14" spans="1:22" ht="115.2" x14ac:dyDescent="0.3">
      <c r="A14" s="3" t="str">
        <f t="shared" si="0"/>
        <v>MCQ_ITNIC_DEF_SHS_002</v>
      </c>
      <c r="B14" s="3" t="s">
        <v>21</v>
      </c>
      <c r="C14" s="3" t="s">
        <v>15</v>
      </c>
      <c r="D14" s="3" t="s">
        <v>221</v>
      </c>
      <c r="E14" s="3" t="s">
        <v>18</v>
      </c>
      <c r="F14" s="3">
        <v>3</v>
      </c>
      <c r="G14" s="3" t="s">
        <v>16</v>
      </c>
      <c r="H14" s="3" t="s">
        <v>17</v>
      </c>
      <c r="I14" s="3" t="s">
        <v>231</v>
      </c>
      <c r="J14" s="3" t="s">
        <v>129</v>
      </c>
      <c r="K14" s="3">
        <v>1</v>
      </c>
      <c r="L14" s="3" t="s">
        <v>223</v>
      </c>
      <c r="M14" s="3" t="str">
        <f>IF(B14="","","MCQ"&amp;"_"&amp;IFERROR(VLOOKUP(B14,LOOKUPS!$K$2:$L$9,2,FALSE),"UNK")&amp;"_"&amp;IFERROR(VLOOKUP(C14,LOOKUPS!$N$2:$O$8,2,FALSE),"UNK")&amp;"_"&amp;UPPER(L14))</f>
        <v>MCQ_ITNIC_DEF_SHS</v>
      </c>
      <c r="N14" s="3">
        <f>IF(M14="","",COUNTIF($M$2:M14,M14))</f>
        <v>2</v>
      </c>
      <c r="O14" s="3" t="s">
        <v>232</v>
      </c>
      <c r="P14" s="3" t="s">
        <v>279</v>
      </c>
      <c r="Q14" s="3" t="s">
        <v>233</v>
      </c>
      <c r="R14" s="3" t="s">
        <v>234</v>
      </c>
      <c r="S14" s="3" t="s">
        <v>235</v>
      </c>
      <c r="T14" s="3" t="s">
        <v>280</v>
      </c>
      <c r="U14" s="3" t="s">
        <v>261</v>
      </c>
      <c r="V14" s="3" t="s">
        <v>236</v>
      </c>
    </row>
    <row r="15" spans="1:22" ht="100.8" x14ac:dyDescent="0.3">
      <c r="A15" s="3" t="str">
        <f t="shared" si="0"/>
        <v>MCQ_ITNIC_DEF_SHS_003</v>
      </c>
      <c r="B15" s="3" t="s">
        <v>21</v>
      </c>
      <c r="C15" s="3" t="s">
        <v>15</v>
      </c>
      <c r="D15" s="3" t="s">
        <v>221</v>
      </c>
      <c r="E15" s="3" t="s">
        <v>18</v>
      </c>
      <c r="F15" s="3">
        <v>3</v>
      </c>
      <c r="G15" s="3" t="s">
        <v>16</v>
      </c>
      <c r="H15" s="3" t="s">
        <v>17</v>
      </c>
      <c r="I15" s="3" t="s">
        <v>237</v>
      </c>
      <c r="J15" s="3" t="s">
        <v>129</v>
      </c>
      <c r="K15" s="3">
        <v>1</v>
      </c>
      <c r="L15" s="3" t="s">
        <v>223</v>
      </c>
      <c r="M15" s="3" t="str">
        <f>IF(B15="","","MCQ"&amp;"_"&amp;IFERROR(VLOOKUP(B15,LOOKUPS!$K$2:$L$9,2,FALSE),"UNK")&amp;"_"&amp;IFERROR(VLOOKUP(C15,LOOKUPS!$N$2:$O$8,2,FALSE),"UNK")&amp;"_"&amp;UPPER(L15))</f>
        <v>MCQ_ITNIC_DEF_SHS</v>
      </c>
      <c r="N15" s="3">
        <f>IF(M15="","",COUNTIF($M$2:M15,M15))</f>
        <v>3</v>
      </c>
      <c r="O15" s="3" t="s">
        <v>238</v>
      </c>
      <c r="P15" s="3" t="s">
        <v>281</v>
      </c>
      <c r="Q15" s="3" t="s">
        <v>239</v>
      </c>
      <c r="R15" s="3" t="s">
        <v>390</v>
      </c>
      <c r="S15" s="3" t="s">
        <v>240</v>
      </c>
      <c r="T15" s="3" t="s">
        <v>241</v>
      </c>
      <c r="U15" s="3" t="s">
        <v>260</v>
      </c>
      <c r="V15" s="3" t="s">
        <v>242</v>
      </c>
    </row>
    <row r="16" spans="1:22" ht="57.6" x14ac:dyDescent="0.3">
      <c r="A16" s="3" t="str">
        <f t="shared" si="0"/>
        <v>MCQ_ITNIC_REQ_EMI_001</v>
      </c>
      <c r="B16" s="6" t="s">
        <v>21</v>
      </c>
      <c r="C16" s="6" t="s">
        <v>22</v>
      </c>
      <c r="D16" s="6" t="s">
        <v>292</v>
      </c>
      <c r="E16" s="6" t="s">
        <v>18</v>
      </c>
      <c r="F16" s="6">
        <v>3</v>
      </c>
      <c r="G16" s="6" t="s">
        <v>16</v>
      </c>
      <c r="H16" s="6" t="s">
        <v>17</v>
      </c>
      <c r="I16" s="6" t="s">
        <v>293</v>
      </c>
      <c r="J16" s="6" t="s">
        <v>129</v>
      </c>
      <c r="K16" s="6">
        <v>1</v>
      </c>
      <c r="L16" s="6" t="s">
        <v>294</v>
      </c>
      <c r="M16" s="3" t="str">
        <f>IF(B16="","","MCQ"&amp;"_"&amp;IFERROR(VLOOKUP(B16,LOOKUPS!$K$2:$L$9,2,FALSE),"UNK")&amp;"_"&amp;IFERROR(VLOOKUP(C16,LOOKUPS!$N$2:$O$8,2,FALSE),"UNK")&amp;"_"&amp;UPPER(L16))</f>
        <v>MCQ_ITNIC_REQ_EMI</v>
      </c>
      <c r="N16" s="3">
        <f>IF(M16="","",COUNTIF($M$2:M16,M16))</f>
        <v>1</v>
      </c>
      <c r="O16" s="6" t="s">
        <v>295</v>
      </c>
      <c r="P16" s="6" t="s">
        <v>296</v>
      </c>
      <c r="Q16" s="3" t="s">
        <v>297</v>
      </c>
      <c r="R16" s="3" t="s">
        <v>298</v>
      </c>
      <c r="S16" s="3" t="s">
        <v>299</v>
      </c>
      <c r="T16" s="3" t="s">
        <v>300</v>
      </c>
      <c r="U16" s="3" t="s">
        <v>137</v>
      </c>
      <c r="V16" s="3" t="s">
        <v>301</v>
      </c>
    </row>
    <row r="17" spans="1:22" ht="72" x14ac:dyDescent="0.3">
      <c r="A17" s="3" t="str">
        <f t="shared" si="0"/>
        <v>MCQ_ITNIC_REQ_EMI_002</v>
      </c>
      <c r="B17" s="6" t="s">
        <v>21</v>
      </c>
      <c r="C17" s="6" t="s">
        <v>22</v>
      </c>
      <c r="D17" s="6" t="s">
        <v>292</v>
      </c>
      <c r="E17" s="6" t="s">
        <v>18</v>
      </c>
      <c r="F17" s="6">
        <v>3</v>
      </c>
      <c r="G17" s="6" t="s">
        <v>16</v>
      </c>
      <c r="H17" s="6" t="s">
        <v>17</v>
      </c>
      <c r="I17" s="6" t="s">
        <v>293</v>
      </c>
      <c r="J17" s="6" t="s">
        <v>129</v>
      </c>
      <c r="K17" s="6">
        <v>1</v>
      </c>
      <c r="L17" s="6" t="s">
        <v>294</v>
      </c>
      <c r="M17" s="3" t="str">
        <f>IF(B17="","","MCQ"&amp;"_"&amp;IFERROR(VLOOKUP(B17,LOOKUPS!$K$2:$L$9,2,FALSE),"UNK")&amp;"_"&amp;IFERROR(VLOOKUP(C17,LOOKUPS!$N$2:$O$8,2,FALSE),"UNK")&amp;"_"&amp;UPPER(L17))</f>
        <v>MCQ_ITNIC_REQ_EMI</v>
      </c>
      <c r="N17" s="3">
        <f>IF(M17="","",COUNTIF($M$2:M17,M17))</f>
        <v>2</v>
      </c>
      <c r="O17" s="6" t="s">
        <v>302</v>
      </c>
      <c r="P17" s="6" t="s">
        <v>303</v>
      </c>
      <c r="Q17" s="3" t="s">
        <v>304</v>
      </c>
      <c r="R17" s="3" t="s">
        <v>305</v>
      </c>
      <c r="S17" s="3" t="s">
        <v>306</v>
      </c>
      <c r="T17" s="3" t="s">
        <v>307</v>
      </c>
      <c r="U17" s="3" t="s">
        <v>262</v>
      </c>
      <c r="V17" s="3" t="s">
        <v>308</v>
      </c>
    </row>
    <row r="18" spans="1:22" ht="57.6" x14ac:dyDescent="0.3">
      <c r="A18" s="3" t="str">
        <f t="shared" si="0"/>
        <v>MCQ_ITNIC_REQ_EMI_003</v>
      </c>
      <c r="B18" s="6" t="s">
        <v>21</v>
      </c>
      <c r="C18" s="6" t="s">
        <v>22</v>
      </c>
      <c r="D18" s="6" t="s">
        <v>292</v>
      </c>
      <c r="E18" s="6" t="s">
        <v>18</v>
      </c>
      <c r="F18" s="6">
        <v>3</v>
      </c>
      <c r="G18" s="6" t="s">
        <v>16</v>
      </c>
      <c r="H18" s="6" t="s">
        <v>17</v>
      </c>
      <c r="I18" s="6" t="s">
        <v>293</v>
      </c>
      <c r="J18" s="6" t="s">
        <v>129</v>
      </c>
      <c r="K18" s="6">
        <v>1</v>
      </c>
      <c r="L18" s="6" t="s">
        <v>294</v>
      </c>
      <c r="M18" s="3" t="str">
        <f>IF(B18="","","MCQ"&amp;"_"&amp;IFERROR(VLOOKUP(B18,LOOKUPS!$K$2:$L$9,2,FALSE),"UNK")&amp;"_"&amp;IFERROR(VLOOKUP(C18,LOOKUPS!$N$2:$O$8,2,FALSE),"UNK")&amp;"_"&amp;UPPER(L18))</f>
        <v>MCQ_ITNIC_REQ_EMI</v>
      </c>
      <c r="N18" s="3">
        <f>IF(M18="","",COUNTIF($M$2:M18,M18))</f>
        <v>3</v>
      </c>
      <c r="O18" s="6" t="s">
        <v>309</v>
      </c>
      <c r="P18" s="6" t="s">
        <v>310</v>
      </c>
      <c r="Q18" s="3" t="s">
        <v>311</v>
      </c>
      <c r="R18" s="3" t="s">
        <v>312</v>
      </c>
      <c r="S18" s="3" t="s">
        <v>313</v>
      </c>
      <c r="T18" s="3" t="s">
        <v>314</v>
      </c>
      <c r="U18" s="3" t="s">
        <v>260</v>
      </c>
      <c r="V18" s="3" t="s">
        <v>315</v>
      </c>
    </row>
    <row r="19" spans="1:22" ht="57.6" x14ac:dyDescent="0.3">
      <c r="A19" s="3" t="str">
        <f t="shared" si="0"/>
        <v>MCQ_ITNIC_REQ_EMI_004</v>
      </c>
      <c r="B19" s="6" t="s">
        <v>21</v>
      </c>
      <c r="C19" s="6" t="s">
        <v>22</v>
      </c>
      <c r="D19" s="6" t="s">
        <v>292</v>
      </c>
      <c r="E19" s="6" t="s">
        <v>18</v>
      </c>
      <c r="F19" s="6">
        <v>3</v>
      </c>
      <c r="G19" s="6" t="s">
        <v>16</v>
      </c>
      <c r="H19" s="6" t="s">
        <v>17</v>
      </c>
      <c r="I19" s="6" t="s">
        <v>293</v>
      </c>
      <c r="J19" s="6" t="s">
        <v>129</v>
      </c>
      <c r="K19" s="6">
        <v>1</v>
      </c>
      <c r="L19" s="6" t="s">
        <v>294</v>
      </c>
      <c r="M19" s="3" t="str">
        <f>IF(B19="","","MCQ"&amp;"_"&amp;IFERROR(VLOOKUP(B19,LOOKUPS!$K$2:$L$9,2,FALSE),"UNK")&amp;"_"&amp;IFERROR(VLOOKUP(C19,LOOKUPS!$N$2:$O$8,2,FALSE),"UNK")&amp;"_"&amp;UPPER(L19))</f>
        <v>MCQ_ITNIC_REQ_EMI</v>
      </c>
      <c r="N19" s="3">
        <f>IF(M19="","",COUNTIF($M$2:M19,M19))</f>
        <v>4</v>
      </c>
      <c r="O19" s="6" t="s">
        <v>316</v>
      </c>
      <c r="P19" s="6" t="s">
        <v>317</v>
      </c>
      <c r="Q19" s="3" t="s">
        <v>318</v>
      </c>
      <c r="R19" s="3" t="s">
        <v>319</v>
      </c>
      <c r="S19" s="3" t="s">
        <v>320</v>
      </c>
      <c r="T19" s="3" t="s">
        <v>321</v>
      </c>
      <c r="U19" s="3" t="s">
        <v>263</v>
      </c>
      <c r="V19" s="3" t="s">
        <v>322</v>
      </c>
    </row>
    <row r="20" spans="1:22" ht="57.6" x14ac:dyDescent="0.3">
      <c r="A20" s="3" t="str">
        <f t="shared" si="0"/>
        <v>MCQ_ITNIC_REQ_EMI_005</v>
      </c>
      <c r="B20" s="6" t="s">
        <v>21</v>
      </c>
      <c r="C20" s="6" t="s">
        <v>22</v>
      </c>
      <c r="D20" s="6" t="s">
        <v>292</v>
      </c>
      <c r="E20" s="6" t="s">
        <v>18</v>
      </c>
      <c r="F20" s="6">
        <v>3</v>
      </c>
      <c r="G20" s="6" t="s">
        <v>16</v>
      </c>
      <c r="H20" s="6" t="s">
        <v>17</v>
      </c>
      <c r="I20" s="6" t="s">
        <v>293</v>
      </c>
      <c r="J20" s="6" t="s">
        <v>129</v>
      </c>
      <c r="K20" s="6">
        <v>1</v>
      </c>
      <c r="L20" s="6" t="s">
        <v>294</v>
      </c>
      <c r="M20" s="3" t="str">
        <f>IF(B20="","","MCQ"&amp;"_"&amp;IFERROR(VLOOKUP(B20,LOOKUPS!$K$2:$L$9,2,FALSE),"UNK")&amp;"_"&amp;IFERROR(VLOOKUP(C20,LOOKUPS!$N$2:$O$8,2,FALSE),"UNK")&amp;"_"&amp;UPPER(L20))</f>
        <v>MCQ_ITNIC_REQ_EMI</v>
      </c>
      <c r="N20" s="3">
        <f>IF(M20="","",COUNTIF($M$2:M20,M20))</f>
        <v>5</v>
      </c>
      <c r="O20" s="6" t="s">
        <v>323</v>
      </c>
      <c r="P20" s="6" t="s">
        <v>324</v>
      </c>
      <c r="Q20" s="3" t="s">
        <v>325</v>
      </c>
      <c r="R20" s="3" t="s">
        <v>326</v>
      </c>
      <c r="S20" s="3" t="s">
        <v>327</v>
      </c>
      <c r="T20" s="3" t="s">
        <v>328</v>
      </c>
      <c r="U20" s="3" t="s">
        <v>261</v>
      </c>
      <c r="V20" s="3" t="s">
        <v>329</v>
      </c>
    </row>
    <row r="21" spans="1:22" ht="72" x14ac:dyDescent="0.3">
      <c r="A21" s="3" t="str">
        <f t="shared" si="0"/>
        <v>MCQ_ITNIC_REQ_EMI_006</v>
      </c>
      <c r="B21" s="6" t="s">
        <v>21</v>
      </c>
      <c r="C21" s="6" t="s">
        <v>22</v>
      </c>
      <c r="D21" s="6" t="s">
        <v>330</v>
      </c>
      <c r="E21" s="6" t="s">
        <v>18</v>
      </c>
      <c r="F21" s="6">
        <v>3</v>
      </c>
      <c r="G21" s="6" t="s">
        <v>16</v>
      </c>
      <c r="H21" s="6" t="s">
        <v>17</v>
      </c>
      <c r="I21" s="6" t="s">
        <v>331</v>
      </c>
      <c r="J21" s="6" t="s">
        <v>129</v>
      </c>
      <c r="K21" s="6">
        <v>1</v>
      </c>
      <c r="L21" s="6" t="s">
        <v>294</v>
      </c>
      <c r="M21" s="3" t="str">
        <f>IF(B21="","","MCQ"&amp;"_"&amp;IFERROR(VLOOKUP(B21,LOOKUPS!$K$2:$L$9,2,FALSE),"UNK")&amp;"_"&amp;IFERROR(VLOOKUP(C21,LOOKUPS!$N$2:$O$8,2,FALSE),"UNK")&amp;"_"&amp;UPPER(L21))</f>
        <v>MCQ_ITNIC_REQ_EMI</v>
      </c>
      <c r="N21" s="3">
        <f>IF(M21="","",COUNTIF($M$2:M21,M21))</f>
        <v>6</v>
      </c>
      <c r="O21" s="6" t="s">
        <v>332</v>
      </c>
      <c r="P21" s="6" t="s">
        <v>333</v>
      </c>
      <c r="Q21" s="3" t="s">
        <v>334</v>
      </c>
      <c r="R21" s="3" t="s">
        <v>335</v>
      </c>
      <c r="S21" s="3" t="s">
        <v>336</v>
      </c>
      <c r="T21" s="3" t="s">
        <v>337</v>
      </c>
      <c r="U21" s="3" t="s">
        <v>261</v>
      </c>
      <c r="V21" s="3" t="s">
        <v>338</v>
      </c>
    </row>
    <row r="22" spans="1:22" ht="57.6" x14ac:dyDescent="0.3">
      <c r="A22" s="3" t="str">
        <f t="shared" si="0"/>
        <v>MCQ_ITNIC_REQ_EMI_007</v>
      </c>
      <c r="B22" s="6" t="s">
        <v>21</v>
      </c>
      <c r="C22" s="6" t="s">
        <v>22</v>
      </c>
      <c r="D22" s="6" t="s">
        <v>330</v>
      </c>
      <c r="E22" s="6" t="s">
        <v>18</v>
      </c>
      <c r="F22" s="6">
        <v>3</v>
      </c>
      <c r="G22" s="6" t="s">
        <v>16</v>
      </c>
      <c r="H22" s="6" t="s">
        <v>17</v>
      </c>
      <c r="I22" s="6" t="s">
        <v>331</v>
      </c>
      <c r="J22" s="6" t="s">
        <v>129</v>
      </c>
      <c r="K22" s="6">
        <v>1</v>
      </c>
      <c r="L22" s="6" t="s">
        <v>294</v>
      </c>
      <c r="M22" s="3" t="str">
        <f>IF(B22="","","MCQ"&amp;"_"&amp;IFERROR(VLOOKUP(B22,LOOKUPS!$K$2:$L$9,2,FALSE),"UNK")&amp;"_"&amp;IFERROR(VLOOKUP(C22,LOOKUPS!$N$2:$O$8,2,FALSE),"UNK")&amp;"_"&amp;UPPER(L22))</f>
        <v>MCQ_ITNIC_REQ_EMI</v>
      </c>
      <c r="N22" s="3">
        <f>IF(M22="","",COUNTIF($M$2:M22,M22))</f>
        <v>7</v>
      </c>
      <c r="O22" s="6" t="s">
        <v>339</v>
      </c>
      <c r="P22" s="6" t="s">
        <v>340</v>
      </c>
      <c r="Q22" s="3" t="s">
        <v>341</v>
      </c>
      <c r="R22" s="3" t="s">
        <v>342</v>
      </c>
      <c r="S22" s="3" t="s">
        <v>343</v>
      </c>
      <c r="T22" s="3" t="s">
        <v>344</v>
      </c>
      <c r="U22" s="3" t="s">
        <v>263</v>
      </c>
      <c r="V22" s="3" t="s">
        <v>345</v>
      </c>
    </row>
    <row r="23" spans="1:22" ht="86.4" x14ac:dyDescent="0.3">
      <c r="A23" s="3" t="str">
        <f t="shared" si="0"/>
        <v>MCQ_ITNIC_REQ_EMI_008</v>
      </c>
      <c r="B23" s="6" t="s">
        <v>21</v>
      </c>
      <c r="C23" s="6" t="s">
        <v>22</v>
      </c>
      <c r="D23" s="6" t="s">
        <v>346</v>
      </c>
      <c r="E23" s="6" t="s">
        <v>18</v>
      </c>
      <c r="F23" s="6">
        <v>3</v>
      </c>
      <c r="G23" s="6" t="s">
        <v>16</v>
      </c>
      <c r="H23" s="6" t="s">
        <v>17</v>
      </c>
      <c r="I23" s="6" t="s">
        <v>347</v>
      </c>
      <c r="J23" s="6" t="s">
        <v>129</v>
      </c>
      <c r="K23" s="6">
        <v>1</v>
      </c>
      <c r="L23" s="6" t="s">
        <v>294</v>
      </c>
      <c r="M23" s="3" t="str">
        <f>IF(B23="","","MCQ"&amp;"_"&amp;IFERROR(VLOOKUP(B23,LOOKUPS!$K$2:$L$9,2,FALSE),"UNK")&amp;"_"&amp;IFERROR(VLOOKUP(C23,LOOKUPS!$N$2:$O$8,2,FALSE),"UNK")&amp;"_"&amp;UPPER(L23))</f>
        <v>MCQ_ITNIC_REQ_EMI</v>
      </c>
      <c r="N23" s="3">
        <f>IF(M23="","",COUNTIF($M$2:M23,M23))</f>
        <v>8</v>
      </c>
      <c r="O23" s="6" t="s">
        <v>348</v>
      </c>
      <c r="P23" s="6" t="s">
        <v>349</v>
      </c>
      <c r="Q23" s="3" t="s">
        <v>350</v>
      </c>
      <c r="R23" s="3" t="s">
        <v>351</v>
      </c>
      <c r="S23" s="3" t="s">
        <v>352</v>
      </c>
      <c r="T23" s="3" t="s">
        <v>353</v>
      </c>
      <c r="U23" s="3" t="s">
        <v>260</v>
      </c>
      <c r="V23" s="3" t="s">
        <v>354</v>
      </c>
    </row>
    <row r="24" spans="1:22" ht="57.6" x14ac:dyDescent="0.3">
      <c r="A24" s="3" t="str">
        <f t="shared" si="0"/>
        <v>MCQ_ITNIC_REQ_EMI_009</v>
      </c>
      <c r="B24" s="6" t="s">
        <v>21</v>
      </c>
      <c r="C24" s="6" t="s">
        <v>22</v>
      </c>
      <c r="D24" s="6" t="s">
        <v>355</v>
      </c>
      <c r="E24" s="6" t="s">
        <v>18</v>
      </c>
      <c r="F24" s="6">
        <v>3</v>
      </c>
      <c r="G24" s="6" t="s">
        <v>16</v>
      </c>
      <c r="H24" s="6" t="s">
        <v>17</v>
      </c>
      <c r="I24" s="6" t="s">
        <v>356</v>
      </c>
      <c r="J24" s="6" t="s">
        <v>129</v>
      </c>
      <c r="K24" s="6">
        <v>1</v>
      </c>
      <c r="L24" s="6" t="s">
        <v>294</v>
      </c>
      <c r="M24" s="3" t="str">
        <f>IF(B24="","","MCQ"&amp;"_"&amp;IFERROR(VLOOKUP(B24,LOOKUPS!$K$2:$L$9,2,FALSE),"UNK")&amp;"_"&amp;IFERROR(VLOOKUP(C24,LOOKUPS!$N$2:$O$8,2,FALSE),"UNK")&amp;"_"&amp;UPPER(L24))</f>
        <v>MCQ_ITNIC_REQ_EMI</v>
      </c>
      <c r="N24" s="3">
        <f>IF(M24="","",COUNTIF($M$2:M24,M24))</f>
        <v>9</v>
      </c>
      <c r="O24" s="6" t="s">
        <v>357</v>
      </c>
      <c r="P24" s="6" t="s">
        <v>358</v>
      </c>
      <c r="Q24" s="3" t="s">
        <v>359</v>
      </c>
      <c r="R24" s="3" t="s">
        <v>360</v>
      </c>
      <c r="S24" s="3" t="s">
        <v>361</v>
      </c>
      <c r="T24" s="3" t="s">
        <v>362</v>
      </c>
      <c r="U24" s="3" t="s">
        <v>262</v>
      </c>
      <c r="V24" s="3" t="s">
        <v>363</v>
      </c>
    </row>
    <row r="25" spans="1:22" ht="43.2" x14ac:dyDescent="0.3">
      <c r="A25" s="3" t="str">
        <f t="shared" si="0"/>
        <v>MCQ_ITNIC_REQ_EMI_010</v>
      </c>
      <c r="B25" s="6" t="s">
        <v>21</v>
      </c>
      <c r="C25" s="6" t="s">
        <v>22</v>
      </c>
      <c r="D25" s="6" t="s">
        <v>355</v>
      </c>
      <c r="E25" s="6" t="s">
        <v>18</v>
      </c>
      <c r="F25" s="6">
        <v>3</v>
      </c>
      <c r="G25" s="6" t="s">
        <v>16</v>
      </c>
      <c r="H25" s="6" t="s">
        <v>17</v>
      </c>
      <c r="I25" s="6" t="s">
        <v>356</v>
      </c>
      <c r="J25" s="6" t="s">
        <v>129</v>
      </c>
      <c r="K25" s="6">
        <v>1</v>
      </c>
      <c r="L25" s="6" t="s">
        <v>294</v>
      </c>
      <c r="M25" s="3" t="str">
        <f>IF(B25="","","MCQ"&amp;"_"&amp;IFERROR(VLOOKUP(B25,LOOKUPS!$K$2:$L$9,2,FALSE),"UNK")&amp;"_"&amp;IFERROR(VLOOKUP(C25,LOOKUPS!$N$2:$O$8,2,FALSE),"UNK")&amp;"_"&amp;UPPER(L25))</f>
        <v>MCQ_ITNIC_REQ_EMI</v>
      </c>
      <c r="N25" s="3">
        <f>IF(M25="","",COUNTIF($M$2:M25,M25))</f>
        <v>10</v>
      </c>
      <c r="O25" s="6" t="s">
        <v>364</v>
      </c>
      <c r="P25" s="6" t="s">
        <v>365</v>
      </c>
      <c r="Q25" s="3" t="s">
        <v>359</v>
      </c>
      <c r="R25" s="3" t="s">
        <v>366</v>
      </c>
      <c r="S25" s="3" t="s">
        <v>367</v>
      </c>
      <c r="T25" s="3" t="s">
        <v>368</v>
      </c>
      <c r="U25" s="3" t="s">
        <v>137</v>
      </c>
      <c r="V25" s="3" t="s">
        <v>369</v>
      </c>
    </row>
    <row r="26" spans="1:22" ht="57.6" x14ac:dyDescent="0.3">
      <c r="A26" s="3" t="str">
        <f t="shared" si="0"/>
        <v>MCQ_ITNIC_REQ_EMI_011</v>
      </c>
      <c r="B26" s="6" t="s">
        <v>21</v>
      </c>
      <c r="C26" s="6" t="s">
        <v>22</v>
      </c>
      <c r="D26" s="6" t="s">
        <v>355</v>
      </c>
      <c r="E26" s="6" t="s">
        <v>18</v>
      </c>
      <c r="F26" s="6">
        <v>3</v>
      </c>
      <c r="G26" s="6" t="s">
        <v>16</v>
      </c>
      <c r="H26" s="6" t="s">
        <v>17</v>
      </c>
      <c r="I26" s="6" t="s">
        <v>356</v>
      </c>
      <c r="J26" s="6" t="s">
        <v>129</v>
      </c>
      <c r="K26" s="6">
        <v>1</v>
      </c>
      <c r="L26" s="6" t="s">
        <v>294</v>
      </c>
      <c r="M26" s="3" t="str">
        <f>IF(B26="","","MCQ"&amp;"_"&amp;IFERROR(VLOOKUP(B26,LOOKUPS!$K$2:$L$9,2,FALSE),"UNK")&amp;"_"&amp;IFERROR(VLOOKUP(C26,LOOKUPS!$N$2:$O$8,2,FALSE),"UNK")&amp;"_"&amp;UPPER(L26))</f>
        <v>MCQ_ITNIC_REQ_EMI</v>
      </c>
      <c r="N26" s="3">
        <f>IF(M26="","",COUNTIF($M$2:M26,M26))</f>
        <v>11</v>
      </c>
      <c r="O26" s="6" t="s">
        <v>370</v>
      </c>
      <c r="P26" s="6" t="s">
        <v>371</v>
      </c>
      <c r="Q26" s="3" t="s">
        <v>372</v>
      </c>
      <c r="R26" s="3" t="s">
        <v>373</v>
      </c>
      <c r="S26" s="3" t="s">
        <v>374</v>
      </c>
      <c r="T26" s="3" t="s">
        <v>375</v>
      </c>
      <c r="U26" s="3" t="s">
        <v>260</v>
      </c>
      <c r="V26" s="3" t="s">
        <v>376</v>
      </c>
    </row>
    <row r="27" spans="1:22" ht="57.6" x14ac:dyDescent="0.3">
      <c r="A27" s="3" t="str">
        <f t="shared" si="0"/>
        <v>MCQ_ITNIC_REQ_EMI_012</v>
      </c>
      <c r="B27" s="6" t="s">
        <v>21</v>
      </c>
      <c r="C27" s="6" t="s">
        <v>22</v>
      </c>
      <c r="D27" s="6" t="s">
        <v>355</v>
      </c>
      <c r="E27" s="6" t="s">
        <v>18</v>
      </c>
      <c r="F27" s="6">
        <v>3</v>
      </c>
      <c r="G27" s="6" t="s">
        <v>16</v>
      </c>
      <c r="H27" s="6" t="s">
        <v>17</v>
      </c>
      <c r="I27" s="6" t="s">
        <v>377</v>
      </c>
      <c r="J27" s="6" t="s">
        <v>129</v>
      </c>
      <c r="K27" s="6">
        <v>1</v>
      </c>
      <c r="L27" s="6" t="s">
        <v>294</v>
      </c>
      <c r="M27" s="3" t="str">
        <f>IF(B27="","","MCQ"&amp;"_"&amp;IFERROR(VLOOKUP(B27,LOOKUPS!$K$2:$L$9,2,FALSE),"UNK")&amp;"_"&amp;IFERROR(VLOOKUP(C27,LOOKUPS!$N$2:$O$8,2,FALSE),"UNK")&amp;"_"&amp;UPPER(L27))</f>
        <v>MCQ_ITNIC_REQ_EMI</v>
      </c>
      <c r="N27" s="3">
        <f>IF(M27="","",COUNTIF($M$2:M27,M27))</f>
        <v>12</v>
      </c>
      <c r="O27" s="6" t="s">
        <v>378</v>
      </c>
      <c r="P27" s="6" t="s">
        <v>379</v>
      </c>
      <c r="Q27" s="3" t="s">
        <v>380</v>
      </c>
      <c r="R27" s="3" t="s">
        <v>381</v>
      </c>
      <c r="S27" s="3" t="s">
        <v>382</v>
      </c>
      <c r="T27" s="3" t="s">
        <v>383</v>
      </c>
      <c r="U27" s="3" t="s">
        <v>261</v>
      </c>
      <c r="V27" s="3" t="s">
        <v>384</v>
      </c>
    </row>
    <row r="28" spans="1:22" x14ac:dyDescent="0.3">
      <c r="A28" s="3" t="str">
        <f t="shared" si="0"/>
        <v/>
      </c>
      <c r="B28" s="3"/>
      <c r="C28" s="3"/>
      <c r="D28" s="3"/>
      <c r="E28" s="3" t="s">
        <v>18</v>
      </c>
      <c r="F28" s="3"/>
      <c r="G28" s="3"/>
      <c r="H28" s="3"/>
      <c r="I28" s="3"/>
      <c r="J28" s="3"/>
      <c r="K28" s="3"/>
      <c r="L28" s="3"/>
      <c r="M28" s="3" t="str">
        <f>IF(B28="","","MCQ"&amp;"_"&amp;IFERROR(VLOOKUP(B28,LOOKUPS!$K$2:$L$9,2,FALSE),"UNK")&amp;"_"&amp;IFERROR(VLOOKUP(C28,LOOKUPS!$N$2:$O$8,2,FALSE),"UNK")&amp;"_"&amp;UPPER(L28))</f>
        <v/>
      </c>
      <c r="N28" s="3" t="str">
        <f>IF(M28="","",COUNTIF($M$2:M28,M28))</f>
        <v/>
      </c>
      <c r="O28" s="3"/>
      <c r="P28" s="3"/>
      <c r="Q28" s="3"/>
      <c r="R28" s="3"/>
      <c r="S28" s="3"/>
      <c r="T28" s="3"/>
      <c r="U28" s="3"/>
      <c r="V28" s="3"/>
    </row>
    <row r="29" spans="1:22" x14ac:dyDescent="0.3">
      <c r="A29" s="3" t="str">
        <f t="shared" si="0"/>
        <v/>
      </c>
      <c r="B29" s="3"/>
      <c r="C29" s="3"/>
      <c r="D29" s="3"/>
      <c r="E29" s="3" t="s">
        <v>18</v>
      </c>
      <c r="F29" s="3"/>
      <c r="G29" s="3"/>
      <c r="H29" s="3"/>
      <c r="I29" s="3"/>
      <c r="J29" s="3"/>
      <c r="K29" s="3"/>
      <c r="L29" s="3"/>
      <c r="M29" s="3" t="str">
        <f>IF(B29="","","MCQ"&amp;"_"&amp;IFERROR(VLOOKUP(B29,LOOKUPS!$K$2:$L$9,2,FALSE),"UNK")&amp;"_"&amp;IFERROR(VLOOKUP(C29,LOOKUPS!$N$2:$O$8,2,FALSE),"UNK")&amp;"_"&amp;UPPER(L29))</f>
        <v/>
      </c>
      <c r="N29" s="3" t="str">
        <f>IF(M29="","",COUNTIF($M$2:M29,M29))</f>
        <v/>
      </c>
      <c r="O29" s="3"/>
      <c r="P29" s="3"/>
      <c r="Q29" s="3"/>
      <c r="R29" s="3"/>
      <c r="S29" s="3"/>
      <c r="T29" s="3"/>
      <c r="U29" s="3"/>
      <c r="V29" s="3"/>
    </row>
    <row r="30" spans="1:22" x14ac:dyDescent="0.3">
      <c r="A30" s="3" t="str">
        <f t="shared" si="0"/>
        <v/>
      </c>
      <c r="B30" s="3"/>
      <c r="C30" s="3"/>
      <c r="D30" s="3"/>
      <c r="E30" s="3" t="s">
        <v>18</v>
      </c>
      <c r="F30" s="3"/>
      <c r="G30" s="3"/>
      <c r="H30" s="3"/>
      <c r="I30" s="3"/>
      <c r="J30" s="3"/>
      <c r="K30" s="3"/>
      <c r="L30" s="3"/>
      <c r="M30" s="3" t="str">
        <f>IF(B30="","","MCQ"&amp;"_"&amp;IFERROR(VLOOKUP(B30,LOOKUPS!$K$2:$L$9,2,FALSE),"UNK")&amp;"_"&amp;IFERROR(VLOOKUP(C30,LOOKUPS!$N$2:$O$8,2,FALSE),"UNK")&amp;"_"&amp;UPPER(L30))</f>
        <v/>
      </c>
      <c r="N30" s="3" t="str">
        <f>IF(M30="","",COUNTIF($M$2:M30,M30))</f>
        <v/>
      </c>
      <c r="O30" s="3"/>
      <c r="P30" s="3"/>
      <c r="Q30" s="3"/>
      <c r="R30" s="3"/>
      <c r="S30" s="3"/>
      <c r="T30" s="3"/>
      <c r="U30" s="3"/>
      <c r="V30" s="3"/>
    </row>
    <row r="31" spans="1:22" x14ac:dyDescent="0.3">
      <c r="A31" s="3" t="str">
        <f t="shared" si="0"/>
        <v/>
      </c>
      <c r="B31" s="3"/>
      <c r="C31" s="3"/>
      <c r="D31" s="3"/>
      <c r="E31" s="3" t="s">
        <v>18</v>
      </c>
      <c r="F31" s="3"/>
      <c r="G31" s="3"/>
      <c r="H31" s="3"/>
      <c r="I31" s="3"/>
      <c r="J31" s="3"/>
      <c r="K31" s="3"/>
      <c r="L31" s="3"/>
      <c r="M31" s="3" t="str">
        <f>IF(B31="","","MCQ"&amp;"_"&amp;IFERROR(VLOOKUP(B31,LOOKUPS!$K$2:$L$9,2,FALSE),"UNK")&amp;"_"&amp;IFERROR(VLOOKUP(C31,LOOKUPS!$N$2:$O$8,2,FALSE),"UNK")&amp;"_"&amp;UPPER(L31))</f>
        <v/>
      </c>
      <c r="N31" s="3" t="str">
        <f>IF(M31="","",COUNTIF($M$2:M31,M31))</f>
        <v/>
      </c>
      <c r="O31" s="3"/>
      <c r="P31" s="3"/>
      <c r="Q31" s="3"/>
      <c r="R31" s="3"/>
      <c r="S31" s="3"/>
      <c r="T31" s="3"/>
      <c r="U31" s="3"/>
      <c r="V31" s="3"/>
    </row>
    <row r="32" spans="1:22" x14ac:dyDescent="0.3">
      <c r="A32" s="3" t="str">
        <f t="shared" si="0"/>
        <v/>
      </c>
      <c r="B32" s="3"/>
      <c r="C32" s="3"/>
      <c r="D32" s="3"/>
      <c r="E32" s="3" t="s">
        <v>18</v>
      </c>
      <c r="F32" s="3"/>
      <c r="G32" s="3"/>
      <c r="H32" s="3"/>
      <c r="I32" s="3"/>
      <c r="J32" s="3"/>
      <c r="K32" s="3"/>
      <c r="L32" s="3"/>
      <c r="M32" s="3" t="str">
        <f>IF(B32="","","MCQ"&amp;"_"&amp;IFERROR(VLOOKUP(B32,LOOKUPS!$K$2:$L$9,2,FALSE),"UNK")&amp;"_"&amp;IFERROR(VLOOKUP(C32,LOOKUPS!$N$2:$O$8,2,FALSE),"UNK")&amp;"_"&amp;UPPER(L32))</f>
        <v/>
      </c>
      <c r="N32" s="3" t="str">
        <f>IF(M32="","",COUNTIF($M$2:M32,M32))</f>
        <v/>
      </c>
      <c r="O32" s="3"/>
      <c r="P32" s="3"/>
      <c r="Q32" s="3"/>
      <c r="R32" s="3"/>
      <c r="S32" s="3"/>
      <c r="T32" s="3"/>
      <c r="U32" s="3"/>
      <c r="V32" s="3"/>
    </row>
    <row r="33" spans="1:22" x14ac:dyDescent="0.3">
      <c r="A33" s="3" t="str">
        <f t="shared" si="0"/>
        <v/>
      </c>
      <c r="B33" s="3"/>
      <c r="C33" s="3"/>
      <c r="D33" s="3"/>
      <c r="E33" s="3" t="s">
        <v>18</v>
      </c>
      <c r="F33" s="3"/>
      <c r="G33" s="3"/>
      <c r="H33" s="3"/>
      <c r="I33" s="3"/>
      <c r="J33" s="3"/>
      <c r="K33" s="3"/>
      <c r="L33" s="3"/>
      <c r="M33" s="3" t="str">
        <f>IF(B33="","","MCQ"&amp;"_"&amp;IFERROR(VLOOKUP(B33,LOOKUPS!$K$2:$L$9,2,FALSE),"UNK")&amp;"_"&amp;IFERROR(VLOOKUP(C33,LOOKUPS!$N$2:$O$8,2,FALSE),"UNK")&amp;"_"&amp;UPPER(L33))</f>
        <v/>
      </c>
      <c r="N33" s="3" t="str">
        <f>IF(M33="","",COUNTIF($M$2:M33,M33))</f>
        <v/>
      </c>
      <c r="O33" s="3"/>
      <c r="P33" s="3"/>
      <c r="Q33" s="3"/>
      <c r="R33" s="3"/>
      <c r="S33" s="3"/>
      <c r="T33" s="3"/>
      <c r="U33" s="3"/>
      <c r="V33" s="3"/>
    </row>
    <row r="34" spans="1:22" x14ac:dyDescent="0.3">
      <c r="A34" s="3" t="str">
        <f t="shared" si="0"/>
        <v/>
      </c>
      <c r="B34" s="3"/>
      <c r="C34" s="3"/>
      <c r="D34" s="3"/>
      <c r="E34" s="3" t="s">
        <v>18</v>
      </c>
      <c r="F34" s="3"/>
      <c r="G34" s="3"/>
      <c r="H34" s="3"/>
      <c r="I34" s="3"/>
      <c r="J34" s="3"/>
      <c r="K34" s="3"/>
      <c r="L34" s="3"/>
      <c r="M34" s="3" t="str">
        <f>IF(B34="","","MCQ"&amp;"_"&amp;IFERROR(VLOOKUP(B34,LOOKUPS!$K$2:$L$9,2,FALSE),"UNK")&amp;"_"&amp;IFERROR(VLOOKUP(C34,LOOKUPS!$N$2:$O$8,2,FALSE),"UNK")&amp;"_"&amp;UPPER(L34))</f>
        <v/>
      </c>
      <c r="N34" s="3" t="str">
        <f>IF(M34="","",COUNTIF($M$2:M34,M34))</f>
        <v/>
      </c>
      <c r="O34" s="3"/>
      <c r="P34" s="3"/>
      <c r="Q34" s="3"/>
      <c r="R34" s="3"/>
      <c r="S34" s="3"/>
      <c r="T34" s="3"/>
      <c r="U34" s="3"/>
      <c r="V34" s="3"/>
    </row>
    <row r="35" spans="1:22" x14ac:dyDescent="0.3">
      <c r="A35" s="3" t="str">
        <f t="shared" si="0"/>
        <v/>
      </c>
      <c r="B35" s="3"/>
      <c r="C35" s="3"/>
      <c r="D35" s="3"/>
      <c r="E35" s="3" t="s">
        <v>18</v>
      </c>
      <c r="F35" s="3"/>
      <c r="G35" s="3"/>
      <c r="H35" s="3"/>
      <c r="I35" s="3"/>
      <c r="J35" s="3"/>
      <c r="K35" s="3"/>
      <c r="L35" s="3"/>
      <c r="M35" s="3" t="str">
        <f>IF(B35="","","MCQ"&amp;"_"&amp;IFERROR(VLOOKUP(B35,LOOKUPS!$K$2:$L$9,2,FALSE),"UNK")&amp;"_"&amp;IFERROR(VLOOKUP(C35,LOOKUPS!$N$2:$O$8,2,FALSE),"UNK")&amp;"_"&amp;UPPER(L35))</f>
        <v/>
      </c>
      <c r="N35" s="3" t="str">
        <f>IF(M35="","",COUNTIF($M$2:M35,M35))</f>
        <v/>
      </c>
      <c r="O35" s="3"/>
      <c r="P35" s="3"/>
      <c r="Q35" s="3"/>
      <c r="R35" s="3"/>
      <c r="S35" s="3"/>
      <c r="T35" s="3"/>
      <c r="U35" s="3"/>
      <c r="V35" s="3"/>
    </row>
    <row r="36" spans="1:22" x14ac:dyDescent="0.3">
      <c r="A36" s="3" t="str">
        <f t="shared" si="0"/>
        <v/>
      </c>
      <c r="B36" s="3"/>
      <c r="C36" s="3"/>
      <c r="D36" s="3"/>
      <c r="E36" s="3" t="s">
        <v>18</v>
      </c>
      <c r="F36" s="3"/>
      <c r="G36" s="3"/>
      <c r="H36" s="3"/>
      <c r="I36" s="3"/>
      <c r="J36" s="3"/>
      <c r="K36" s="3"/>
      <c r="L36" s="3"/>
      <c r="M36" s="3" t="str">
        <f>IF(B36="","","MCQ"&amp;"_"&amp;IFERROR(VLOOKUP(B36,LOOKUPS!$K$2:$L$9,2,FALSE),"UNK")&amp;"_"&amp;IFERROR(VLOOKUP(C36,LOOKUPS!$N$2:$O$8,2,FALSE),"UNK")&amp;"_"&amp;UPPER(L36))</f>
        <v/>
      </c>
      <c r="N36" s="3" t="str">
        <f>IF(M36="","",COUNTIF($M$2:M36,M36))</f>
        <v/>
      </c>
      <c r="O36" s="3"/>
      <c r="P36" s="3"/>
      <c r="Q36" s="3"/>
      <c r="R36" s="3"/>
      <c r="S36" s="3"/>
      <c r="T36" s="3"/>
      <c r="U36" s="3"/>
      <c r="V36" s="3"/>
    </row>
    <row r="37" spans="1:22" x14ac:dyDescent="0.3">
      <c r="A37" s="3" t="str">
        <f t="shared" si="0"/>
        <v/>
      </c>
      <c r="B37" s="3"/>
      <c r="C37" s="3"/>
      <c r="D37" s="3"/>
      <c r="E37" s="3" t="s">
        <v>18</v>
      </c>
      <c r="F37" s="3"/>
      <c r="G37" s="3"/>
      <c r="H37" s="3"/>
      <c r="I37" s="3"/>
      <c r="J37" s="3"/>
      <c r="K37" s="3"/>
      <c r="L37" s="3"/>
      <c r="M37" s="3" t="str">
        <f>IF(B37="","","MCQ"&amp;"_"&amp;IFERROR(VLOOKUP(B37,LOOKUPS!$K$2:$L$9,2,FALSE),"UNK")&amp;"_"&amp;IFERROR(VLOOKUP(C37,LOOKUPS!$N$2:$O$8,2,FALSE),"UNK")&amp;"_"&amp;UPPER(L37))</f>
        <v/>
      </c>
      <c r="N37" s="3" t="str">
        <f>IF(M37="","",COUNTIF($M$2:M37,M37))</f>
        <v/>
      </c>
      <c r="O37" s="3"/>
      <c r="P37" s="3"/>
      <c r="Q37" s="3"/>
      <c r="R37" s="3"/>
      <c r="S37" s="3"/>
      <c r="T37" s="3"/>
      <c r="U37" s="3"/>
      <c r="V37" s="3"/>
    </row>
    <row r="38" spans="1:22" x14ac:dyDescent="0.3">
      <c r="A38" s="3" t="str">
        <f t="shared" si="0"/>
        <v/>
      </c>
      <c r="B38" s="3"/>
      <c r="C38" s="3"/>
      <c r="D38" s="3"/>
      <c r="E38" s="3" t="s">
        <v>18</v>
      </c>
      <c r="F38" s="3"/>
      <c r="G38" s="3"/>
      <c r="H38" s="3"/>
      <c r="I38" s="3"/>
      <c r="J38" s="3"/>
      <c r="K38" s="3"/>
      <c r="L38" s="3"/>
      <c r="M38" s="3" t="str">
        <f>IF(B38="","","MCQ"&amp;"_"&amp;IFERROR(VLOOKUP(B38,LOOKUPS!$K$2:$L$9,2,FALSE),"UNK")&amp;"_"&amp;IFERROR(VLOOKUP(C38,LOOKUPS!$N$2:$O$8,2,FALSE),"UNK")&amp;"_"&amp;UPPER(L38))</f>
        <v/>
      </c>
      <c r="N38" s="3" t="str">
        <f>IF(M38="","",COUNTIF($M$2:M38,M38))</f>
        <v/>
      </c>
      <c r="O38" s="3"/>
      <c r="P38" s="3"/>
      <c r="Q38" s="3"/>
      <c r="R38" s="3"/>
      <c r="S38" s="3"/>
      <c r="T38" s="3"/>
      <c r="U38" s="3"/>
      <c r="V38" s="3"/>
    </row>
    <row r="39" spans="1:22" x14ac:dyDescent="0.3">
      <c r="A39" s="3" t="str">
        <f t="shared" si="0"/>
        <v/>
      </c>
      <c r="B39" s="3"/>
      <c r="C39" s="3"/>
      <c r="D39" s="3"/>
      <c r="E39" s="3" t="s">
        <v>18</v>
      </c>
      <c r="F39" s="3"/>
      <c r="G39" s="3"/>
      <c r="H39" s="3"/>
      <c r="I39" s="3"/>
      <c r="J39" s="3"/>
      <c r="K39" s="3"/>
      <c r="L39" s="3"/>
      <c r="M39" s="3" t="str">
        <f>IF(B39="","","MCQ"&amp;"_"&amp;IFERROR(VLOOKUP(B39,LOOKUPS!$K$2:$L$9,2,FALSE),"UNK")&amp;"_"&amp;IFERROR(VLOOKUP(C39,LOOKUPS!$N$2:$O$8,2,FALSE),"UNK")&amp;"_"&amp;UPPER(L39))</f>
        <v/>
      </c>
      <c r="N39" s="3" t="str">
        <f>IF(M39="","",COUNTIF($M$2:M39,M39))</f>
        <v/>
      </c>
      <c r="O39" s="3"/>
      <c r="P39" s="3"/>
      <c r="Q39" s="3"/>
      <c r="R39" s="3"/>
      <c r="S39" s="3"/>
      <c r="T39" s="3"/>
      <c r="U39" s="3"/>
      <c r="V39" s="3"/>
    </row>
    <row r="40" spans="1:22" x14ac:dyDescent="0.3">
      <c r="A40" s="3" t="str">
        <f t="shared" si="0"/>
        <v/>
      </c>
      <c r="B40" s="3"/>
      <c r="C40" s="3"/>
      <c r="D40" s="3"/>
      <c r="E40" s="3" t="s">
        <v>18</v>
      </c>
      <c r="F40" s="3"/>
      <c r="G40" s="3"/>
      <c r="H40" s="3"/>
      <c r="I40" s="3"/>
      <c r="J40" s="3"/>
      <c r="K40" s="3"/>
      <c r="L40" s="3"/>
      <c r="M40" s="3" t="str">
        <f>IF(B40="","","MCQ"&amp;"_"&amp;IFERROR(VLOOKUP(B40,LOOKUPS!$K$2:$L$9,2,FALSE),"UNK")&amp;"_"&amp;IFERROR(VLOOKUP(C40,LOOKUPS!$N$2:$O$8,2,FALSE),"UNK")&amp;"_"&amp;UPPER(L40))</f>
        <v/>
      </c>
      <c r="N40" s="3" t="str">
        <f>IF(M40="","",COUNTIF($M$2:M40,M40))</f>
        <v/>
      </c>
      <c r="O40" s="3"/>
      <c r="P40" s="3"/>
      <c r="Q40" s="3"/>
      <c r="R40" s="3"/>
      <c r="S40" s="3"/>
      <c r="T40" s="3"/>
      <c r="U40" s="3"/>
      <c r="V40" s="3"/>
    </row>
    <row r="41" spans="1:22" x14ac:dyDescent="0.3">
      <c r="A41" s="3" t="str">
        <f t="shared" si="0"/>
        <v/>
      </c>
      <c r="B41" s="3"/>
      <c r="C41" s="3"/>
      <c r="D41" s="3"/>
      <c r="E41" s="3" t="s">
        <v>18</v>
      </c>
      <c r="F41" s="3"/>
      <c r="G41" s="3"/>
      <c r="H41" s="3"/>
      <c r="I41" s="3"/>
      <c r="J41" s="3"/>
      <c r="K41" s="3"/>
      <c r="L41" s="3"/>
      <c r="M41" s="3" t="str">
        <f>IF(B41="","","MCQ"&amp;"_"&amp;IFERROR(VLOOKUP(B41,LOOKUPS!$K$2:$L$9,2,FALSE),"UNK")&amp;"_"&amp;IFERROR(VLOOKUP(C41,LOOKUPS!$N$2:$O$8,2,FALSE),"UNK")&amp;"_"&amp;UPPER(L41))</f>
        <v/>
      </c>
      <c r="N41" s="3" t="str">
        <f>IF(M41="","",COUNTIF($M$2:M41,M41))</f>
        <v/>
      </c>
      <c r="O41" s="3"/>
      <c r="P41" s="3"/>
      <c r="Q41" s="3"/>
      <c r="R41" s="3"/>
      <c r="S41" s="3"/>
      <c r="T41" s="3"/>
      <c r="U41" s="3"/>
      <c r="V41" s="3"/>
    </row>
    <row r="42" spans="1:22" x14ac:dyDescent="0.3">
      <c r="A42" s="3" t="str">
        <f t="shared" si="0"/>
        <v/>
      </c>
      <c r="B42" s="3"/>
      <c r="C42" s="3"/>
      <c r="D42" s="3"/>
      <c r="E42" s="3" t="s">
        <v>18</v>
      </c>
      <c r="F42" s="3"/>
      <c r="G42" s="3"/>
      <c r="H42" s="3"/>
      <c r="I42" s="3"/>
      <c r="J42" s="3"/>
      <c r="K42" s="3"/>
      <c r="L42" s="3"/>
      <c r="M42" s="3" t="str">
        <f>IF(B42="","","MCQ"&amp;"_"&amp;IFERROR(VLOOKUP(B42,LOOKUPS!$K$2:$L$9,2,FALSE),"UNK")&amp;"_"&amp;IFERROR(VLOOKUP(C42,LOOKUPS!$N$2:$O$8,2,FALSE),"UNK")&amp;"_"&amp;UPPER(L42))</f>
        <v/>
      </c>
      <c r="N42" s="3" t="str">
        <f>IF(M42="","",COUNTIF($M$2:M42,M42))</f>
        <v/>
      </c>
      <c r="O42" s="3"/>
      <c r="P42" s="3"/>
      <c r="Q42" s="3"/>
      <c r="R42" s="3"/>
      <c r="S42" s="3"/>
      <c r="T42" s="3"/>
      <c r="U42" s="3"/>
      <c r="V42" s="3"/>
    </row>
    <row r="43" spans="1:22" x14ac:dyDescent="0.3">
      <c r="A43" s="3" t="str">
        <f t="shared" si="0"/>
        <v/>
      </c>
      <c r="B43" s="3"/>
      <c r="C43" s="3"/>
      <c r="D43" s="3"/>
      <c r="E43" s="3" t="s">
        <v>18</v>
      </c>
      <c r="F43" s="3"/>
      <c r="G43" s="3"/>
      <c r="H43" s="3"/>
      <c r="I43" s="3"/>
      <c r="J43" s="3"/>
      <c r="K43" s="3"/>
      <c r="L43" s="3"/>
      <c r="M43" s="3" t="str">
        <f>IF(B43="","","MCQ"&amp;"_"&amp;IFERROR(VLOOKUP(B43,LOOKUPS!$K$2:$L$9,2,FALSE),"UNK")&amp;"_"&amp;IFERROR(VLOOKUP(C43,LOOKUPS!$N$2:$O$8,2,FALSE),"UNK")&amp;"_"&amp;UPPER(L43))</f>
        <v/>
      </c>
      <c r="N43" s="3" t="str">
        <f>IF(M43="","",COUNTIF($M$2:M43,M43))</f>
        <v/>
      </c>
      <c r="O43" s="3"/>
      <c r="P43" s="3"/>
      <c r="Q43" s="3"/>
      <c r="R43" s="3"/>
      <c r="S43" s="3"/>
      <c r="T43" s="3"/>
      <c r="U43" s="3"/>
      <c r="V43" s="3"/>
    </row>
    <row r="44" spans="1:22" x14ac:dyDescent="0.3">
      <c r="A44" s="3" t="str">
        <f t="shared" si="0"/>
        <v/>
      </c>
      <c r="B44" s="3"/>
      <c r="C44" s="3"/>
      <c r="D44" s="3"/>
      <c r="E44" s="3" t="s">
        <v>18</v>
      </c>
      <c r="F44" s="3"/>
      <c r="G44" s="3"/>
      <c r="H44" s="3"/>
      <c r="I44" s="3"/>
      <c r="J44" s="3"/>
      <c r="K44" s="3"/>
      <c r="L44" s="3"/>
      <c r="M44" s="3" t="str">
        <f>IF(B44="","","MCQ"&amp;"_"&amp;IFERROR(VLOOKUP(B44,LOOKUPS!$K$2:$L$9,2,FALSE),"UNK")&amp;"_"&amp;IFERROR(VLOOKUP(C44,LOOKUPS!$N$2:$O$8,2,FALSE),"UNK")&amp;"_"&amp;UPPER(L44))</f>
        <v/>
      </c>
      <c r="N44" s="3" t="str">
        <f>IF(M44="","",COUNTIF($M$2:M44,M44))</f>
        <v/>
      </c>
      <c r="O44" s="3"/>
      <c r="P44" s="3"/>
      <c r="Q44" s="3"/>
      <c r="R44" s="3"/>
      <c r="S44" s="3"/>
      <c r="T44" s="3"/>
      <c r="U44" s="3"/>
      <c r="V44" s="3"/>
    </row>
    <row r="45" spans="1:22" x14ac:dyDescent="0.3">
      <c r="A45" s="3" t="str">
        <f t="shared" si="0"/>
        <v/>
      </c>
      <c r="B45" s="3"/>
      <c r="C45" s="3"/>
      <c r="D45" s="3"/>
      <c r="E45" s="3" t="s">
        <v>18</v>
      </c>
      <c r="F45" s="3"/>
      <c r="G45" s="3"/>
      <c r="H45" s="3"/>
      <c r="I45" s="3"/>
      <c r="J45" s="3"/>
      <c r="K45" s="3"/>
      <c r="L45" s="3"/>
      <c r="M45" s="3" t="str">
        <f>IF(B45="","","MCQ"&amp;"_"&amp;IFERROR(VLOOKUP(B45,LOOKUPS!$K$2:$L$9,2,FALSE),"UNK")&amp;"_"&amp;IFERROR(VLOOKUP(C45,LOOKUPS!$N$2:$O$8,2,FALSE),"UNK")&amp;"_"&amp;UPPER(L45))</f>
        <v/>
      </c>
      <c r="N45" s="3" t="str">
        <f>IF(M45="","",COUNTIF($M$2:M45,M45))</f>
        <v/>
      </c>
      <c r="O45" s="3"/>
      <c r="P45" s="3"/>
      <c r="Q45" s="3"/>
      <c r="R45" s="3"/>
      <c r="S45" s="3"/>
      <c r="T45" s="3"/>
      <c r="U45" s="3"/>
      <c r="V45" s="3"/>
    </row>
    <row r="46" spans="1:22" x14ac:dyDescent="0.3">
      <c r="A46" s="3" t="str">
        <f t="shared" si="0"/>
        <v/>
      </c>
      <c r="B46" s="3"/>
      <c r="C46" s="3"/>
      <c r="D46" s="3"/>
      <c r="E46" s="3" t="s">
        <v>18</v>
      </c>
      <c r="F46" s="3"/>
      <c r="G46" s="3"/>
      <c r="H46" s="3"/>
      <c r="I46" s="3"/>
      <c r="J46" s="3"/>
      <c r="K46" s="3"/>
      <c r="L46" s="3"/>
      <c r="M46" s="3" t="str">
        <f>IF(B46="","","MCQ"&amp;"_"&amp;IFERROR(VLOOKUP(B46,LOOKUPS!$K$2:$L$9,2,FALSE),"UNK")&amp;"_"&amp;IFERROR(VLOOKUP(C46,LOOKUPS!$N$2:$O$8,2,FALSE),"UNK")&amp;"_"&amp;UPPER(L46))</f>
        <v/>
      </c>
      <c r="N46" s="3" t="str">
        <f>IF(M46="","",COUNTIF($M$2:M46,M46))</f>
        <v/>
      </c>
      <c r="O46" s="3"/>
      <c r="P46" s="3"/>
      <c r="Q46" s="3"/>
      <c r="R46" s="3"/>
      <c r="S46" s="3"/>
      <c r="T46" s="3"/>
      <c r="U46" s="3"/>
      <c r="V46" s="3"/>
    </row>
    <row r="47" spans="1:22" x14ac:dyDescent="0.3">
      <c r="A47" s="3" t="str">
        <f t="shared" si="0"/>
        <v/>
      </c>
      <c r="B47" s="3"/>
      <c r="C47" s="3"/>
      <c r="D47" s="3"/>
      <c r="E47" s="3" t="s">
        <v>18</v>
      </c>
      <c r="F47" s="3"/>
      <c r="G47" s="3"/>
      <c r="H47" s="3"/>
      <c r="I47" s="3"/>
      <c r="J47" s="3"/>
      <c r="K47" s="3"/>
      <c r="L47" s="3"/>
      <c r="M47" s="3" t="str">
        <f>IF(B47="","","MCQ"&amp;"_"&amp;IFERROR(VLOOKUP(B47,LOOKUPS!$K$2:$L$9,2,FALSE),"UNK")&amp;"_"&amp;IFERROR(VLOOKUP(C47,LOOKUPS!$N$2:$O$8,2,FALSE),"UNK")&amp;"_"&amp;UPPER(L47))</f>
        <v/>
      </c>
      <c r="N47" s="3" t="str">
        <f>IF(M47="","",COUNTIF($M$2:M47,M47))</f>
        <v/>
      </c>
      <c r="O47" s="3"/>
      <c r="P47" s="3"/>
      <c r="Q47" s="3"/>
      <c r="R47" s="3"/>
      <c r="S47" s="3"/>
      <c r="T47" s="3"/>
      <c r="U47" s="3"/>
      <c r="V47" s="3"/>
    </row>
    <row r="48" spans="1:22" x14ac:dyDescent="0.3">
      <c r="A48" s="3" t="str">
        <f t="shared" si="0"/>
        <v/>
      </c>
      <c r="B48" s="3"/>
      <c r="C48" s="3"/>
      <c r="D48" s="3"/>
      <c r="E48" s="3" t="s">
        <v>18</v>
      </c>
      <c r="F48" s="3"/>
      <c r="G48" s="3"/>
      <c r="H48" s="3"/>
      <c r="I48" s="3"/>
      <c r="J48" s="3"/>
      <c r="K48" s="3"/>
      <c r="L48" s="3"/>
      <c r="M48" s="3" t="str">
        <f>IF(B48="","","MCQ"&amp;"_"&amp;IFERROR(VLOOKUP(B48,LOOKUPS!$K$2:$L$9,2,FALSE),"UNK")&amp;"_"&amp;IFERROR(VLOOKUP(C48,LOOKUPS!$N$2:$O$8,2,FALSE),"UNK")&amp;"_"&amp;UPPER(L48))</f>
        <v/>
      </c>
      <c r="N48" s="3" t="str">
        <f>IF(M48="","",COUNTIF($M$2:M48,M48))</f>
        <v/>
      </c>
      <c r="O48" s="3"/>
      <c r="P48" s="3"/>
      <c r="Q48" s="3"/>
      <c r="R48" s="3"/>
      <c r="S48" s="3"/>
      <c r="T48" s="3"/>
      <c r="U48" s="3"/>
      <c r="V48" s="3"/>
    </row>
    <row r="49" spans="1:22" x14ac:dyDescent="0.3">
      <c r="A49" s="3" t="str">
        <f t="shared" si="0"/>
        <v/>
      </c>
      <c r="B49" s="3"/>
      <c r="C49" s="3"/>
      <c r="D49" s="3"/>
      <c r="E49" s="3" t="s">
        <v>18</v>
      </c>
      <c r="F49" s="3"/>
      <c r="G49" s="3"/>
      <c r="H49" s="3"/>
      <c r="I49" s="3"/>
      <c r="J49" s="3"/>
      <c r="K49" s="3"/>
      <c r="L49" s="3"/>
      <c r="M49" s="3" t="str">
        <f>IF(B49="","","MCQ"&amp;"_"&amp;IFERROR(VLOOKUP(B49,LOOKUPS!$K$2:$L$9,2,FALSE),"UNK")&amp;"_"&amp;IFERROR(VLOOKUP(C49,LOOKUPS!$N$2:$O$8,2,FALSE),"UNK")&amp;"_"&amp;UPPER(L49))</f>
        <v/>
      </c>
      <c r="N49" s="3" t="str">
        <f>IF(M49="","",COUNTIF($M$2:M49,M49))</f>
        <v/>
      </c>
      <c r="O49" s="3"/>
      <c r="P49" s="3"/>
      <c r="Q49" s="3"/>
      <c r="R49" s="3"/>
      <c r="S49" s="3"/>
      <c r="T49" s="3"/>
      <c r="U49" s="3"/>
      <c r="V49" s="3"/>
    </row>
    <row r="50" spans="1:22" x14ac:dyDescent="0.3">
      <c r="A50" s="3" t="str">
        <f t="shared" si="0"/>
        <v/>
      </c>
      <c r="B50" s="3"/>
      <c r="C50" s="3"/>
      <c r="D50" s="3"/>
      <c r="E50" s="3" t="s">
        <v>18</v>
      </c>
      <c r="F50" s="3"/>
      <c r="G50" s="3"/>
      <c r="H50" s="3"/>
      <c r="I50" s="3"/>
      <c r="J50" s="3"/>
      <c r="K50" s="3"/>
      <c r="L50" s="3"/>
      <c r="M50" s="3" t="str">
        <f>IF(B50="","","MCQ"&amp;"_"&amp;IFERROR(VLOOKUP(B50,LOOKUPS!$K$2:$L$9,2,FALSE),"UNK")&amp;"_"&amp;IFERROR(VLOOKUP(C50,LOOKUPS!$N$2:$O$8,2,FALSE),"UNK")&amp;"_"&amp;UPPER(L50))</f>
        <v/>
      </c>
      <c r="N50" s="3" t="str">
        <f>IF(M50="","",COUNTIF($M$2:M50,M50))</f>
        <v/>
      </c>
      <c r="O50" s="3"/>
      <c r="P50" s="3"/>
      <c r="Q50" s="3"/>
      <c r="R50" s="3"/>
      <c r="S50" s="3"/>
      <c r="T50" s="3"/>
      <c r="U50" s="3"/>
      <c r="V50" s="3"/>
    </row>
    <row r="51" spans="1:22" x14ac:dyDescent="0.3">
      <c r="A51" s="3" t="str">
        <f t="shared" si="0"/>
        <v/>
      </c>
      <c r="B51" s="3"/>
      <c r="C51" s="3"/>
      <c r="D51" s="3"/>
      <c r="E51" s="3" t="s">
        <v>18</v>
      </c>
      <c r="F51" s="3"/>
      <c r="G51" s="3"/>
      <c r="H51" s="3"/>
      <c r="I51" s="3"/>
      <c r="J51" s="3"/>
      <c r="K51" s="3"/>
      <c r="L51" s="3"/>
      <c r="M51" s="3" t="str">
        <f>IF(B51="","","MCQ"&amp;"_"&amp;IFERROR(VLOOKUP(B51,LOOKUPS!$K$2:$L$9,2,FALSE),"UNK")&amp;"_"&amp;IFERROR(VLOOKUP(C51,LOOKUPS!$N$2:$O$8,2,FALSE),"UNK")&amp;"_"&amp;UPPER(L51))</f>
        <v/>
      </c>
      <c r="N51" s="3" t="str">
        <f>IF(M51="","",COUNTIF($M$2:M51,M51))</f>
        <v/>
      </c>
      <c r="O51" s="3"/>
      <c r="P51" s="3"/>
      <c r="Q51" s="3"/>
      <c r="R51" s="3"/>
      <c r="S51" s="3"/>
      <c r="T51" s="3"/>
      <c r="U51" s="3"/>
      <c r="V51" s="3"/>
    </row>
    <row r="52" spans="1:22" x14ac:dyDescent="0.3">
      <c r="A52" s="3" t="str">
        <f t="shared" si="0"/>
        <v/>
      </c>
      <c r="B52" s="3"/>
      <c r="C52" s="3"/>
      <c r="D52" s="3"/>
      <c r="E52" s="3" t="s">
        <v>18</v>
      </c>
      <c r="F52" s="3"/>
      <c r="G52" s="3"/>
      <c r="H52" s="3"/>
      <c r="I52" s="3"/>
      <c r="J52" s="3"/>
      <c r="K52" s="3"/>
      <c r="L52" s="3"/>
      <c r="M52" s="3" t="str">
        <f>IF(B52="","","MCQ"&amp;"_"&amp;IFERROR(VLOOKUP(B52,LOOKUPS!$K$2:$L$9,2,FALSE),"UNK")&amp;"_"&amp;IFERROR(VLOOKUP(C52,LOOKUPS!$N$2:$O$8,2,FALSE),"UNK")&amp;"_"&amp;UPPER(L52))</f>
        <v/>
      </c>
      <c r="N52" s="3" t="str">
        <f>IF(M52="","",COUNTIF($M$2:M52,M52))</f>
        <v/>
      </c>
      <c r="O52" s="3"/>
      <c r="P52" s="3"/>
      <c r="Q52" s="3"/>
      <c r="R52" s="3"/>
      <c r="S52" s="3"/>
      <c r="T52" s="3"/>
      <c r="U52" s="3"/>
      <c r="V52" s="3"/>
    </row>
    <row r="53" spans="1:22" x14ac:dyDescent="0.3">
      <c r="A53" s="3" t="str">
        <f t="shared" si="0"/>
        <v/>
      </c>
      <c r="B53" s="3"/>
      <c r="C53" s="3"/>
      <c r="D53" s="3"/>
      <c r="E53" s="3" t="s">
        <v>18</v>
      </c>
      <c r="F53" s="3"/>
      <c r="G53" s="3"/>
      <c r="H53" s="3"/>
      <c r="I53" s="3"/>
      <c r="J53" s="3"/>
      <c r="K53" s="3"/>
      <c r="L53" s="3"/>
      <c r="M53" s="3" t="str">
        <f>IF(B53="","","MCQ"&amp;"_"&amp;IFERROR(VLOOKUP(B53,LOOKUPS!$K$2:$L$9,2,FALSE),"UNK")&amp;"_"&amp;IFERROR(VLOOKUP(C53,LOOKUPS!$N$2:$O$8,2,FALSE),"UNK")&amp;"_"&amp;UPPER(L53))</f>
        <v/>
      </c>
      <c r="N53" s="3" t="str">
        <f>IF(M53="","",COUNTIF($M$2:M53,M53))</f>
        <v/>
      </c>
      <c r="O53" s="3"/>
      <c r="P53" s="3"/>
      <c r="Q53" s="3"/>
      <c r="R53" s="3"/>
      <c r="S53" s="3"/>
      <c r="T53" s="3"/>
      <c r="U53" s="3"/>
      <c r="V53" s="3"/>
    </row>
    <row r="54" spans="1:22" x14ac:dyDescent="0.3">
      <c r="A54" s="3" t="str">
        <f t="shared" si="0"/>
        <v/>
      </c>
      <c r="B54" s="3"/>
      <c r="C54" s="3"/>
      <c r="D54" s="3"/>
      <c r="E54" s="3" t="s">
        <v>18</v>
      </c>
      <c r="F54" s="3"/>
      <c r="G54" s="3"/>
      <c r="H54" s="3"/>
      <c r="I54" s="3"/>
      <c r="J54" s="3"/>
      <c r="K54" s="3"/>
      <c r="L54" s="3"/>
      <c r="M54" s="3" t="str">
        <f>IF(B54="","","MCQ"&amp;"_"&amp;IFERROR(VLOOKUP(B54,LOOKUPS!$K$2:$L$9,2,FALSE),"UNK")&amp;"_"&amp;IFERROR(VLOOKUP(C54,LOOKUPS!$N$2:$O$8,2,FALSE),"UNK")&amp;"_"&amp;UPPER(L54))</f>
        <v/>
      </c>
      <c r="N54" s="3" t="str">
        <f>IF(M54="","",COUNTIF($M$2:M54,M54))</f>
        <v/>
      </c>
      <c r="O54" s="3"/>
      <c r="P54" s="3"/>
      <c r="Q54" s="3"/>
      <c r="R54" s="3"/>
      <c r="S54" s="3"/>
      <c r="T54" s="3"/>
      <c r="U54" s="3"/>
      <c r="V54" s="3"/>
    </row>
    <row r="55" spans="1:22" x14ac:dyDescent="0.3">
      <c r="A55" s="3" t="str">
        <f t="shared" si="0"/>
        <v/>
      </c>
      <c r="B55" s="3"/>
      <c r="C55" s="3"/>
      <c r="D55" s="3"/>
      <c r="E55" s="3" t="s">
        <v>18</v>
      </c>
      <c r="F55" s="3"/>
      <c r="G55" s="3"/>
      <c r="H55" s="3"/>
      <c r="I55" s="3"/>
      <c r="J55" s="3"/>
      <c r="K55" s="3"/>
      <c r="L55" s="3"/>
      <c r="M55" s="3" t="str">
        <f>IF(B55="","","MCQ"&amp;"_"&amp;IFERROR(VLOOKUP(B55,LOOKUPS!$K$2:$L$9,2,FALSE),"UNK")&amp;"_"&amp;IFERROR(VLOOKUP(C55,LOOKUPS!$N$2:$O$8,2,FALSE),"UNK")&amp;"_"&amp;UPPER(L55))</f>
        <v/>
      </c>
      <c r="N55" s="3" t="str">
        <f>IF(M55="","",COUNTIF($M$2:M55,M55))</f>
        <v/>
      </c>
      <c r="O55" s="3"/>
      <c r="P55" s="3"/>
      <c r="Q55" s="3"/>
      <c r="R55" s="3"/>
      <c r="S55" s="3"/>
      <c r="T55" s="3"/>
      <c r="U55" s="3"/>
      <c r="V55" s="3"/>
    </row>
    <row r="56" spans="1:22" x14ac:dyDescent="0.3">
      <c r="A56" s="3" t="str">
        <f t="shared" si="0"/>
        <v/>
      </c>
      <c r="B56" s="3"/>
      <c r="C56" s="3"/>
      <c r="D56" s="3"/>
      <c r="E56" s="3" t="s">
        <v>18</v>
      </c>
      <c r="F56" s="3"/>
      <c r="G56" s="3"/>
      <c r="H56" s="3"/>
      <c r="I56" s="3"/>
      <c r="J56" s="3"/>
      <c r="K56" s="3"/>
      <c r="L56" s="3"/>
      <c r="M56" s="3" t="str">
        <f>IF(B56="","","MCQ"&amp;"_"&amp;IFERROR(VLOOKUP(B56,LOOKUPS!$K$2:$L$9,2,FALSE),"UNK")&amp;"_"&amp;IFERROR(VLOOKUP(C56,LOOKUPS!$N$2:$O$8,2,FALSE),"UNK")&amp;"_"&amp;UPPER(L56))</f>
        <v/>
      </c>
      <c r="N56" s="3" t="str">
        <f>IF(M56="","",COUNTIF($M$2:M56,M56))</f>
        <v/>
      </c>
      <c r="O56" s="3"/>
      <c r="P56" s="3"/>
      <c r="Q56" s="3"/>
      <c r="R56" s="3"/>
      <c r="S56" s="3"/>
      <c r="T56" s="3"/>
      <c r="U56" s="3"/>
      <c r="V56" s="3"/>
    </row>
    <row r="57" spans="1:22" x14ac:dyDescent="0.3">
      <c r="A57" s="3" t="str">
        <f t="shared" si="0"/>
        <v/>
      </c>
      <c r="B57" s="3"/>
      <c r="C57" s="3"/>
      <c r="D57" s="3"/>
      <c r="E57" s="3" t="s">
        <v>18</v>
      </c>
      <c r="F57" s="3"/>
      <c r="G57" s="3"/>
      <c r="H57" s="3"/>
      <c r="I57" s="3"/>
      <c r="J57" s="3"/>
      <c r="K57" s="3"/>
      <c r="L57" s="3"/>
      <c r="M57" s="3" t="str">
        <f>IF(B57="","","MCQ"&amp;"_"&amp;IFERROR(VLOOKUP(B57,LOOKUPS!$K$2:$L$9,2,FALSE),"UNK")&amp;"_"&amp;IFERROR(VLOOKUP(C57,LOOKUPS!$N$2:$O$8,2,FALSE),"UNK")&amp;"_"&amp;UPPER(L57))</f>
        <v/>
      </c>
      <c r="N57" s="3" t="str">
        <f>IF(M57="","",COUNTIF($M$2:M57,M57))</f>
        <v/>
      </c>
      <c r="O57" s="3"/>
      <c r="P57" s="3"/>
      <c r="Q57" s="3"/>
      <c r="R57" s="3"/>
      <c r="S57" s="3"/>
      <c r="T57" s="3"/>
      <c r="U57" s="3"/>
      <c r="V57" s="3"/>
    </row>
    <row r="58" spans="1:22" x14ac:dyDescent="0.3">
      <c r="A58" s="3" t="str">
        <f t="shared" si="0"/>
        <v/>
      </c>
      <c r="B58" s="3"/>
      <c r="C58" s="3"/>
      <c r="D58" s="3"/>
      <c r="E58" s="3" t="s">
        <v>18</v>
      </c>
      <c r="F58" s="3"/>
      <c r="G58" s="3"/>
      <c r="H58" s="3"/>
      <c r="I58" s="3"/>
      <c r="J58" s="3"/>
      <c r="K58" s="3"/>
      <c r="L58" s="3"/>
      <c r="M58" s="3" t="str">
        <f>IF(B58="","","MCQ"&amp;"_"&amp;IFERROR(VLOOKUP(B58,LOOKUPS!$K$2:$L$9,2,FALSE),"UNK")&amp;"_"&amp;IFERROR(VLOOKUP(C58,LOOKUPS!$N$2:$O$8,2,FALSE),"UNK")&amp;"_"&amp;UPPER(L58))</f>
        <v/>
      </c>
      <c r="N58" s="3" t="str">
        <f>IF(M58="","",COUNTIF($M$2:M58,M58))</f>
        <v/>
      </c>
      <c r="O58" s="3"/>
      <c r="P58" s="3"/>
      <c r="Q58" s="3"/>
      <c r="R58" s="3"/>
      <c r="S58" s="3"/>
      <c r="T58" s="3"/>
      <c r="U58" s="3"/>
      <c r="V58" s="3"/>
    </row>
    <row r="59" spans="1:22" x14ac:dyDescent="0.3">
      <c r="A59" s="3" t="str">
        <f t="shared" si="0"/>
        <v/>
      </c>
      <c r="B59" s="3"/>
      <c r="C59" s="3"/>
      <c r="D59" s="3"/>
      <c r="E59" s="3" t="s">
        <v>18</v>
      </c>
      <c r="F59" s="3"/>
      <c r="G59" s="3"/>
      <c r="H59" s="3"/>
      <c r="I59" s="3"/>
      <c r="J59" s="3"/>
      <c r="K59" s="3"/>
      <c r="L59" s="3"/>
      <c r="M59" s="3" t="str">
        <f>IF(B59="","","MCQ"&amp;"_"&amp;IFERROR(VLOOKUP(B59,LOOKUPS!$K$2:$L$9,2,FALSE),"UNK")&amp;"_"&amp;IFERROR(VLOOKUP(C59,LOOKUPS!$N$2:$O$8,2,FALSE),"UNK")&amp;"_"&amp;UPPER(L59))</f>
        <v/>
      </c>
      <c r="N59" s="3" t="str">
        <f>IF(M59="","",COUNTIF($M$2:M59,M59))</f>
        <v/>
      </c>
      <c r="O59" s="3"/>
      <c r="P59" s="3"/>
      <c r="Q59" s="3"/>
      <c r="R59" s="3"/>
      <c r="S59" s="3"/>
      <c r="T59" s="3"/>
      <c r="U59" s="3"/>
      <c r="V59" s="3"/>
    </row>
    <row r="60" spans="1:22" x14ac:dyDescent="0.3">
      <c r="A60" s="3" t="str">
        <f t="shared" si="0"/>
        <v/>
      </c>
      <c r="B60" s="3"/>
      <c r="C60" s="3"/>
      <c r="D60" s="3"/>
      <c r="E60" s="3" t="s">
        <v>18</v>
      </c>
      <c r="F60" s="3"/>
      <c r="G60" s="3"/>
      <c r="H60" s="3"/>
      <c r="I60" s="3"/>
      <c r="J60" s="3"/>
      <c r="K60" s="3"/>
      <c r="L60" s="3"/>
      <c r="M60" s="3" t="str">
        <f>IF(B60="","","MCQ"&amp;"_"&amp;IFERROR(VLOOKUP(B60,LOOKUPS!$K$2:$L$9,2,FALSE),"UNK")&amp;"_"&amp;IFERROR(VLOOKUP(C60,LOOKUPS!$N$2:$O$8,2,FALSE),"UNK")&amp;"_"&amp;UPPER(L60))</f>
        <v/>
      </c>
      <c r="N60" s="3" t="str">
        <f>IF(M60="","",COUNTIF($M$2:M60,M60))</f>
        <v/>
      </c>
      <c r="O60" s="3"/>
      <c r="P60" s="3"/>
      <c r="Q60" s="3"/>
      <c r="R60" s="3"/>
      <c r="S60" s="3"/>
      <c r="T60" s="3"/>
      <c r="U60" s="3"/>
      <c r="V60" s="3"/>
    </row>
    <row r="61" spans="1:22" x14ac:dyDescent="0.3">
      <c r="A61" s="3" t="str">
        <f t="shared" si="0"/>
        <v/>
      </c>
      <c r="B61" s="3"/>
      <c r="C61" s="3"/>
      <c r="D61" s="3"/>
      <c r="E61" s="3" t="s">
        <v>18</v>
      </c>
      <c r="F61" s="3"/>
      <c r="G61" s="3"/>
      <c r="H61" s="3"/>
      <c r="I61" s="3"/>
      <c r="J61" s="3"/>
      <c r="K61" s="3"/>
      <c r="L61" s="3"/>
      <c r="M61" s="3" t="str">
        <f>IF(B61="","","MCQ"&amp;"_"&amp;IFERROR(VLOOKUP(B61,LOOKUPS!$K$2:$L$9,2,FALSE),"UNK")&amp;"_"&amp;IFERROR(VLOOKUP(C61,LOOKUPS!$N$2:$O$8,2,FALSE),"UNK")&amp;"_"&amp;UPPER(L61))</f>
        <v/>
      </c>
      <c r="N61" s="3" t="str">
        <f>IF(M61="","",COUNTIF($M$2:M61,M61))</f>
        <v/>
      </c>
      <c r="O61" s="3"/>
      <c r="P61" s="3"/>
      <c r="Q61" s="3"/>
      <c r="R61" s="3"/>
      <c r="S61" s="3"/>
      <c r="T61" s="3"/>
      <c r="U61" s="3"/>
      <c r="V61" s="3"/>
    </row>
    <row r="62" spans="1:22" x14ac:dyDescent="0.3">
      <c r="A62" s="3" t="str">
        <f t="shared" si="0"/>
        <v/>
      </c>
      <c r="B62" s="3"/>
      <c r="C62" s="3"/>
      <c r="D62" s="3"/>
      <c r="E62" s="3" t="s">
        <v>18</v>
      </c>
      <c r="F62" s="3"/>
      <c r="G62" s="3"/>
      <c r="H62" s="3"/>
      <c r="I62" s="3"/>
      <c r="J62" s="3"/>
      <c r="K62" s="3"/>
      <c r="L62" s="3"/>
      <c r="M62" s="3" t="str">
        <f>IF(B62="","","MCQ"&amp;"_"&amp;IFERROR(VLOOKUP(B62,LOOKUPS!$K$2:$L$9,2,FALSE),"UNK")&amp;"_"&amp;IFERROR(VLOOKUP(C62,LOOKUPS!$N$2:$O$8,2,FALSE),"UNK")&amp;"_"&amp;UPPER(L62))</f>
        <v/>
      </c>
      <c r="N62" s="3" t="str">
        <f>IF(M62="","",COUNTIF($M$2:M62,M62))</f>
        <v/>
      </c>
      <c r="O62" s="3"/>
      <c r="P62" s="3"/>
      <c r="Q62" s="3"/>
      <c r="R62" s="3"/>
      <c r="S62" s="3"/>
      <c r="T62" s="3"/>
      <c r="U62" s="3"/>
      <c r="V62" s="3"/>
    </row>
    <row r="63" spans="1:22" x14ac:dyDescent="0.3">
      <c r="A63" s="3" t="str">
        <f t="shared" si="0"/>
        <v/>
      </c>
      <c r="B63" s="3"/>
      <c r="C63" s="3"/>
      <c r="D63" s="3"/>
      <c r="E63" s="3" t="s">
        <v>18</v>
      </c>
      <c r="F63" s="3"/>
      <c r="G63" s="3"/>
      <c r="H63" s="3"/>
      <c r="I63" s="3"/>
      <c r="J63" s="3"/>
      <c r="K63" s="3"/>
      <c r="L63" s="3"/>
      <c r="M63" s="3" t="str">
        <f>IF(B63="","","MCQ"&amp;"_"&amp;IFERROR(VLOOKUP(B63,LOOKUPS!$K$2:$L$9,2,FALSE),"UNK")&amp;"_"&amp;IFERROR(VLOOKUP(C63,LOOKUPS!$N$2:$O$8,2,FALSE),"UNK")&amp;"_"&amp;UPPER(L63))</f>
        <v/>
      </c>
      <c r="N63" s="3" t="str">
        <f>IF(M63="","",COUNTIF($M$2:M63,M63))</f>
        <v/>
      </c>
      <c r="O63" s="3"/>
      <c r="P63" s="3"/>
      <c r="Q63" s="3"/>
      <c r="R63" s="3"/>
      <c r="S63" s="3"/>
      <c r="T63" s="3"/>
      <c r="U63" s="3"/>
      <c r="V63" s="3"/>
    </row>
    <row r="64" spans="1:22" x14ac:dyDescent="0.3">
      <c r="A64" s="3" t="str">
        <f t="shared" si="0"/>
        <v/>
      </c>
      <c r="B64" s="3"/>
      <c r="C64" s="3"/>
      <c r="D64" s="3"/>
      <c r="E64" s="3" t="s">
        <v>18</v>
      </c>
      <c r="F64" s="3"/>
      <c r="G64" s="3"/>
      <c r="H64" s="3"/>
      <c r="I64" s="3"/>
      <c r="J64" s="3"/>
      <c r="K64" s="3"/>
      <c r="L64" s="3"/>
      <c r="M64" s="3" t="str">
        <f>IF(B64="","","MCQ"&amp;"_"&amp;IFERROR(VLOOKUP(B64,LOOKUPS!$K$2:$L$9,2,FALSE),"UNK")&amp;"_"&amp;IFERROR(VLOOKUP(C64,LOOKUPS!$N$2:$O$8,2,FALSE),"UNK")&amp;"_"&amp;UPPER(L64))</f>
        <v/>
      </c>
      <c r="N64" s="3" t="str">
        <f>IF(M64="","",COUNTIF($M$2:M64,M64))</f>
        <v/>
      </c>
      <c r="O64" s="3"/>
      <c r="P64" s="3"/>
      <c r="Q64" s="3"/>
      <c r="R64" s="3"/>
      <c r="S64" s="3"/>
      <c r="T64" s="3"/>
      <c r="U64" s="3"/>
      <c r="V64" s="3"/>
    </row>
    <row r="65" spans="1:22" x14ac:dyDescent="0.3">
      <c r="A65" s="3" t="str">
        <f t="shared" si="0"/>
        <v/>
      </c>
      <c r="B65" s="3"/>
      <c r="C65" s="3"/>
      <c r="D65" s="3"/>
      <c r="E65" s="3" t="s">
        <v>18</v>
      </c>
      <c r="F65" s="3"/>
      <c r="G65" s="3"/>
      <c r="H65" s="3"/>
      <c r="I65" s="3"/>
      <c r="J65" s="3"/>
      <c r="K65" s="3"/>
      <c r="L65" s="3"/>
      <c r="M65" s="3" t="str">
        <f>IF(B65="","","MCQ"&amp;"_"&amp;IFERROR(VLOOKUP(B65,LOOKUPS!$K$2:$L$9,2,FALSE),"UNK")&amp;"_"&amp;IFERROR(VLOOKUP(C65,LOOKUPS!$N$2:$O$8,2,FALSE),"UNK")&amp;"_"&amp;UPPER(L65))</f>
        <v/>
      </c>
      <c r="N65" s="3" t="str">
        <f>IF(M65="","",COUNTIF($M$2:M65,M65))</f>
        <v/>
      </c>
      <c r="O65" s="3"/>
      <c r="P65" s="3"/>
      <c r="Q65" s="3"/>
      <c r="R65" s="3"/>
      <c r="S65" s="3"/>
      <c r="T65" s="3"/>
      <c r="U65" s="3"/>
      <c r="V65" s="3"/>
    </row>
    <row r="66" spans="1:22" x14ac:dyDescent="0.3">
      <c r="A66" s="3" t="str">
        <f t="shared" si="0"/>
        <v/>
      </c>
      <c r="B66" s="3"/>
      <c r="C66" s="3"/>
      <c r="D66" s="3"/>
      <c r="E66" s="3" t="s">
        <v>18</v>
      </c>
      <c r="F66" s="3"/>
      <c r="G66" s="3"/>
      <c r="H66" s="3"/>
      <c r="I66" s="3"/>
      <c r="J66" s="3"/>
      <c r="K66" s="3"/>
      <c r="L66" s="3"/>
      <c r="M66" s="3" t="str">
        <f>IF(B66="","","MCQ"&amp;"_"&amp;IFERROR(VLOOKUP(B66,LOOKUPS!$K$2:$L$9,2,FALSE),"UNK")&amp;"_"&amp;IFERROR(VLOOKUP(C66,LOOKUPS!$N$2:$O$8,2,FALSE),"UNK")&amp;"_"&amp;UPPER(L66))</f>
        <v/>
      </c>
      <c r="N66" s="3" t="str">
        <f>IF(M66="","",COUNTIF($M$2:M66,M66))</f>
        <v/>
      </c>
      <c r="O66" s="3"/>
      <c r="P66" s="3"/>
      <c r="Q66" s="3"/>
      <c r="R66" s="3"/>
      <c r="S66" s="3"/>
      <c r="T66" s="3"/>
      <c r="U66" s="3"/>
      <c r="V66" s="3"/>
    </row>
    <row r="67" spans="1:22" x14ac:dyDescent="0.3">
      <c r="A67" s="3" t="str">
        <f t="shared" ref="A67:A130" si="1">IF(M67="","",M67&amp;"_"&amp;TEXT(N67,"000"))</f>
        <v/>
      </c>
      <c r="B67" s="3"/>
      <c r="C67" s="3"/>
      <c r="D67" s="3"/>
      <c r="E67" s="3" t="s">
        <v>18</v>
      </c>
      <c r="F67" s="3"/>
      <c r="G67" s="3"/>
      <c r="H67" s="3"/>
      <c r="I67" s="3"/>
      <c r="J67" s="3"/>
      <c r="K67" s="3"/>
      <c r="L67" s="3"/>
      <c r="M67" s="3" t="str">
        <f>IF(B67="","","MCQ"&amp;"_"&amp;IFERROR(VLOOKUP(B67,LOOKUPS!$K$2:$L$9,2,FALSE),"UNK")&amp;"_"&amp;IFERROR(VLOOKUP(C67,LOOKUPS!$N$2:$O$8,2,FALSE),"UNK")&amp;"_"&amp;UPPER(L67))</f>
        <v/>
      </c>
      <c r="N67" s="3" t="str">
        <f>IF(M67="","",COUNTIF($M$2:M67,M67))</f>
        <v/>
      </c>
      <c r="O67" s="3"/>
      <c r="P67" s="3"/>
      <c r="Q67" s="3"/>
      <c r="R67" s="3"/>
      <c r="S67" s="3"/>
      <c r="T67" s="3"/>
      <c r="U67" s="3"/>
      <c r="V67" s="3"/>
    </row>
    <row r="68" spans="1:22" x14ac:dyDescent="0.3">
      <c r="A68" s="3" t="str">
        <f t="shared" si="1"/>
        <v/>
      </c>
      <c r="B68" s="3"/>
      <c r="C68" s="3"/>
      <c r="D68" s="3"/>
      <c r="E68" s="3" t="s">
        <v>18</v>
      </c>
      <c r="F68" s="3"/>
      <c r="G68" s="3"/>
      <c r="H68" s="3"/>
      <c r="I68" s="3"/>
      <c r="J68" s="3"/>
      <c r="K68" s="3"/>
      <c r="L68" s="3"/>
      <c r="M68" s="3" t="str">
        <f>IF(B68="","","MCQ"&amp;"_"&amp;IFERROR(VLOOKUP(B68,LOOKUPS!$K$2:$L$9,2,FALSE),"UNK")&amp;"_"&amp;IFERROR(VLOOKUP(C68,LOOKUPS!$N$2:$O$8,2,FALSE),"UNK")&amp;"_"&amp;UPPER(L68))</f>
        <v/>
      </c>
      <c r="N68" s="3" t="str">
        <f>IF(M68="","",COUNTIF($M$2:M68,M68))</f>
        <v/>
      </c>
      <c r="O68" s="3"/>
      <c r="P68" s="3"/>
      <c r="Q68" s="3"/>
      <c r="R68" s="3"/>
      <c r="S68" s="3"/>
      <c r="T68" s="3"/>
      <c r="U68" s="3"/>
      <c r="V68" s="3"/>
    </row>
    <row r="69" spans="1:22" x14ac:dyDescent="0.3">
      <c r="A69" s="3" t="str">
        <f t="shared" si="1"/>
        <v/>
      </c>
      <c r="B69" s="3"/>
      <c r="C69" s="3"/>
      <c r="D69" s="3"/>
      <c r="E69" s="3" t="s">
        <v>18</v>
      </c>
      <c r="F69" s="3"/>
      <c r="G69" s="3"/>
      <c r="H69" s="3"/>
      <c r="I69" s="3"/>
      <c r="J69" s="3"/>
      <c r="K69" s="3"/>
      <c r="L69" s="3"/>
      <c r="M69" s="3" t="str">
        <f>IF(B69="","","MCQ"&amp;"_"&amp;IFERROR(VLOOKUP(B69,LOOKUPS!$K$2:$L$9,2,FALSE),"UNK")&amp;"_"&amp;IFERROR(VLOOKUP(C69,LOOKUPS!$N$2:$O$8,2,FALSE),"UNK")&amp;"_"&amp;UPPER(L69))</f>
        <v/>
      </c>
      <c r="N69" s="3" t="str">
        <f>IF(M69="","",COUNTIF($M$2:M69,M69))</f>
        <v/>
      </c>
      <c r="O69" s="3"/>
      <c r="P69" s="3"/>
      <c r="Q69" s="3"/>
      <c r="R69" s="3"/>
      <c r="S69" s="3"/>
      <c r="T69" s="3"/>
      <c r="U69" s="3"/>
      <c r="V69" s="3"/>
    </row>
    <row r="70" spans="1:22" x14ac:dyDescent="0.3">
      <c r="A70" s="3" t="str">
        <f t="shared" si="1"/>
        <v/>
      </c>
      <c r="B70" s="3"/>
      <c r="C70" s="3"/>
      <c r="D70" s="3"/>
      <c r="E70" s="3" t="s">
        <v>18</v>
      </c>
      <c r="F70" s="3"/>
      <c r="G70" s="3"/>
      <c r="H70" s="3"/>
      <c r="I70" s="3"/>
      <c r="J70" s="3"/>
      <c r="K70" s="3"/>
      <c r="L70" s="3"/>
      <c r="M70" s="3" t="str">
        <f>IF(B70="","","MCQ"&amp;"_"&amp;IFERROR(VLOOKUP(B70,LOOKUPS!$K$2:$L$9,2,FALSE),"UNK")&amp;"_"&amp;IFERROR(VLOOKUP(C70,LOOKUPS!$N$2:$O$8,2,FALSE),"UNK")&amp;"_"&amp;UPPER(L70))</f>
        <v/>
      </c>
      <c r="N70" s="3" t="str">
        <f>IF(M70="","",COUNTIF($M$2:M70,M70))</f>
        <v/>
      </c>
      <c r="O70" s="3"/>
      <c r="P70" s="3"/>
      <c r="Q70" s="3"/>
      <c r="R70" s="3"/>
      <c r="S70" s="3"/>
      <c r="T70" s="3"/>
      <c r="U70" s="3"/>
      <c r="V70" s="3"/>
    </row>
    <row r="71" spans="1:22" x14ac:dyDescent="0.3">
      <c r="A71" s="3" t="str">
        <f t="shared" si="1"/>
        <v/>
      </c>
      <c r="B71" s="3"/>
      <c r="C71" s="3"/>
      <c r="D71" s="3"/>
      <c r="E71" s="3" t="s">
        <v>18</v>
      </c>
      <c r="F71" s="3"/>
      <c r="G71" s="3"/>
      <c r="H71" s="3"/>
      <c r="I71" s="3"/>
      <c r="J71" s="3"/>
      <c r="K71" s="3"/>
      <c r="L71" s="3"/>
      <c r="M71" s="3" t="str">
        <f>IF(B71="","","MCQ"&amp;"_"&amp;IFERROR(VLOOKUP(B71,LOOKUPS!$K$2:$L$9,2,FALSE),"UNK")&amp;"_"&amp;IFERROR(VLOOKUP(C71,LOOKUPS!$N$2:$O$8,2,FALSE),"UNK")&amp;"_"&amp;UPPER(L71))</f>
        <v/>
      </c>
      <c r="N71" s="3" t="str">
        <f>IF(M71="","",COUNTIF($M$2:M71,M71))</f>
        <v/>
      </c>
      <c r="O71" s="3"/>
      <c r="P71" s="3"/>
      <c r="Q71" s="3"/>
      <c r="R71" s="3"/>
      <c r="S71" s="3"/>
      <c r="T71" s="3"/>
      <c r="U71" s="3"/>
      <c r="V71" s="3"/>
    </row>
    <row r="72" spans="1:22" x14ac:dyDescent="0.3">
      <c r="A72" s="3" t="str">
        <f t="shared" si="1"/>
        <v/>
      </c>
      <c r="B72" s="3"/>
      <c r="C72" s="3"/>
      <c r="D72" s="3"/>
      <c r="E72" s="3" t="s">
        <v>18</v>
      </c>
      <c r="F72" s="3"/>
      <c r="G72" s="3"/>
      <c r="H72" s="3"/>
      <c r="I72" s="3"/>
      <c r="J72" s="3"/>
      <c r="K72" s="3"/>
      <c r="L72" s="3"/>
      <c r="M72" s="3" t="str">
        <f>IF(B72="","","MCQ"&amp;"_"&amp;IFERROR(VLOOKUP(B72,LOOKUPS!$K$2:$L$9,2,FALSE),"UNK")&amp;"_"&amp;IFERROR(VLOOKUP(C72,LOOKUPS!$N$2:$O$8,2,FALSE),"UNK")&amp;"_"&amp;UPPER(L72))</f>
        <v/>
      </c>
      <c r="N72" s="3" t="str">
        <f>IF(M72="","",COUNTIF($M$2:M72,M72))</f>
        <v/>
      </c>
      <c r="O72" s="3"/>
      <c r="P72" s="3"/>
      <c r="Q72" s="3"/>
      <c r="R72" s="3"/>
      <c r="S72" s="3"/>
      <c r="T72" s="3"/>
      <c r="U72" s="3"/>
      <c r="V72" s="3"/>
    </row>
    <row r="73" spans="1:22" x14ac:dyDescent="0.3">
      <c r="A73" s="3" t="str">
        <f t="shared" si="1"/>
        <v/>
      </c>
      <c r="B73" s="3"/>
      <c r="C73" s="3"/>
      <c r="D73" s="3"/>
      <c r="E73" s="3" t="s">
        <v>18</v>
      </c>
      <c r="F73" s="3"/>
      <c r="G73" s="3"/>
      <c r="H73" s="3"/>
      <c r="I73" s="3"/>
      <c r="J73" s="3"/>
      <c r="K73" s="3"/>
      <c r="L73" s="3"/>
      <c r="M73" s="3" t="str">
        <f>IF(B73="","","MCQ"&amp;"_"&amp;IFERROR(VLOOKUP(B73,LOOKUPS!$K$2:$L$9,2,FALSE),"UNK")&amp;"_"&amp;IFERROR(VLOOKUP(C73,LOOKUPS!$N$2:$O$8,2,FALSE),"UNK")&amp;"_"&amp;UPPER(L73))</f>
        <v/>
      </c>
      <c r="N73" s="3" t="str">
        <f>IF(M73="","",COUNTIF($M$2:M73,M73))</f>
        <v/>
      </c>
      <c r="O73" s="3"/>
      <c r="P73" s="3"/>
      <c r="Q73" s="3"/>
      <c r="R73" s="3"/>
      <c r="S73" s="3"/>
      <c r="T73" s="3"/>
      <c r="U73" s="3"/>
      <c r="V73" s="3"/>
    </row>
    <row r="74" spans="1:22" x14ac:dyDescent="0.3">
      <c r="A74" s="3" t="str">
        <f t="shared" si="1"/>
        <v/>
      </c>
      <c r="B74" s="3"/>
      <c r="C74" s="3"/>
      <c r="D74" s="3"/>
      <c r="E74" s="3" t="s">
        <v>18</v>
      </c>
      <c r="F74" s="3"/>
      <c r="G74" s="3"/>
      <c r="H74" s="3"/>
      <c r="I74" s="3"/>
      <c r="J74" s="3"/>
      <c r="K74" s="3"/>
      <c r="L74" s="3"/>
      <c r="M74" s="3" t="str">
        <f>IF(B74="","","MCQ"&amp;"_"&amp;IFERROR(VLOOKUP(B74,LOOKUPS!$K$2:$L$9,2,FALSE),"UNK")&amp;"_"&amp;IFERROR(VLOOKUP(C74,LOOKUPS!$N$2:$O$8,2,FALSE),"UNK")&amp;"_"&amp;UPPER(L74))</f>
        <v/>
      </c>
      <c r="N74" s="3" t="str">
        <f>IF(M74="","",COUNTIF($M$2:M74,M74))</f>
        <v/>
      </c>
      <c r="O74" s="3"/>
      <c r="P74" s="3"/>
      <c r="Q74" s="3"/>
      <c r="R74" s="3"/>
      <c r="S74" s="3"/>
      <c r="T74" s="3"/>
      <c r="U74" s="3"/>
      <c r="V74" s="3"/>
    </row>
    <row r="75" spans="1:22" x14ac:dyDescent="0.3">
      <c r="A75" s="3" t="str">
        <f t="shared" si="1"/>
        <v/>
      </c>
      <c r="B75" s="3"/>
      <c r="C75" s="3"/>
      <c r="D75" s="3"/>
      <c r="E75" s="3" t="s">
        <v>18</v>
      </c>
      <c r="F75" s="3"/>
      <c r="G75" s="3"/>
      <c r="H75" s="3"/>
      <c r="I75" s="3"/>
      <c r="J75" s="3"/>
      <c r="K75" s="3"/>
      <c r="L75" s="3"/>
      <c r="M75" s="3" t="str">
        <f>IF(B75="","","MCQ"&amp;"_"&amp;IFERROR(VLOOKUP(B75,LOOKUPS!$K$2:$L$9,2,FALSE),"UNK")&amp;"_"&amp;IFERROR(VLOOKUP(C75,LOOKUPS!$N$2:$O$8,2,FALSE),"UNK")&amp;"_"&amp;UPPER(L75))</f>
        <v/>
      </c>
      <c r="N75" s="3" t="str">
        <f>IF(M75="","",COUNTIF($M$2:M75,M75))</f>
        <v/>
      </c>
      <c r="O75" s="3"/>
      <c r="P75" s="3"/>
      <c r="Q75" s="3"/>
      <c r="R75" s="3"/>
      <c r="S75" s="3"/>
      <c r="T75" s="3"/>
      <c r="U75" s="3"/>
      <c r="V75" s="3"/>
    </row>
    <row r="76" spans="1:22" x14ac:dyDescent="0.3">
      <c r="A76" s="3" t="str">
        <f t="shared" si="1"/>
        <v/>
      </c>
      <c r="B76" s="3"/>
      <c r="C76" s="3"/>
      <c r="D76" s="3"/>
      <c r="E76" s="3" t="s">
        <v>18</v>
      </c>
      <c r="F76" s="3"/>
      <c r="G76" s="3"/>
      <c r="H76" s="3"/>
      <c r="I76" s="3"/>
      <c r="J76" s="3"/>
      <c r="K76" s="3"/>
      <c r="L76" s="3"/>
      <c r="M76" s="3" t="str">
        <f>IF(B76="","","MCQ"&amp;"_"&amp;IFERROR(VLOOKUP(B76,LOOKUPS!$K$2:$L$9,2,FALSE),"UNK")&amp;"_"&amp;IFERROR(VLOOKUP(C76,LOOKUPS!$N$2:$O$8,2,FALSE),"UNK")&amp;"_"&amp;UPPER(L76))</f>
        <v/>
      </c>
      <c r="N76" s="3" t="str">
        <f>IF(M76="","",COUNTIF($M$2:M76,M76))</f>
        <v/>
      </c>
      <c r="O76" s="3"/>
      <c r="P76" s="3"/>
      <c r="Q76" s="3"/>
      <c r="R76" s="3"/>
      <c r="S76" s="3"/>
      <c r="T76" s="3"/>
      <c r="U76" s="3"/>
      <c r="V76" s="3"/>
    </row>
    <row r="77" spans="1:22" x14ac:dyDescent="0.3">
      <c r="A77" s="3" t="str">
        <f t="shared" si="1"/>
        <v/>
      </c>
      <c r="B77" s="3"/>
      <c r="C77" s="3"/>
      <c r="D77" s="3"/>
      <c r="E77" s="3" t="s">
        <v>18</v>
      </c>
      <c r="F77" s="3"/>
      <c r="G77" s="3"/>
      <c r="H77" s="3"/>
      <c r="I77" s="3"/>
      <c r="J77" s="3"/>
      <c r="K77" s="3"/>
      <c r="L77" s="3"/>
      <c r="M77" s="3" t="str">
        <f>IF(B77="","","MCQ"&amp;"_"&amp;IFERROR(VLOOKUP(B77,LOOKUPS!$K$2:$L$9,2,FALSE),"UNK")&amp;"_"&amp;IFERROR(VLOOKUP(C77,LOOKUPS!$N$2:$O$8,2,FALSE),"UNK")&amp;"_"&amp;UPPER(L77))</f>
        <v/>
      </c>
      <c r="N77" s="3" t="str">
        <f>IF(M77="","",COUNTIF($M$2:M77,M77))</f>
        <v/>
      </c>
      <c r="O77" s="3"/>
      <c r="P77" s="3"/>
      <c r="Q77" s="3"/>
      <c r="R77" s="3"/>
      <c r="S77" s="3"/>
      <c r="T77" s="3"/>
      <c r="U77" s="3"/>
      <c r="V77" s="3"/>
    </row>
    <row r="78" spans="1:22" x14ac:dyDescent="0.3">
      <c r="A78" s="3" t="str">
        <f t="shared" si="1"/>
        <v/>
      </c>
      <c r="B78" s="3"/>
      <c r="C78" s="3"/>
      <c r="D78" s="3"/>
      <c r="E78" s="3" t="s">
        <v>18</v>
      </c>
      <c r="F78" s="3"/>
      <c r="G78" s="3"/>
      <c r="H78" s="3"/>
      <c r="I78" s="3"/>
      <c r="J78" s="3"/>
      <c r="K78" s="3"/>
      <c r="L78" s="3"/>
      <c r="M78" s="3" t="str">
        <f>IF(B78="","","MCQ"&amp;"_"&amp;IFERROR(VLOOKUP(B78,LOOKUPS!$K$2:$L$9,2,FALSE),"UNK")&amp;"_"&amp;IFERROR(VLOOKUP(C78,LOOKUPS!$N$2:$O$8,2,FALSE),"UNK")&amp;"_"&amp;UPPER(L78))</f>
        <v/>
      </c>
      <c r="N78" s="3" t="str">
        <f>IF(M78="","",COUNTIF($M$2:M78,M78))</f>
        <v/>
      </c>
      <c r="O78" s="3"/>
      <c r="P78" s="3"/>
      <c r="Q78" s="3"/>
      <c r="R78" s="3"/>
      <c r="S78" s="3"/>
      <c r="T78" s="3"/>
      <c r="U78" s="3"/>
      <c r="V78" s="3"/>
    </row>
    <row r="79" spans="1:22" x14ac:dyDescent="0.3">
      <c r="A79" s="3" t="str">
        <f t="shared" si="1"/>
        <v/>
      </c>
      <c r="B79" s="3"/>
      <c r="C79" s="3"/>
      <c r="D79" s="3"/>
      <c r="E79" s="3" t="s">
        <v>18</v>
      </c>
      <c r="F79" s="3"/>
      <c r="G79" s="3"/>
      <c r="H79" s="3"/>
      <c r="I79" s="3"/>
      <c r="J79" s="3"/>
      <c r="K79" s="3"/>
      <c r="L79" s="3"/>
      <c r="M79" s="3" t="str">
        <f>IF(B79="","","MCQ"&amp;"_"&amp;IFERROR(VLOOKUP(B79,LOOKUPS!$K$2:$L$9,2,FALSE),"UNK")&amp;"_"&amp;IFERROR(VLOOKUP(C79,LOOKUPS!$N$2:$O$8,2,FALSE),"UNK")&amp;"_"&amp;UPPER(L79))</f>
        <v/>
      </c>
      <c r="N79" s="3" t="str">
        <f>IF(M79="","",COUNTIF($M$2:M79,M79))</f>
        <v/>
      </c>
      <c r="O79" s="3"/>
      <c r="P79" s="3"/>
      <c r="Q79" s="3"/>
      <c r="R79" s="3"/>
      <c r="S79" s="3"/>
      <c r="T79" s="3"/>
      <c r="U79" s="3"/>
      <c r="V79" s="3"/>
    </row>
    <row r="80" spans="1:22" x14ac:dyDescent="0.3">
      <c r="A80" s="3" t="str">
        <f t="shared" si="1"/>
        <v/>
      </c>
      <c r="B80" s="3"/>
      <c r="C80" s="3"/>
      <c r="D80" s="3"/>
      <c r="E80" s="3" t="s">
        <v>18</v>
      </c>
      <c r="F80" s="3"/>
      <c r="G80" s="3"/>
      <c r="H80" s="3"/>
      <c r="I80" s="3"/>
      <c r="J80" s="3"/>
      <c r="K80" s="3"/>
      <c r="L80" s="3"/>
      <c r="M80" s="3" t="str">
        <f>IF(B80="","","MCQ"&amp;"_"&amp;IFERROR(VLOOKUP(B80,LOOKUPS!$K$2:$L$9,2,FALSE),"UNK")&amp;"_"&amp;IFERROR(VLOOKUP(C80,LOOKUPS!$N$2:$O$8,2,FALSE),"UNK")&amp;"_"&amp;UPPER(L80))</f>
        <v/>
      </c>
      <c r="N80" s="3" t="str">
        <f>IF(M80="","",COUNTIF($M$2:M80,M80))</f>
        <v/>
      </c>
      <c r="O80" s="3"/>
      <c r="P80" s="3"/>
      <c r="Q80" s="3"/>
      <c r="R80" s="3"/>
      <c r="S80" s="3"/>
      <c r="T80" s="3"/>
      <c r="U80" s="3"/>
      <c r="V80" s="3"/>
    </row>
    <row r="81" spans="1:22" x14ac:dyDescent="0.3">
      <c r="A81" s="3" t="str">
        <f t="shared" si="1"/>
        <v/>
      </c>
      <c r="B81" s="3"/>
      <c r="C81" s="3"/>
      <c r="D81" s="3"/>
      <c r="E81" s="3" t="s">
        <v>18</v>
      </c>
      <c r="F81" s="3"/>
      <c r="G81" s="3"/>
      <c r="H81" s="3"/>
      <c r="I81" s="3"/>
      <c r="J81" s="3"/>
      <c r="K81" s="3"/>
      <c r="L81" s="3"/>
      <c r="M81" s="3" t="str">
        <f>IF(B81="","","MCQ"&amp;"_"&amp;IFERROR(VLOOKUP(B81,LOOKUPS!$K$2:$L$9,2,FALSE),"UNK")&amp;"_"&amp;IFERROR(VLOOKUP(C81,LOOKUPS!$N$2:$O$8,2,FALSE),"UNK")&amp;"_"&amp;UPPER(L81))</f>
        <v/>
      </c>
      <c r="N81" s="3" t="str">
        <f>IF(M81="","",COUNTIF($M$2:M81,M81))</f>
        <v/>
      </c>
      <c r="O81" s="3"/>
      <c r="P81" s="3"/>
      <c r="Q81" s="3"/>
      <c r="R81" s="3"/>
      <c r="S81" s="3"/>
      <c r="T81" s="3"/>
      <c r="U81" s="3"/>
      <c r="V81" s="3"/>
    </row>
    <row r="82" spans="1:22" x14ac:dyDescent="0.3">
      <c r="A82" s="3" t="str">
        <f t="shared" si="1"/>
        <v/>
      </c>
      <c r="B82" s="3"/>
      <c r="C82" s="3"/>
      <c r="D82" s="3"/>
      <c r="E82" s="3" t="s">
        <v>18</v>
      </c>
      <c r="F82" s="3"/>
      <c r="G82" s="3"/>
      <c r="H82" s="3"/>
      <c r="I82" s="3"/>
      <c r="J82" s="3"/>
      <c r="K82" s="3"/>
      <c r="L82" s="3"/>
      <c r="M82" s="3" t="str">
        <f>IF(B82="","","MCQ"&amp;"_"&amp;IFERROR(VLOOKUP(B82,LOOKUPS!$K$2:$L$9,2,FALSE),"UNK")&amp;"_"&amp;IFERROR(VLOOKUP(C82,LOOKUPS!$N$2:$O$8,2,FALSE),"UNK")&amp;"_"&amp;UPPER(L82))</f>
        <v/>
      </c>
      <c r="N82" s="3" t="str">
        <f>IF(M82="","",COUNTIF($M$2:M82,M82))</f>
        <v/>
      </c>
      <c r="O82" s="3"/>
      <c r="P82" s="3"/>
      <c r="Q82" s="3"/>
      <c r="R82" s="3"/>
      <c r="S82" s="3"/>
      <c r="T82" s="3"/>
      <c r="U82" s="3"/>
      <c r="V82" s="3"/>
    </row>
    <row r="83" spans="1:22" x14ac:dyDescent="0.3">
      <c r="A83" s="3" t="str">
        <f t="shared" si="1"/>
        <v/>
      </c>
      <c r="B83" s="3"/>
      <c r="C83" s="3"/>
      <c r="D83" s="3"/>
      <c r="E83" s="3" t="s">
        <v>18</v>
      </c>
      <c r="F83" s="3"/>
      <c r="G83" s="3"/>
      <c r="H83" s="3"/>
      <c r="I83" s="3"/>
      <c r="J83" s="3"/>
      <c r="K83" s="3"/>
      <c r="L83" s="3"/>
      <c r="M83" s="3" t="str">
        <f>IF(B83="","","MCQ"&amp;"_"&amp;IFERROR(VLOOKUP(B83,LOOKUPS!$K$2:$L$9,2,FALSE),"UNK")&amp;"_"&amp;IFERROR(VLOOKUP(C83,LOOKUPS!$N$2:$O$8,2,FALSE),"UNK")&amp;"_"&amp;UPPER(L83))</f>
        <v/>
      </c>
      <c r="N83" s="3" t="str">
        <f>IF(M83="","",COUNTIF($M$2:M83,M83))</f>
        <v/>
      </c>
      <c r="O83" s="3"/>
      <c r="P83" s="3"/>
      <c r="Q83" s="3"/>
      <c r="R83" s="3"/>
      <c r="S83" s="3"/>
      <c r="T83" s="3"/>
      <c r="U83" s="3"/>
      <c r="V83" s="3"/>
    </row>
    <row r="84" spans="1:22" x14ac:dyDescent="0.3">
      <c r="A84" s="3" t="str">
        <f t="shared" si="1"/>
        <v/>
      </c>
      <c r="B84" s="3"/>
      <c r="C84" s="3"/>
      <c r="D84" s="3"/>
      <c r="E84" s="3" t="s">
        <v>18</v>
      </c>
      <c r="F84" s="3"/>
      <c r="G84" s="3"/>
      <c r="H84" s="3"/>
      <c r="I84" s="3"/>
      <c r="J84" s="3"/>
      <c r="K84" s="3"/>
      <c r="L84" s="3"/>
      <c r="M84" s="3" t="str">
        <f>IF(B84="","","MCQ"&amp;"_"&amp;IFERROR(VLOOKUP(B84,LOOKUPS!$K$2:$L$9,2,FALSE),"UNK")&amp;"_"&amp;IFERROR(VLOOKUP(C84,LOOKUPS!$N$2:$O$8,2,FALSE),"UNK")&amp;"_"&amp;UPPER(L84))</f>
        <v/>
      </c>
      <c r="N84" s="3" t="str">
        <f>IF(M84="","",COUNTIF($M$2:M84,M84))</f>
        <v/>
      </c>
      <c r="O84" s="3"/>
      <c r="P84" s="3"/>
      <c r="Q84" s="3"/>
      <c r="R84" s="3"/>
      <c r="S84" s="3"/>
      <c r="T84" s="3"/>
      <c r="U84" s="3"/>
      <c r="V84" s="3"/>
    </row>
    <row r="85" spans="1:22" x14ac:dyDescent="0.3">
      <c r="A85" s="3" t="str">
        <f t="shared" si="1"/>
        <v/>
      </c>
      <c r="B85" s="3"/>
      <c r="C85" s="3"/>
      <c r="D85" s="3"/>
      <c r="E85" s="3" t="s">
        <v>18</v>
      </c>
      <c r="F85" s="3"/>
      <c r="G85" s="3"/>
      <c r="H85" s="3"/>
      <c r="I85" s="3"/>
      <c r="J85" s="3"/>
      <c r="K85" s="3"/>
      <c r="L85" s="3"/>
      <c r="M85" s="3" t="str">
        <f>IF(B85="","","MCQ"&amp;"_"&amp;IFERROR(VLOOKUP(B85,LOOKUPS!$K$2:$L$9,2,FALSE),"UNK")&amp;"_"&amp;IFERROR(VLOOKUP(C85,LOOKUPS!$N$2:$O$8,2,FALSE),"UNK")&amp;"_"&amp;UPPER(L85))</f>
        <v/>
      </c>
      <c r="N85" s="3" t="str">
        <f>IF(M85="","",COUNTIF($M$2:M85,M85))</f>
        <v/>
      </c>
      <c r="O85" s="3"/>
      <c r="P85" s="3"/>
      <c r="Q85" s="3"/>
      <c r="R85" s="3"/>
      <c r="S85" s="3"/>
      <c r="T85" s="3"/>
      <c r="U85" s="3"/>
      <c r="V85" s="3"/>
    </row>
    <row r="86" spans="1:22" x14ac:dyDescent="0.3">
      <c r="A86" s="3" t="str">
        <f t="shared" si="1"/>
        <v/>
      </c>
      <c r="B86" s="3"/>
      <c r="C86" s="3"/>
      <c r="D86" s="3"/>
      <c r="E86" s="3" t="s">
        <v>18</v>
      </c>
      <c r="F86" s="3"/>
      <c r="G86" s="3"/>
      <c r="H86" s="3"/>
      <c r="I86" s="3"/>
      <c r="J86" s="3"/>
      <c r="K86" s="3"/>
      <c r="L86" s="3"/>
      <c r="M86" s="3" t="str">
        <f>IF(B86="","","MCQ"&amp;"_"&amp;IFERROR(VLOOKUP(B86,LOOKUPS!$K$2:$L$9,2,FALSE),"UNK")&amp;"_"&amp;IFERROR(VLOOKUP(C86,LOOKUPS!$N$2:$O$8,2,FALSE),"UNK")&amp;"_"&amp;UPPER(L86))</f>
        <v/>
      </c>
      <c r="N86" s="3" t="str">
        <f>IF(M86="","",COUNTIF($M$2:M86,M86))</f>
        <v/>
      </c>
      <c r="O86" s="3"/>
      <c r="P86" s="3"/>
      <c r="Q86" s="3"/>
      <c r="R86" s="3"/>
      <c r="S86" s="3"/>
      <c r="T86" s="3"/>
      <c r="U86" s="3"/>
      <c r="V86" s="3"/>
    </row>
    <row r="87" spans="1:22" x14ac:dyDescent="0.3">
      <c r="A87" s="3" t="str">
        <f t="shared" si="1"/>
        <v/>
      </c>
      <c r="B87" s="3"/>
      <c r="C87" s="3"/>
      <c r="D87" s="3"/>
      <c r="E87" s="3" t="s">
        <v>18</v>
      </c>
      <c r="F87" s="3"/>
      <c r="G87" s="3"/>
      <c r="H87" s="3"/>
      <c r="I87" s="3"/>
      <c r="J87" s="3"/>
      <c r="K87" s="3"/>
      <c r="L87" s="3"/>
      <c r="M87" s="3" t="str">
        <f>IF(B87="","","MCQ"&amp;"_"&amp;IFERROR(VLOOKUP(B87,LOOKUPS!$K$2:$L$9,2,FALSE),"UNK")&amp;"_"&amp;IFERROR(VLOOKUP(C87,LOOKUPS!$N$2:$O$8,2,FALSE),"UNK")&amp;"_"&amp;UPPER(L87))</f>
        <v/>
      </c>
      <c r="N87" s="3" t="str">
        <f>IF(M87="","",COUNTIF($M$2:M87,M87))</f>
        <v/>
      </c>
      <c r="O87" s="3"/>
      <c r="P87" s="3"/>
      <c r="Q87" s="3"/>
      <c r="R87" s="3"/>
      <c r="S87" s="3"/>
      <c r="T87" s="3"/>
      <c r="U87" s="3"/>
      <c r="V87" s="3"/>
    </row>
    <row r="88" spans="1:22" x14ac:dyDescent="0.3">
      <c r="A88" s="3" t="str">
        <f t="shared" si="1"/>
        <v/>
      </c>
      <c r="B88" s="3"/>
      <c r="C88" s="3"/>
      <c r="D88" s="3"/>
      <c r="E88" s="3" t="s">
        <v>18</v>
      </c>
      <c r="F88" s="3"/>
      <c r="G88" s="3"/>
      <c r="H88" s="3"/>
      <c r="I88" s="3"/>
      <c r="J88" s="3"/>
      <c r="K88" s="3"/>
      <c r="L88" s="3"/>
      <c r="M88" s="3" t="str">
        <f>IF(B88="","","MCQ"&amp;"_"&amp;IFERROR(VLOOKUP(B88,LOOKUPS!$K$2:$L$9,2,FALSE),"UNK")&amp;"_"&amp;IFERROR(VLOOKUP(C88,LOOKUPS!$N$2:$O$8,2,FALSE),"UNK")&amp;"_"&amp;UPPER(L88))</f>
        <v/>
      </c>
      <c r="N88" s="3" t="str">
        <f>IF(M88="","",COUNTIF($M$2:M88,M88))</f>
        <v/>
      </c>
      <c r="O88" s="3"/>
      <c r="P88" s="3"/>
      <c r="Q88" s="3"/>
      <c r="R88" s="3"/>
      <c r="S88" s="3"/>
      <c r="T88" s="3"/>
      <c r="U88" s="3"/>
      <c r="V88" s="3"/>
    </row>
    <row r="89" spans="1:22" x14ac:dyDescent="0.3">
      <c r="A89" s="3" t="str">
        <f t="shared" si="1"/>
        <v/>
      </c>
      <c r="B89" s="3"/>
      <c r="C89" s="3"/>
      <c r="D89" s="3"/>
      <c r="E89" s="3" t="s">
        <v>18</v>
      </c>
      <c r="F89" s="3"/>
      <c r="G89" s="3"/>
      <c r="H89" s="3"/>
      <c r="I89" s="3"/>
      <c r="J89" s="3"/>
      <c r="K89" s="3"/>
      <c r="L89" s="3"/>
      <c r="M89" s="3" t="str">
        <f>IF(B89="","","MCQ"&amp;"_"&amp;IFERROR(VLOOKUP(B89,LOOKUPS!$K$2:$L$9,2,FALSE),"UNK")&amp;"_"&amp;IFERROR(VLOOKUP(C89,LOOKUPS!$N$2:$O$8,2,FALSE),"UNK")&amp;"_"&amp;UPPER(L89))</f>
        <v/>
      </c>
      <c r="N89" s="3" t="str">
        <f>IF(M89="","",COUNTIF($M$2:M89,M89))</f>
        <v/>
      </c>
      <c r="O89" s="3"/>
      <c r="P89" s="3"/>
      <c r="Q89" s="3"/>
      <c r="R89" s="3"/>
      <c r="S89" s="3"/>
      <c r="T89" s="3"/>
      <c r="U89" s="3"/>
      <c r="V89" s="3"/>
    </row>
    <row r="90" spans="1:22" x14ac:dyDescent="0.3">
      <c r="A90" s="3" t="str">
        <f t="shared" si="1"/>
        <v/>
      </c>
      <c r="B90" s="3"/>
      <c r="C90" s="3"/>
      <c r="D90" s="3"/>
      <c r="E90" s="3" t="s">
        <v>18</v>
      </c>
      <c r="F90" s="3"/>
      <c r="G90" s="3"/>
      <c r="H90" s="3"/>
      <c r="I90" s="3"/>
      <c r="J90" s="3"/>
      <c r="K90" s="3"/>
      <c r="L90" s="3"/>
      <c r="M90" s="3" t="str">
        <f>IF(B90="","","MCQ"&amp;"_"&amp;IFERROR(VLOOKUP(B90,LOOKUPS!$K$2:$L$9,2,FALSE),"UNK")&amp;"_"&amp;IFERROR(VLOOKUP(C90,LOOKUPS!$N$2:$O$8,2,FALSE),"UNK")&amp;"_"&amp;UPPER(L90))</f>
        <v/>
      </c>
      <c r="N90" s="3" t="str">
        <f>IF(M90="","",COUNTIF($M$2:M90,M90))</f>
        <v/>
      </c>
      <c r="O90" s="3"/>
      <c r="P90" s="3"/>
      <c r="Q90" s="3"/>
      <c r="R90" s="3"/>
      <c r="S90" s="3"/>
      <c r="T90" s="3"/>
      <c r="U90" s="3"/>
      <c r="V90" s="3"/>
    </row>
    <row r="91" spans="1:22" x14ac:dyDescent="0.3">
      <c r="A91" s="3" t="str">
        <f t="shared" si="1"/>
        <v/>
      </c>
      <c r="B91" s="3"/>
      <c r="C91" s="3"/>
      <c r="D91" s="3"/>
      <c r="E91" s="3" t="s">
        <v>18</v>
      </c>
      <c r="F91" s="3"/>
      <c r="G91" s="3"/>
      <c r="H91" s="3"/>
      <c r="I91" s="3"/>
      <c r="J91" s="3"/>
      <c r="K91" s="3"/>
      <c r="L91" s="3"/>
      <c r="M91" s="3" t="str">
        <f>IF(B91="","","MCQ"&amp;"_"&amp;IFERROR(VLOOKUP(B91,LOOKUPS!$K$2:$L$9,2,FALSE),"UNK")&amp;"_"&amp;IFERROR(VLOOKUP(C91,LOOKUPS!$N$2:$O$8,2,FALSE),"UNK")&amp;"_"&amp;UPPER(L91))</f>
        <v/>
      </c>
      <c r="N91" s="3" t="str">
        <f>IF(M91="","",COUNTIF($M$2:M91,M91))</f>
        <v/>
      </c>
      <c r="O91" s="3"/>
      <c r="P91" s="3"/>
      <c r="Q91" s="3"/>
      <c r="R91" s="3"/>
      <c r="S91" s="3"/>
      <c r="T91" s="3"/>
      <c r="U91" s="3"/>
      <c r="V91" s="3"/>
    </row>
    <row r="92" spans="1:22" x14ac:dyDescent="0.3">
      <c r="A92" s="3" t="str">
        <f t="shared" si="1"/>
        <v/>
      </c>
      <c r="B92" s="3"/>
      <c r="C92" s="3"/>
      <c r="D92" s="3"/>
      <c r="E92" s="3" t="s">
        <v>18</v>
      </c>
      <c r="F92" s="3"/>
      <c r="G92" s="3"/>
      <c r="H92" s="3"/>
      <c r="I92" s="3"/>
      <c r="J92" s="3"/>
      <c r="K92" s="3"/>
      <c r="L92" s="3"/>
      <c r="M92" s="3" t="str">
        <f>IF(B92="","","MCQ"&amp;"_"&amp;IFERROR(VLOOKUP(B92,LOOKUPS!$K$2:$L$9,2,FALSE),"UNK")&amp;"_"&amp;IFERROR(VLOOKUP(C92,LOOKUPS!$N$2:$O$8,2,FALSE),"UNK")&amp;"_"&amp;UPPER(L92))</f>
        <v/>
      </c>
      <c r="N92" s="3" t="str">
        <f>IF(M92="","",COUNTIF($M$2:M92,M92))</f>
        <v/>
      </c>
      <c r="O92" s="3"/>
      <c r="P92" s="3"/>
      <c r="Q92" s="3"/>
      <c r="R92" s="3"/>
      <c r="S92" s="3"/>
      <c r="T92" s="3"/>
      <c r="U92" s="3"/>
      <c r="V92" s="3"/>
    </row>
    <row r="93" spans="1:22" x14ac:dyDescent="0.3">
      <c r="A93" s="3" t="str">
        <f t="shared" si="1"/>
        <v/>
      </c>
      <c r="B93" s="3"/>
      <c r="C93" s="3"/>
      <c r="D93" s="3"/>
      <c r="E93" s="3" t="s">
        <v>18</v>
      </c>
      <c r="F93" s="3"/>
      <c r="G93" s="3"/>
      <c r="H93" s="3"/>
      <c r="I93" s="3"/>
      <c r="J93" s="3"/>
      <c r="K93" s="3"/>
      <c r="L93" s="3"/>
      <c r="M93" s="3" t="str">
        <f>IF(B93="","","MCQ"&amp;"_"&amp;IFERROR(VLOOKUP(B93,LOOKUPS!$K$2:$L$9,2,FALSE),"UNK")&amp;"_"&amp;IFERROR(VLOOKUP(C93,LOOKUPS!$N$2:$O$8,2,FALSE),"UNK")&amp;"_"&amp;UPPER(L93))</f>
        <v/>
      </c>
      <c r="N93" s="3" t="str">
        <f>IF(M93="","",COUNTIF($M$2:M93,M93))</f>
        <v/>
      </c>
      <c r="O93" s="3"/>
      <c r="P93" s="3"/>
      <c r="Q93" s="3"/>
      <c r="R93" s="3"/>
      <c r="S93" s="3"/>
      <c r="T93" s="3"/>
      <c r="U93" s="3"/>
      <c r="V93" s="3"/>
    </row>
    <row r="94" spans="1:22" x14ac:dyDescent="0.3">
      <c r="A94" s="3" t="str">
        <f t="shared" si="1"/>
        <v/>
      </c>
      <c r="B94" s="3"/>
      <c r="C94" s="3"/>
      <c r="D94" s="3"/>
      <c r="E94" s="3" t="s">
        <v>18</v>
      </c>
      <c r="F94" s="3"/>
      <c r="G94" s="3"/>
      <c r="H94" s="3"/>
      <c r="I94" s="3"/>
      <c r="J94" s="3"/>
      <c r="K94" s="3"/>
      <c r="L94" s="3"/>
      <c r="M94" s="3" t="str">
        <f>IF(B94="","","MCQ"&amp;"_"&amp;IFERROR(VLOOKUP(B94,LOOKUPS!$K$2:$L$9,2,FALSE),"UNK")&amp;"_"&amp;IFERROR(VLOOKUP(C94,LOOKUPS!$N$2:$O$8,2,FALSE),"UNK")&amp;"_"&amp;UPPER(L94))</f>
        <v/>
      </c>
      <c r="N94" s="3" t="str">
        <f>IF(M94="","",COUNTIF($M$2:M94,M94))</f>
        <v/>
      </c>
      <c r="O94" s="3"/>
      <c r="P94" s="3"/>
      <c r="Q94" s="3"/>
      <c r="R94" s="3"/>
      <c r="S94" s="3"/>
      <c r="T94" s="3"/>
      <c r="U94" s="3"/>
      <c r="V94" s="3"/>
    </row>
    <row r="95" spans="1:22" x14ac:dyDescent="0.3">
      <c r="A95" s="3" t="str">
        <f t="shared" si="1"/>
        <v/>
      </c>
      <c r="B95" s="3"/>
      <c r="C95" s="3"/>
      <c r="D95" s="3"/>
      <c r="E95" s="3" t="s">
        <v>18</v>
      </c>
      <c r="F95" s="3"/>
      <c r="G95" s="3"/>
      <c r="H95" s="3"/>
      <c r="I95" s="3"/>
      <c r="J95" s="3"/>
      <c r="K95" s="3"/>
      <c r="L95" s="3"/>
      <c r="M95" s="3" t="str">
        <f>IF(B95="","","MCQ"&amp;"_"&amp;IFERROR(VLOOKUP(B95,LOOKUPS!$K$2:$L$9,2,FALSE),"UNK")&amp;"_"&amp;IFERROR(VLOOKUP(C95,LOOKUPS!$N$2:$O$8,2,FALSE),"UNK")&amp;"_"&amp;UPPER(L95))</f>
        <v/>
      </c>
      <c r="N95" s="3" t="str">
        <f>IF(M95="","",COUNTIF($M$2:M95,M95))</f>
        <v/>
      </c>
      <c r="O95" s="3"/>
      <c r="P95" s="3"/>
      <c r="Q95" s="3"/>
      <c r="R95" s="3"/>
      <c r="S95" s="3"/>
      <c r="T95" s="3"/>
      <c r="U95" s="3"/>
      <c r="V95" s="3"/>
    </row>
    <row r="96" spans="1:22" x14ac:dyDescent="0.3">
      <c r="A96" s="3" t="str">
        <f t="shared" si="1"/>
        <v/>
      </c>
      <c r="B96" s="3"/>
      <c r="C96" s="3"/>
      <c r="D96" s="3"/>
      <c r="E96" s="3" t="s">
        <v>18</v>
      </c>
      <c r="F96" s="3"/>
      <c r="G96" s="3"/>
      <c r="H96" s="3"/>
      <c r="I96" s="3"/>
      <c r="J96" s="3"/>
      <c r="K96" s="3"/>
      <c r="L96" s="3"/>
      <c r="M96" s="3" t="str">
        <f>IF(B96="","","MCQ"&amp;"_"&amp;IFERROR(VLOOKUP(B96,LOOKUPS!$K$2:$L$9,2,FALSE),"UNK")&amp;"_"&amp;IFERROR(VLOOKUP(C96,LOOKUPS!$N$2:$O$8,2,FALSE),"UNK")&amp;"_"&amp;UPPER(L96))</f>
        <v/>
      </c>
      <c r="N96" s="3" t="str">
        <f>IF(M96="","",COUNTIF($M$2:M96,M96))</f>
        <v/>
      </c>
      <c r="O96" s="3"/>
      <c r="P96" s="3"/>
      <c r="Q96" s="3"/>
      <c r="R96" s="3"/>
      <c r="S96" s="3"/>
      <c r="T96" s="3"/>
      <c r="U96" s="3"/>
      <c r="V96" s="3"/>
    </row>
    <row r="97" spans="1:22" x14ac:dyDescent="0.3">
      <c r="A97" s="3" t="str">
        <f t="shared" si="1"/>
        <v/>
      </c>
      <c r="B97" s="3"/>
      <c r="C97" s="3"/>
      <c r="D97" s="3"/>
      <c r="E97" s="3" t="s">
        <v>18</v>
      </c>
      <c r="F97" s="3"/>
      <c r="G97" s="3"/>
      <c r="H97" s="3"/>
      <c r="I97" s="3"/>
      <c r="J97" s="3"/>
      <c r="K97" s="3"/>
      <c r="L97" s="3"/>
      <c r="M97" s="3" t="str">
        <f>IF(B97="","","MCQ"&amp;"_"&amp;IFERROR(VLOOKUP(B97,LOOKUPS!$K$2:$L$9,2,FALSE),"UNK")&amp;"_"&amp;IFERROR(VLOOKUP(C97,LOOKUPS!$N$2:$O$8,2,FALSE),"UNK")&amp;"_"&amp;UPPER(L97))</f>
        <v/>
      </c>
      <c r="N97" s="3" t="str">
        <f>IF(M97="","",COUNTIF($M$2:M97,M97))</f>
        <v/>
      </c>
      <c r="O97" s="3"/>
      <c r="P97" s="3"/>
      <c r="Q97" s="3"/>
      <c r="R97" s="3"/>
      <c r="S97" s="3"/>
      <c r="T97" s="3"/>
      <c r="U97" s="3"/>
      <c r="V97" s="3"/>
    </row>
    <row r="98" spans="1:22" x14ac:dyDescent="0.3">
      <c r="A98" s="3" t="str">
        <f t="shared" si="1"/>
        <v/>
      </c>
      <c r="B98" s="3"/>
      <c r="C98" s="3"/>
      <c r="D98" s="3"/>
      <c r="E98" s="3" t="s">
        <v>18</v>
      </c>
      <c r="F98" s="3"/>
      <c r="G98" s="3"/>
      <c r="H98" s="3"/>
      <c r="I98" s="3"/>
      <c r="J98" s="3"/>
      <c r="K98" s="3"/>
      <c r="L98" s="3"/>
      <c r="M98" s="3" t="str">
        <f>IF(B98="","","MCQ"&amp;"_"&amp;IFERROR(VLOOKUP(B98,LOOKUPS!$K$2:$L$9,2,FALSE),"UNK")&amp;"_"&amp;IFERROR(VLOOKUP(C98,LOOKUPS!$N$2:$O$8,2,FALSE),"UNK")&amp;"_"&amp;UPPER(L98))</f>
        <v/>
      </c>
      <c r="N98" s="3" t="str">
        <f>IF(M98="","",COUNTIF($M$2:M98,M98))</f>
        <v/>
      </c>
      <c r="O98" s="3"/>
      <c r="P98" s="3"/>
      <c r="Q98" s="3"/>
      <c r="R98" s="3"/>
      <c r="S98" s="3"/>
      <c r="T98" s="3"/>
      <c r="U98" s="3"/>
      <c r="V98" s="3"/>
    </row>
    <row r="99" spans="1:22" x14ac:dyDescent="0.3">
      <c r="A99" s="3" t="str">
        <f t="shared" si="1"/>
        <v/>
      </c>
      <c r="B99" s="3"/>
      <c r="C99" s="3"/>
      <c r="D99" s="3"/>
      <c r="E99" s="3" t="s">
        <v>18</v>
      </c>
      <c r="F99" s="3"/>
      <c r="G99" s="3"/>
      <c r="H99" s="3"/>
      <c r="I99" s="3"/>
      <c r="J99" s="3"/>
      <c r="K99" s="3"/>
      <c r="L99" s="3"/>
      <c r="M99" s="3" t="str">
        <f>IF(B99="","","MCQ"&amp;"_"&amp;IFERROR(VLOOKUP(B99,LOOKUPS!$K$2:$L$9,2,FALSE),"UNK")&amp;"_"&amp;IFERROR(VLOOKUP(C99,LOOKUPS!$N$2:$O$8,2,FALSE),"UNK")&amp;"_"&amp;UPPER(L99))</f>
        <v/>
      </c>
      <c r="N99" s="3" t="str">
        <f>IF(M99="","",COUNTIF($M$2:M99,M99))</f>
        <v/>
      </c>
      <c r="O99" s="3"/>
      <c r="P99" s="3"/>
      <c r="Q99" s="3"/>
      <c r="R99" s="3"/>
      <c r="S99" s="3"/>
      <c r="T99" s="3"/>
      <c r="U99" s="3"/>
      <c r="V99" s="3"/>
    </row>
    <row r="100" spans="1:22" x14ac:dyDescent="0.3">
      <c r="A100" s="3" t="str">
        <f t="shared" si="1"/>
        <v/>
      </c>
      <c r="B100" s="3"/>
      <c r="C100" s="3"/>
      <c r="D100" s="3"/>
      <c r="E100" s="3" t="s">
        <v>18</v>
      </c>
      <c r="F100" s="3"/>
      <c r="G100" s="3"/>
      <c r="H100" s="3"/>
      <c r="I100" s="3"/>
      <c r="J100" s="3"/>
      <c r="K100" s="3"/>
      <c r="L100" s="3"/>
      <c r="M100" s="3" t="str">
        <f>IF(B100="","","MCQ"&amp;"_"&amp;IFERROR(VLOOKUP(B100,LOOKUPS!$K$2:$L$9,2,FALSE),"UNK")&amp;"_"&amp;IFERROR(VLOOKUP(C100,LOOKUPS!$N$2:$O$8,2,FALSE),"UNK")&amp;"_"&amp;UPPER(L100))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t="s">
        <v>18</v>
      </c>
      <c r="F101" s="3"/>
      <c r="G101" s="3"/>
      <c r="H101" s="3"/>
      <c r="I101" s="3"/>
      <c r="J101" s="3"/>
      <c r="K101" s="3"/>
      <c r="L101" s="3"/>
      <c r="M101" s="3" t="str">
        <f>IF(B101="","","MCQ"&amp;"_"&amp;IFERROR(VLOOKUP(B101,LOOKUPS!$K$2:$L$9,2,FALSE),"UNK")&amp;"_"&amp;IFERROR(VLOOKUP(C101,LOOKUPS!$N$2:$O$8,2,FALSE),"UNK")&amp;"_"&amp;UPPER(L101))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t="s">
        <v>18</v>
      </c>
      <c r="F102" s="3"/>
      <c r="G102" s="3"/>
      <c r="H102" s="3"/>
      <c r="I102" s="3"/>
      <c r="J102" s="3"/>
      <c r="K102" s="3"/>
      <c r="L102" s="3"/>
      <c r="M102" s="3" t="str">
        <f>IF(B102="","","MCQ"&amp;"_"&amp;IFERROR(VLOOKUP(B102,LOOKUPS!$K$2:$L$9,2,FALSE),"UNK")&amp;"_"&amp;IFERROR(VLOOKUP(C102,LOOKUPS!$N$2:$O$8,2,FALSE),"UNK")&amp;"_"&amp;UPPER(L102))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t="s">
        <v>18</v>
      </c>
      <c r="F103" s="3"/>
      <c r="G103" s="3"/>
      <c r="H103" s="3"/>
      <c r="I103" s="3"/>
      <c r="J103" s="3"/>
      <c r="K103" s="3"/>
      <c r="L103" s="3"/>
      <c r="M103" s="3" t="str">
        <f>IF(B103="","","MCQ"&amp;"_"&amp;IFERROR(VLOOKUP(B103,LOOKUPS!$K$2:$L$9,2,FALSE),"UNK")&amp;"_"&amp;IFERROR(VLOOKUP(C103,LOOKUPS!$N$2:$O$8,2,FALSE),"UNK")&amp;"_"&amp;UPPER(L103))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t="s">
        <v>18</v>
      </c>
      <c r="F104" s="3"/>
      <c r="G104" s="3"/>
      <c r="H104" s="3"/>
      <c r="I104" s="3"/>
      <c r="J104" s="3"/>
      <c r="K104" s="3"/>
      <c r="L104" s="3"/>
      <c r="M104" s="3" t="str">
        <f>IF(B104="","","MCQ"&amp;"_"&amp;IFERROR(VLOOKUP(B104,LOOKUPS!$K$2:$L$9,2,FALSE),"UNK")&amp;"_"&amp;IFERROR(VLOOKUP(C104,LOOKUPS!$N$2:$O$8,2,FALSE),"UNK")&amp;"_"&amp;UPPER(L104))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t="s">
        <v>18</v>
      </c>
      <c r="F105" s="3"/>
      <c r="G105" s="3"/>
      <c r="H105" s="3"/>
      <c r="I105" s="3"/>
      <c r="J105" s="3"/>
      <c r="K105" s="3"/>
      <c r="L105" s="3"/>
      <c r="M105" s="3" t="str">
        <f>IF(B105="","","MCQ"&amp;"_"&amp;IFERROR(VLOOKUP(B105,LOOKUPS!$K$2:$L$9,2,FALSE),"UNK")&amp;"_"&amp;IFERROR(VLOOKUP(C105,LOOKUPS!$N$2:$O$8,2,FALSE),"UNK")&amp;"_"&amp;UPPER(L105))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t="s">
        <v>18</v>
      </c>
      <c r="F106" s="3"/>
      <c r="G106" s="3"/>
      <c r="H106" s="3"/>
      <c r="I106" s="3"/>
      <c r="J106" s="3"/>
      <c r="K106" s="3"/>
      <c r="L106" s="3"/>
      <c r="M106" s="3" t="str">
        <f>IF(B106="","","MCQ"&amp;"_"&amp;IFERROR(VLOOKUP(B106,LOOKUPS!$K$2:$L$9,2,FALSE),"UNK")&amp;"_"&amp;IFERROR(VLOOKUP(C106,LOOKUPS!$N$2:$O$8,2,FALSE),"UNK")&amp;"_"&amp;UPPER(L106))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t="s">
        <v>18</v>
      </c>
      <c r="F107" s="3"/>
      <c r="G107" s="3"/>
      <c r="H107" s="3"/>
      <c r="I107" s="3"/>
      <c r="J107" s="3"/>
      <c r="K107" s="3"/>
      <c r="L107" s="3"/>
      <c r="M107" s="3" t="str">
        <f>IF(B107="","","MCQ"&amp;"_"&amp;IFERROR(VLOOKUP(B107,LOOKUPS!$K$2:$L$9,2,FALSE),"UNK")&amp;"_"&amp;IFERROR(VLOOKUP(C107,LOOKUPS!$N$2:$O$8,2,FALSE),"UNK")&amp;"_"&amp;UPPER(L107))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t="s">
        <v>18</v>
      </c>
      <c r="F108" s="3"/>
      <c r="G108" s="3"/>
      <c r="H108" s="3"/>
      <c r="I108" s="3"/>
      <c r="J108" s="3"/>
      <c r="K108" s="3"/>
      <c r="L108" s="3"/>
      <c r="M108" s="3" t="str">
        <f>IF(B108="","","MCQ"&amp;"_"&amp;IFERROR(VLOOKUP(B108,LOOKUPS!$K$2:$L$9,2,FALSE),"UNK")&amp;"_"&amp;IFERROR(VLOOKUP(C108,LOOKUPS!$N$2:$O$8,2,FALSE),"UNK")&amp;"_"&amp;UPPER(L108))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t="s">
        <v>18</v>
      </c>
      <c r="F109" s="3"/>
      <c r="G109" s="3"/>
      <c r="H109" s="3"/>
      <c r="I109" s="3"/>
      <c r="J109" s="3"/>
      <c r="K109" s="3"/>
      <c r="L109" s="3"/>
      <c r="M109" s="3" t="str">
        <f>IF(B109="","","MCQ"&amp;"_"&amp;IFERROR(VLOOKUP(B109,LOOKUPS!$K$2:$L$9,2,FALSE),"UNK")&amp;"_"&amp;IFERROR(VLOOKUP(C109,LOOKUPS!$N$2:$O$8,2,FALSE),"UNK")&amp;"_"&amp;UPPER(L109))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t="s">
        <v>18</v>
      </c>
      <c r="F110" s="3"/>
      <c r="G110" s="3"/>
      <c r="H110" s="3"/>
      <c r="I110" s="3"/>
      <c r="J110" s="3"/>
      <c r="K110" s="3"/>
      <c r="L110" s="3"/>
      <c r="M110" s="3" t="str">
        <f>IF(B110="","","MCQ"&amp;"_"&amp;IFERROR(VLOOKUP(B110,LOOKUPS!$K$2:$L$9,2,FALSE),"UNK")&amp;"_"&amp;IFERROR(VLOOKUP(C110,LOOKUPS!$N$2:$O$8,2,FALSE),"UNK")&amp;"_"&amp;UPPER(L110))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t="s">
        <v>18</v>
      </c>
      <c r="F111" s="3"/>
      <c r="G111" s="3"/>
      <c r="H111" s="3"/>
      <c r="I111" s="3"/>
      <c r="J111" s="3"/>
      <c r="K111" s="3"/>
      <c r="L111" s="3"/>
      <c r="M111" s="3" t="str">
        <f>IF(B111="","","MCQ"&amp;"_"&amp;IFERROR(VLOOKUP(B111,LOOKUPS!$K$2:$L$9,2,FALSE),"UNK")&amp;"_"&amp;IFERROR(VLOOKUP(C111,LOOKUPS!$N$2:$O$8,2,FALSE),"UNK")&amp;"_"&amp;UPPER(L111))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t="s">
        <v>18</v>
      </c>
      <c r="F112" s="3"/>
      <c r="G112" s="3"/>
      <c r="H112" s="3"/>
      <c r="I112" s="3"/>
      <c r="J112" s="3"/>
      <c r="K112" s="3"/>
      <c r="L112" s="3"/>
      <c r="M112" s="3" t="str">
        <f>IF(B112="","","MCQ"&amp;"_"&amp;IFERROR(VLOOKUP(B112,LOOKUPS!$K$2:$L$9,2,FALSE),"UNK")&amp;"_"&amp;IFERROR(VLOOKUP(C112,LOOKUPS!$N$2:$O$8,2,FALSE),"UNK")&amp;"_"&amp;UPPER(L112))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t="s">
        <v>18</v>
      </c>
      <c r="F113" s="3"/>
      <c r="G113" s="3"/>
      <c r="H113" s="3"/>
      <c r="I113" s="3"/>
      <c r="J113" s="3"/>
      <c r="K113" s="3"/>
      <c r="L113" s="3"/>
      <c r="M113" s="3" t="str">
        <f>IF(B113="","","MCQ"&amp;"_"&amp;IFERROR(VLOOKUP(B113,LOOKUPS!$K$2:$L$9,2,FALSE),"UNK")&amp;"_"&amp;IFERROR(VLOOKUP(C113,LOOKUPS!$N$2:$O$8,2,FALSE),"UNK")&amp;"_"&amp;UPPER(L113))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t="s">
        <v>18</v>
      </c>
      <c r="F114" s="3"/>
      <c r="G114" s="3"/>
      <c r="H114" s="3"/>
      <c r="I114" s="3"/>
      <c r="J114" s="3"/>
      <c r="K114" s="3"/>
      <c r="L114" s="3"/>
      <c r="M114" s="3" t="str">
        <f>IF(B114="","","MCQ"&amp;"_"&amp;IFERROR(VLOOKUP(B114,LOOKUPS!$K$2:$L$9,2,FALSE),"UNK")&amp;"_"&amp;IFERROR(VLOOKUP(C114,LOOKUPS!$N$2:$O$8,2,FALSE),"UNK")&amp;"_"&amp;UPPER(L114))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t="s">
        <v>18</v>
      </c>
      <c r="F115" s="3"/>
      <c r="G115" s="3"/>
      <c r="H115" s="3"/>
      <c r="I115" s="3"/>
      <c r="J115" s="3"/>
      <c r="K115" s="3"/>
      <c r="L115" s="3"/>
      <c r="M115" s="3" t="str">
        <f>IF(B115="","","MCQ"&amp;"_"&amp;IFERROR(VLOOKUP(B115,LOOKUPS!$K$2:$L$9,2,FALSE),"UNK")&amp;"_"&amp;IFERROR(VLOOKUP(C115,LOOKUPS!$N$2:$O$8,2,FALSE),"UNK")&amp;"_"&amp;UPPER(L115))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t="s">
        <v>18</v>
      </c>
      <c r="F116" s="3"/>
      <c r="G116" s="3"/>
      <c r="H116" s="3"/>
      <c r="I116" s="3"/>
      <c r="J116" s="3"/>
      <c r="K116" s="3"/>
      <c r="L116" s="3"/>
      <c r="M116" s="3" t="str">
        <f>IF(B116="","","MCQ"&amp;"_"&amp;IFERROR(VLOOKUP(B116,LOOKUPS!$K$2:$L$9,2,FALSE),"UNK")&amp;"_"&amp;IFERROR(VLOOKUP(C116,LOOKUPS!$N$2:$O$8,2,FALSE),"UNK")&amp;"_"&amp;UPPER(L116))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t="s">
        <v>18</v>
      </c>
      <c r="F117" s="3"/>
      <c r="G117" s="3"/>
      <c r="H117" s="3"/>
      <c r="I117" s="3"/>
      <c r="J117" s="3"/>
      <c r="K117" s="3"/>
      <c r="L117" s="3"/>
      <c r="M117" s="3" t="str">
        <f>IF(B117="","","MCQ"&amp;"_"&amp;IFERROR(VLOOKUP(B117,LOOKUPS!$K$2:$L$9,2,FALSE),"UNK")&amp;"_"&amp;IFERROR(VLOOKUP(C117,LOOKUPS!$N$2:$O$8,2,FALSE),"UNK")&amp;"_"&amp;UPPER(L117))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t="s">
        <v>18</v>
      </c>
      <c r="F118" s="3"/>
      <c r="G118" s="3"/>
      <c r="H118" s="3"/>
      <c r="I118" s="3"/>
      <c r="J118" s="3"/>
      <c r="K118" s="3"/>
      <c r="L118" s="3"/>
      <c r="M118" s="3" t="str">
        <f>IF(B118="","","MCQ"&amp;"_"&amp;IFERROR(VLOOKUP(B118,LOOKUPS!$K$2:$L$9,2,FALSE),"UNK")&amp;"_"&amp;IFERROR(VLOOKUP(C118,LOOKUPS!$N$2:$O$8,2,FALSE),"UNK")&amp;"_"&amp;UPPER(L118))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t="s">
        <v>18</v>
      </c>
      <c r="F119" s="3"/>
      <c r="G119" s="3"/>
      <c r="H119" s="3"/>
      <c r="I119" s="3"/>
      <c r="J119" s="3"/>
      <c r="K119" s="3"/>
      <c r="L119" s="3"/>
      <c r="M119" s="3" t="str">
        <f>IF(B119="","","MCQ"&amp;"_"&amp;IFERROR(VLOOKUP(B119,LOOKUPS!$K$2:$L$9,2,FALSE),"UNK")&amp;"_"&amp;IFERROR(VLOOKUP(C119,LOOKUPS!$N$2:$O$8,2,FALSE),"UNK")&amp;"_"&amp;UPPER(L119))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t="s">
        <v>18</v>
      </c>
      <c r="F120" s="3"/>
      <c r="G120" s="3"/>
      <c r="H120" s="3"/>
      <c r="I120" s="3"/>
      <c r="J120" s="3"/>
      <c r="K120" s="3"/>
      <c r="L120" s="3"/>
      <c r="M120" s="3" t="str">
        <f>IF(B120="","","MCQ"&amp;"_"&amp;IFERROR(VLOOKUP(B120,LOOKUPS!$K$2:$L$9,2,FALSE),"UNK")&amp;"_"&amp;IFERROR(VLOOKUP(C120,LOOKUPS!$N$2:$O$8,2,FALSE),"UNK")&amp;"_"&amp;UPPER(L120))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t="s">
        <v>18</v>
      </c>
      <c r="F121" s="3"/>
      <c r="G121" s="3"/>
      <c r="H121" s="3"/>
      <c r="I121" s="3"/>
      <c r="J121" s="3"/>
      <c r="K121" s="3"/>
      <c r="L121" s="3"/>
      <c r="M121" s="3" t="str">
        <f>IF(B121="","","MCQ"&amp;"_"&amp;IFERROR(VLOOKUP(B121,LOOKUPS!$K$2:$L$9,2,FALSE),"UNK")&amp;"_"&amp;IFERROR(VLOOKUP(C121,LOOKUPS!$N$2:$O$8,2,FALSE),"UNK")&amp;"_"&amp;UPPER(L121))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t="s">
        <v>18</v>
      </c>
      <c r="F122" s="3"/>
      <c r="G122" s="3"/>
      <c r="H122" s="3"/>
      <c r="I122" s="3"/>
      <c r="J122" s="3"/>
      <c r="K122" s="3"/>
      <c r="L122" s="3"/>
      <c r="M122" s="3" t="str">
        <f>IF(B122="","","MCQ"&amp;"_"&amp;IFERROR(VLOOKUP(B122,LOOKUPS!$K$2:$L$9,2,FALSE),"UNK")&amp;"_"&amp;IFERROR(VLOOKUP(C122,LOOKUPS!$N$2:$O$8,2,FALSE),"UNK")&amp;"_"&amp;UPPER(L122))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t="s">
        <v>18</v>
      </c>
      <c r="F123" s="3"/>
      <c r="G123" s="3"/>
      <c r="H123" s="3"/>
      <c r="I123" s="3"/>
      <c r="J123" s="3"/>
      <c r="K123" s="3"/>
      <c r="L123" s="3"/>
      <c r="M123" s="3" t="str">
        <f>IF(B123="","","MCQ"&amp;"_"&amp;IFERROR(VLOOKUP(B123,LOOKUPS!$K$2:$L$9,2,FALSE),"UNK")&amp;"_"&amp;IFERROR(VLOOKUP(C123,LOOKUPS!$N$2:$O$8,2,FALSE),"UNK")&amp;"_"&amp;UPPER(L123))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t="s">
        <v>18</v>
      </c>
      <c r="F124" s="3"/>
      <c r="G124" s="3"/>
      <c r="H124" s="3"/>
      <c r="I124" s="3"/>
      <c r="J124" s="3"/>
      <c r="K124" s="3"/>
      <c r="L124" s="3"/>
      <c r="M124" s="3" t="str">
        <f>IF(B124="","","MCQ"&amp;"_"&amp;IFERROR(VLOOKUP(B124,LOOKUPS!$K$2:$L$9,2,FALSE),"UNK")&amp;"_"&amp;IFERROR(VLOOKUP(C124,LOOKUPS!$N$2:$O$8,2,FALSE),"UNK")&amp;"_"&amp;UPPER(L124))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t="s">
        <v>18</v>
      </c>
      <c r="F125" s="3"/>
      <c r="G125" s="3"/>
      <c r="H125" s="3"/>
      <c r="I125" s="3"/>
      <c r="J125" s="3"/>
      <c r="K125" s="3"/>
      <c r="L125" s="3"/>
      <c r="M125" s="3" t="str">
        <f>IF(B125="","","MCQ"&amp;"_"&amp;IFERROR(VLOOKUP(B125,LOOKUPS!$K$2:$L$9,2,FALSE),"UNK")&amp;"_"&amp;IFERROR(VLOOKUP(C125,LOOKUPS!$N$2:$O$8,2,FALSE),"UNK")&amp;"_"&amp;UPPER(L125))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t="s">
        <v>18</v>
      </c>
      <c r="F126" s="3"/>
      <c r="G126" s="3"/>
      <c r="H126" s="3"/>
      <c r="I126" s="3"/>
      <c r="J126" s="3"/>
      <c r="K126" s="3"/>
      <c r="L126" s="3"/>
      <c r="M126" s="3" t="str">
        <f>IF(B126="","","MCQ"&amp;"_"&amp;IFERROR(VLOOKUP(B126,LOOKUPS!$K$2:$L$9,2,FALSE),"UNK")&amp;"_"&amp;IFERROR(VLOOKUP(C126,LOOKUPS!$N$2:$O$8,2,FALSE),"UNK")&amp;"_"&amp;UPPER(L126))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t="s">
        <v>18</v>
      </c>
      <c r="F127" s="3"/>
      <c r="G127" s="3"/>
      <c r="H127" s="3"/>
      <c r="I127" s="3"/>
      <c r="J127" s="3"/>
      <c r="K127" s="3"/>
      <c r="L127" s="3"/>
      <c r="M127" s="3" t="str">
        <f>IF(B127="","","MCQ"&amp;"_"&amp;IFERROR(VLOOKUP(B127,LOOKUPS!$K$2:$L$9,2,FALSE),"UNK")&amp;"_"&amp;IFERROR(VLOOKUP(C127,LOOKUPS!$N$2:$O$8,2,FALSE),"UNK")&amp;"_"&amp;UPPER(L127))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t="s">
        <v>18</v>
      </c>
      <c r="F128" s="3"/>
      <c r="G128" s="3"/>
      <c r="H128" s="3"/>
      <c r="I128" s="3"/>
      <c r="J128" s="3"/>
      <c r="K128" s="3"/>
      <c r="L128" s="3"/>
      <c r="M128" s="3" t="str">
        <f>IF(B128="","","MCQ"&amp;"_"&amp;IFERROR(VLOOKUP(B128,LOOKUPS!$K$2:$L$9,2,FALSE),"UNK")&amp;"_"&amp;IFERROR(VLOOKUP(C128,LOOKUPS!$N$2:$O$8,2,FALSE),"UNK")&amp;"_"&amp;UPPER(L128))</f>
        <v/>
      </c>
      <c r="N128" s="3" t="str">
        <f>IF(M128="","",COUNTIF($M$2:M128,M128))</f>
        <v/>
      </c>
      <c r="O128" s="3"/>
      <c r="P128" s="3"/>
      <c r="Q128" s="3"/>
      <c r="R128" s="3"/>
      <c r="S128" s="3"/>
      <c r="T128" s="3"/>
      <c r="U128" s="3"/>
      <c r="V128" s="3"/>
    </row>
    <row r="129" spans="1:22" x14ac:dyDescent="0.3">
      <c r="A129" s="3" t="str">
        <f t="shared" si="1"/>
        <v/>
      </c>
      <c r="B129" s="3"/>
      <c r="C129" s="3"/>
      <c r="D129" s="3"/>
      <c r="E129" s="3" t="s">
        <v>18</v>
      </c>
      <c r="F129" s="3"/>
      <c r="G129" s="3"/>
      <c r="H129" s="3"/>
      <c r="I129" s="3"/>
      <c r="J129" s="3"/>
      <c r="K129" s="3"/>
      <c r="L129" s="3"/>
      <c r="M129" s="3" t="str">
        <f>IF(B129="","","MCQ"&amp;"_"&amp;IFERROR(VLOOKUP(B129,LOOKUPS!$K$2:$L$9,2,FALSE),"UNK")&amp;"_"&amp;IFERROR(VLOOKUP(C129,LOOKUPS!$N$2:$O$8,2,FALSE),"UNK")&amp;"_"&amp;UPPER(L129))</f>
        <v/>
      </c>
      <c r="N129" s="3" t="str">
        <f>IF(M129="","",COUNTIF($M$2:M129,M129))</f>
        <v/>
      </c>
      <c r="O129" s="3"/>
      <c r="P129" s="3"/>
      <c r="Q129" s="3"/>
      <c r="R129" s="3"/>
      <c r="S129" s="3"/>
      <c r="T129" s="3"/>
      <c r="U129" s="3"/>
      <c r="V129" s="3"/>
    </row>
    <row r="130" spans="1:22" x14ac:dyDescent="0.3">
      <c r="A130" s="3" t="str">
        <f t="shared" si="1"/>
        <v/>
      </c>
      <c r="B130" s="3"/>
      <c r="C130" s="3"/>
      <c r="D130" s="3"/>
      <c r="E130" s="3" t="s">
        <v>18</v>
      </c>
      <c r="F130" s="3"/>
      <c r="G130" s="3"/>
      <c r="H130" s="3"/>
      <c r="I130" s="3"/>
      <c r="J130" s="3"/>
      <c r="K130" s="3"/>
      <c r="L130" s="3"/>
      <c r="M130" s="3" t="str">
        <f>IF(B130="","","MCQ"&amp;"_"&amp;IFERROR(VLOOKUP(B130,LOOKUPS!$K$2:$L$9,2,FALSE),"UNK")&amp;"_"&amp;IFERROR(VLOOKUP(C130,LOOKUPS!$N$2:$O$8,2,FALSE),"UNK")&amp;"_"&amp;UPPER(L130))</f>
        <v/>
      </c>
      <c r="N130" s="3" t="str">
        <f>IF(M130="","",COUNTIF($M$2:M130,M130))</f>
        <v/>
      </c>
      <c r="O130" s="3"/>
      <c r="P130" s="3"/>
      <c r="Q130" s="3"/>
      <c r="R130" s="3"/>
      <c r="S130" s="3"/>
      <c r="T130" s="3"/>
      <c r="U130" s="3"/>
      <c r="V130" s="3"/>
    </row>
    <row r="131" spans="1:22" x14ac:dyDescent="0.3">
      <c r="A131" s="3" t="str">
        <f t="shared" ref="A131:A144" si="2">IF(M131="","",M131&amp;"_"&amp;TEXT(N131,"000"))</f>
        <v/>
      </c>
      <c r="B131" s="3"/>
      <c r="C131" s="3"/>
      <c r="D131" s="3"/>
      <c r="E131" s="3" t="s">
        <v>18</v>
      </c>
      <c r="F131" s="3"/>
      <c r="G131" s="3"/>
      <c r="H131" s="3"/>
      <c r="I131" s="3"/>
      <c r="J131" s="3"/>
      <c r="K131" s="3"/>
      <c r="L131" s="3"/>
      <c r="M131" s="3" t="str">
        <f>IF(B131="","","MCQ"&amp;"_"&amp;IFERROR(VLOOKUP(B131,LOOKUPS!$K$2:$L$9,2,FALSE),"UNK")&amp;"_"&amp;IFERROR(VLOOKUP(C131,LOOKUPS!$N$2:$O$8,2,FALSE),"UNK")&amp;"_"&amp;UPPER(L131))</f>
        <v/>
      </c>
      <c r="N131" s="3" t="str">
        <f>IF(M131="","",COUNTIF($M$2:M131,M131))</f>
        <v/>
      </c>
      <c r="O131" s="3"/>
      <c r="P131" s="3"/>
      <c r="Q131" s="3"/>
      <c r="R131" s="3"/>
      <c r="S131" s="3"/>
      <c r="T131" s="3"/>
      <c r="U131" s="3"/>
      <c r="V131" s="3"/>
    </row>
    <row r="132" spans="1:22" x14ac:dyDescent="0.3">
      <c r="A132" s="3" t="str">
        <f t="shared" si="2"/>
        <v/>
      </c>
      <c r="B132" s="3"/>
      <c r="C132" s="3"/>
      <c r="D132" s="3"/>
      <c r="E132" s="3" t="s">
        <v>18</v>
      </c>
      <c r="F132" s="3"/>
      <c r="G132" s="3"/>
      <c r="H132" s="3"/>
      <c r="I132" s="3"/>
      <c r="J132" s="3"/>
      <c r="K132" s="3"/>
      <c r="L132" s="3"/>
      <c r="M132" s="3" t="str">
        <f>IF(B132="","","MCQ"&amp;"_"&amp;IFERROR(VLOOKUP(B132,LOOKUPS!$K$2:$L$9,2,FALSE),"UNK")&amp;"_"&amp;IFERROR(VLOOKUP(C132,LOOKUPS!$N$2:$O$8,2,FALSE),"UNK")&amp;"_"&amp;UPPER(L132))</f>
        <v/>
      </c>
      <c r="N132" s="3" t="str">
        <f>IF(M132="","",COUNTIF($M$2:M132,M132))</f>
        <v/>
      </c>
      <c r="O132" s="3"/>
      <c r="P132" s="3"/>
      <c r="Q132" s="3"/>
      <c r="R132" s="3"/>
      <c r="S132" s="3"/>
      <c r="T132" s="3"/>
      <c r="U132" s="3"/>
      <c r="V132" s="3"/>
    </row>
    <row r="133" spans="1:22" x14ac:dyDescent="0.3">
      <c r="A133" s="3" t="str">
        <f t="shared" si="2"/>
        <v/>
      </c>
      <c r="B133" s="3"/>
      <c r="C133" s="3"/>
      <c r="D133" s="3"/>
      <c r="E133" s="3" t="s">
        <v>18</v>
      </c>
      <c r="F133" s="3"/>
      <c r="G133" s="3"/>
      <c r="H133" s="3"/>
      <c r="I133" s="3"/>
      <c r="J133" s="3"/>
      <c r="K133" s="3"/>
      <c r="L133" s="3"/>
      <c r="M133" s="3" t="str">
        <f>IF(B133="","","MCQ"&amp;"_"&amp;IFERROR(VLOOKUP(B133,LOOKUPS!$K$2:$L$9,2,FALSE),"UNK")&amp;"_"&amp;IFERROR(VLOOKUP(C133,LOOKUPS!$N$2:$O$8,2,FALSE),"UNK")&amp;"_"&amp;UPPER(L133))</f>
        <v/>
      </c>
      <c r="N133" s="3" t="str">
        <f>IF(M133="","",COUNTIF($M$2:M133,M133))</f>
        <v/>
      </c>
      <c r="O133" s="3"/>
      <c r="P133" s="3"/>
      <c r="Q133" s="3"/>
      <c r="R133" s="3"/>
      <c r="S133" s="3"/>
      <c r="T133" s="3"/>
      <c r="U133" s="3"/>
      <c r="V133" s="3"/>
    </row>
    <row r="134" spans="1:22" x14ac:dyDescent="0.3">
      <c r="A134" s="3" t="str">
        <f t="shared" si="2"/>
        <v/>
      </c>
      <c r="B134" s="3"/>
      <c r="C134" s="3"/>
      <c r="D134" s="3"/>
      <c r="E134" s="3" t="s">
        <v>18</v>
      </c>
      <c r="F134" s="3"/>
      <c r="G134" s="3"/>
      <c r="H134" s="3"/>
      <c r="I134" s="3"/>
      <c r="J134" s="3"/>
      <c r="K134" s="3"/>
      <c r="L134" s="3"/>
      <c r="M134" s="3" t="str">
        <f>IF(B134="","","MCQ"&amp;"_"&amp;IFERROR(VLOOKUP(B134,LOOKUPS!$K$2:$L$9,2,FALSE),"UNK")&amp;"_"&amp;IFERROR(VLOOKUP(C134,LOOKUPS!$N$2:$O$8,2,FALSE),"UNK")&amp;"_"&amp;UPPER(L134))</f>
        <v/>
      </c>
      <c r="N134" s="3" t="str">
        <f>IF(M134="","",COUNTIF($M$2:M134,M134))</f>
        <v/>
      </c>
      <c r="O134" s="3"/>
      <c r="P134" s="3"/>
      <c r="Q134" s="3"/>
      <c r="R134" s="3"/>
      <c r="S134" s="3"/>
      <c r="T134" s="3"/>
      <c r="U134" s="3"/>
      <c r="V134" s="3"/>
    </row>
    <row r="135" spans="1:22" x14ac:dyDescent="0.3">
      <c r="A135" s="3" t="str">
        <f t="shared" si="2"/>
        <v/>
      </c>
      <c r="B135" s="3"/>
      <c r="C135" s="3"/>
      <c r="D135" s="3"/>
      <c r="E135" s="3" t="s">
        <v>18</v>
      </c>
      <c r="F135" s="3"/>
      <c r="G135" s="3"/>
      <c r="H135" s="3"/>
      <c r="I135" s="3"/>
      <c r="J135" s="3"/>
      <c r="K135" s="3"/>
      <c r="L135" s="3"/>
      <c r="M135" s="3" t="str">
        <f>IF(B135="","","MCQ"&amp;"_"&amp;IFERROR(VLOOKUP(B135,LOOKUPS!$K$2:$L$9,2,FALSE),"UNK")&amp;"_"&amp;IFERROR(VLOOKUP(C135,LOOKUPS!$N$2:$O$8,2,FALSE),"UNK")&amp;"_"&amp;UPPER(L135))</f>
        <v/>
      </c>
      <c r="N135" s="3" t="str">
        <f>IF(M135="","",COUNTIF($M$2:M135,M135))</f>
        <v/>
      </c>
      <c r="O135" s="3"/>
      <c r="P135" s="3"/>
      <c r="Q135" s="3"/>
      <c r="R135" s="3"/>
      <c r="S135" s="3"/>
      <c r="T135" s="3"/>
      <c r="U135" s="3"/>
      <c r="V135" s="3"/>
    </row>
    <row r="136" spans="1:22" x14ac:dyDescent="0.3">
      <c r="A136" s="3" t="str">
        <f t="shared" si="2"/>
        <v/>
      </c>
      <c r="B136" s="3"/>
      <c r="C136" s="3"/>
      <c r="D136" s="3"/>
      <c r="E136" s="3" t="s">
        <v>18</v>
      </c>
      <c r="F136" s="3"/>
      <c r="G136" s="3"/>
      <c r="H136" s="3"/>
      <c r="I136" s="3"/>
      <c r="J136" s="3"/>
      <c r="K136" s="3"/>
      <c r="L136" s="3"/>
      <c r="M136" s="3" t="str">
        <f>IF(B136="","","MCQ"&amp;"_"&amp;IFERROR(VLOOKUP(B136,LOOKUPS!$K$2:$L$9,2,FALSE),"UNK")&amp;"_"&amp;IFERROR(VLOOKUP(C136,LOOKUPS!$N$2:$O$8,2,FALSE),"UNK")&amp;"_"&amp;UPPER(L136))</f>
        <v/>
      </c>
      <c r="N136" s="3" t="str">
        <f>IF(M136="","",COUNTIF($M$2:M136,M136))</f>
        <v/>
      </c>
      <c r="O136" s="3"/>
      <c r="P136" s="3"/>
      <c r="Q136" s="3"/>
      <c r="R136" s="3"/>
      <c r="S136" s="3"/>
      <c r="T136" s="3"/>
      <c r="U136" s="3"/>
      <c r="V136" s="3"/>
    </row>
    <row r="137" spans="1:22" x14ac:dyDescent="0.3">
      <c r="A137" s="3" t="str">
        <f t="shared" si="2"/>
        <v/>
      </c>
      <c r="B137" s="3"/>
      <c r="C137" s="3"/>
      <c r="D137" s="3"/>
      <c r="E137" s="3" t="s">
        <v>18</v>
      </c>
      <c r="F137" s="3"/>
      <c r="G137" s="3"/>
      <c r="H137" s="3"/>
      <c r="I137" s="3"/>
      <c r="J137" s="3"/>
      <c r="K137" s="3"/>
      <c r="L137" s="3"/>
      <c r="M137" s="3" t="str">
        <f>IF(B137="","","MCQ"&amp;"_"&amp;IFERROR(VLOOKUP(B137,LOOKUPS!$K$2:$L$9,2,FALSE),"UNK")&amp;"_"&amp;IFERROR(VLOOKUP(C137,LOOKUPS!$N$2:$O$8,2,FALSE),"UNK")&amp;"_"&amp;UPPER(L137))</f>
        <v/>
      </c>
      <c r="N137" s="3" t="str">
        <f>IF(M137="","",COUNTIF($M$2:M137,M137))</f>
        <v/>
      </c>
      <c r="O137" s="3"/>
      <c r="P137" s="3"/>
      <c r="Q137" s="3"/>
      <c r="R137" s="3"/>
      <c r="S137" s="3"/>
      <c r="T137" s="3"/>
      <c r="U137" s="3"/>
      <c r="V137" s="3"/>
    </row>
    <row r="138" spans="1:22" x14ac:dyDescent="0.3">
      <c r="A138" s="3" t="str">
        <f t="shared" si="2"/>
        <v/>
      </c>
      <c r="B138" s="3"/>
      <c r="C138" s="3"/>
      <c r="D138" s="3"/>
      <c r="E138" s="3" t="s">
        <v>18</v>
      </c>
      <c r="F138" s="3"/>
      <c r="G138" s="3"/>
      <c r="H138" s="3"/>
      <c r="I138" s="3"/>
      <c r="J138" s="3"/>
      <c r="K138" s="3"/>
      <c r="L138" s="3"/>
      <c r="M138" s="3" t="str">
        <f>IF(B138="","","MCQ"&amp;"_"&amp;IFERROR(VLOOKUP(B138,LOOKUPS!$K$2:$L$9,2,FALSE),"UNK")&amp;"_"&amp;IFERROR(VLOOKUP(C138,LOOKUPS!$N$2:$O$8,2,FALSE),"UNK")&amp;"_"&amp;UPPER(L138))</f>
        <v/>
      </c>
      <c r="N138" s="3" t="str">
        <f>IF(M138="","",COUNTIF($M$2:M138,M138))</f>
        <v/>
      </c>
      <c r="O138" s="3"/>
      <c r="P138" s="3"/>
      <c r="Q138" s="3"/>
      <c r="R138" s="3"/>
      <c r="S138" s="3"/>
      <c r="T138" s="3"/>
      <c r="U138" s="3"/>
      <c r="V138" s="3"/>
    </row>
    <row r="139" spans="1:22" x14ac:dyDescent="0.3">
      <c r="A139" s="3" t="str">
        <f t="shared" si="2"/>
        <v/>
      </c>
      <c r="B139" s="3"/>
      <c r="C139" s="3"/>
      <c r="D139" s="3"/>
      <c r="E139" s="3" t="s">
        <v>18</v>
      </c>
      <c r="F139" s="3"/>
      <c r="G139" s="3"/>
      <c r="H139" s="3"/>
      <c r="I139" s="3"/>
      <c r="J139" s="3"/>
      <c r="K139" s="3"/>
      <c r="L139" s="3"/>
      <c r="M139" s="3" t="str">
        <f>IF(B139="","","MCQ"&amp;"_"&amp;IFERROR(VLOOKUP(B139,LOOKUPS!$K$2:$L$9,2,FALSE),"UNK")&amp;"_"&amp;IFERROR(VLOOKUP(C139,LOOKUPS!$N$2:$O$8,2,FALSE),"UNK")&amp;"_"&amp;UPPER(L139))</f>
        <v/>
      </c>
      <c r="N139" s="3" t="str">
        <f>IF(M139="","",COUNTIF($M$2:M139,M139))</f>
        <v/>
      </c>
      <c r="O139" s="3"/>
      <c r="P139" s="3"/>
      <c r="Q139" s="3"/>
      <c r="R139" s="3"/>
      <c r="S139" s="3"/>
      <c r="T139" s="3"/>
      <c r="U139" s="3"/>
      <c r="V139" s="3"/>
    </row>
    <row r="140" spans="1:22" x14ac:dyDescent="0.3">
      <c r="A140" s="3" t="str">
        <f t="shared" si="2"/>
        <v/>
      </c>
      <c r="B140" s="3"/>
      <c r="C140" s="3"/>
      <c r="D140" s="3"/>
      <c r="E140" s="3" t="s">
        <v>18</v>
      </c>
      <c r="F140" s="3"/>
      <c r="G140" s="3"/>
      <c r="H140" s="3"/>
      <c r="I140" s="3"/>
      <c r="J140" s="3"/>
      <c r="K140" s="3"/>
      <c r="L140" s="3"/>
      <c r="M140" s="3" t="str">
        <f>IF(B140="","","MCQ"&amp;"_"&amp;IFERROR(VLOOKUP(B140,LOOKUPS!$K$2:$L$9,2,FALSE),"UNK")&amp;"_"&amp;IFERROR(VLOOKUP(C140,LOOKUPS!$N$2:$O$8,2,FALSE),"UNK")&amp;"_"&amp;UPPER(L140))</f>
        <v/>
      </c>
      <c r="N140" s="3" t="str">
        <f>IF(M140="","",COUNTIF($M$2:M140,M140))</f>
        <v/>
      </c>
      <c r="O140" s="3"/>
      <c r="P140" s="3"/>
      <c r="Q140" s="3"/>
      <c r="R140" s="3"/>
      <c r="S140" s="3"/>
      <c r="T140" s="3"/>
      <c r="U140" s="3"/>
      <c r="V140" s="3"/>
    </row>
    <row r="141" spans="1:22" x14ac:dyDescent="0.3">
      <c r="A141" s="3" t="str">
        <f t="shared" si="2"/>
        <v/>
      </c>
      <c r="B141" s="3"/>
      <c r="C141" s="3"/>
      <c r="D141" s="3"/>
      <c r="E141" s="3" t="s">
        <v>18</v>
      </c>
      <c r="F141" s="3"/>
      <c r="G141" s="3"/>
      <c r="H141" s="3"/>
      <c r="I141" s="3"/>
      <c r="J141" s="3"/>
      <c r="K141" s="3"/>
      <c r="L141" s="3"/>
      <c r="M141" s="3" t="str">
        <f>IF(B141="","","MCQ"&amp;"_"&amp;IFERROR(VLOOKUP(B141,LOOKUPS!$K$2:$L$9,2,FALSE),"UNK")&amp;"_"&amp;IFERROR(VLOOKUP(C141,LOOKUPS!$N$2:$O$8,2,FALSE),"UNK")&amp;"_"&amp;UPPER(L141))</f>
        <v/>
      </c>
      <c r="N141" s="3" t="str">
        <f>IF(M141="","",COUNTIF($M$2:M141,M141))</f>
        <v/>
      </c>
      <c r="O141" s="3"/>
      <c r="P141" s="3"/>
      <c r="Q141" s="3"/>
      <c r="R141" s="3"/>
      <c r="S141" s="3"/>
      <c r="T141" s="3"/>
      <c r="U141" s="3"/>
      <c r="V141" s="3"/>
    </row>
    <row r="142" spans="1:22" x14ac:dyDescent="0.3">
      <c r="A142" s="3" t="str">
        <f t="shared" si="2"/>
        <v/>
      </c>
      <c r="B142" s="3"/>
      <c r="C142" s="3"/>
      <c r="D142" s="3"/>
      <c r="E142" s="3" t="s">
        <v>18</v>
      </c>
      <c r="F142" s="3"/>
      <c r="G142" s="3"/>
      <c r="H142" s="3"/>
      <c r="I142" s="3"/>
      <c r="J142" s="3"/>
      <c r="K142" s="3"/>
      <c r="L142" s="3"/>
      <c r="M142" s="3" t="str">
        <f>IF(B142="","","MCQ"&amp;"_"&amp;IFERROR(VLOOKUP(B142,LOOKUPS!$K$2:$L$9,2,FALSE),"UNK")&amp;"_"&amp;IFERROR(VLOOKUP(C142,LOOKUPS!$N$2:$O$8,2,FALSE),"UNK")&amp;"_"&amp;UPPER(L142))</f>
        <v/>
      </c>
      <c r="N142" s="3" t="str">
        <f>IF(M142="","",COUNTIF($M$2:M142,M142))</f>
        <v/>
      </c>
      <c r="O142" s="3"/>
      <c r="P142" s="3"/>
      <c r="Q142" s="3"/>
      <c r="R142" s="3"/>
      <c r="S142" s="3"/>
      <c r="T142" s="3"/>
      <c r="U142" s="3"/>
      <c r="V142" s="3"/>
    </row>
    <row r="143" spans="1:22" x14ac:dyDescent="0.3">
      <c r="A143" s="3" t="str">
        <f t="shared" si="2"/>
        <v/>
      </c>
      <c r="B143" s="3"/>
      <c r="C143" s="3"/>
      <c r="D143" s="3"/>
      <c r="E143" s="3" t="s">
        <v>18</v>
      </c>
      <c r="F143" s="3"/>
      <c r="G143" s="3"/>
      <c r="H143" s="3"/>
      <c r="I143" s="3"/>
      <c r="J143" s="3"/>
      <c r="K143" s="3"/>
      <c r="L143" s="3"/>
      <c r="M143" s="3" t="str">
        <f>IF(B143="","","MCQ"&amp;"_"&amp;IFERROR(VLOOKUP(B143,LOOKUPS!$K$2:$L$9,2,FALSE),"UNK")&amp;"_"&amp;IFERROR(VLOOKUP(C143,LOOKUPS!$N$2:$O$8,2,FALSE),"UNK")&amp;"_"&amp;UPPER(L143))</f>
        <v/>
      </c>
      <c r="N143" s="3" t="str">
        <f>IF(M143="","",COUNTIF($M$2:M143,M143))</f>
        <v/>
      </c>
      <c r="O143" s="3"/>
      <c r="P143" s="3"/>
      <c r="Q143" s="3"/>
      <c r="R143" s="3"/>
      <c r="S143" s="3"/>
      <c r="T143" s="3"/>
      <c r="U143" s="3"/>
      <c r="V143" s="3"/>
    </row>
    <row r="144" spans="1:22" x14ac:dyDescent="0.3">
      <c r="A144" s="3" t="str">
        <f t="shared" si="2"/>
        <v/>
      </c>
      <c r="B144" s="3"/>
      <c r="C144" s="3"/>
      <c r="D144" s="3"/>
      <c r="E144" s="3" t="s">
        <v>18</v>
      </c>
      <c r="F144" s="3"/>
      <c r="G144" s="3"/>
      <c r="H144" s="3"/>
      <c r="I144" s="3"/>
      <c r="J144" s="3"/>
      <c r="K144" s="3"/>
      <c r="L144" s="3"/>
      <c r="M144" s="3" t="str">
        <f>IF(B144="","","MCQ"&amp;"_"&amp;IFERROR(VLOOKUP(B144,LOOKUPS!$K$2:$L$9,2,FALSE),"UNK")&amp;"_"&amp;IFERROR(VLOOKUP(C144,LOOKUPS!$N$2:$O$8,2,FALSE),"UNK")&amp;"_"&amp;UPPER(L144))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0000000}">
          <x14:formula1>
            <xm:f>LOOKUPS!$A$2:$A$9</xm:f>
          </x14:formula1>
          <xm:sqref>B145:B1000</xm:sqref>
        </x14:dataValidation>
        <x14:dataValidation type="list" allowBlank="1" showDropDown="1" xr:uid="{00000000-0002-0000-0200-000001000000}">
          <x14:formula1>
            <xm:f>LOOKUPS!$C$2:$C$8</xm:f>
          </x14:formula1>
          <xm:sqref>C145:C1000</xm:sqref>
        </x14:dataValidation>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63E79027-D239-4E0A-BBFF-F2933BA25C41}">
          <x14:formula1>
            <xm:f>LOOKUPS!$A$2:$A$9</xm:f>
          </x14:formula1>
          <xm:sqref>B2:B144</xm:sqref>
        </x14:dataValidation>
        <x14:dataValidation type="list" allowBlank="1" xr:uid="{9882B6B5-9DBA-438F-A664-419CAF0177FD}">
          <x14:formula1>
            <xm:f>LOOKUPS!$C$2:$C$8</xm:f>
          </x14:formula1>
          <xm:sqref>C2:C144</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workbookViewId="0">
      <pane ySplit="1" topLeftCell="A2" activePane="bottomLeft" state="frozen"/>
      <selection pane="bottomLeft" activeCell="M2" sqref="M2"/>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x14ac:dyDescent="0.3">
      <c r="A2" s="3" t="str">
        <f>IF(M2="","",M2&amp;"_"&amp;TEXT(N2,"000"))</f>
        <v/>
      </c>
      <c r="B2" s="3"/>
      <c r="C2" s="3"/>
      <c r="D2" s="3"/>
      <c r="E2" s="3" t="s">
        <v>25</v>
      </c>
      <c r="F2" s="3"/>
      <c r="G2" s="3"/>
      <c r="H2" s="3"/>
      <c r="I2" s="3"/>
      <c r="J2" s="3"/>
      <c r="K2" s="3"/>
      <c r="L2" s="3"/>
      <c r="M2" s="3" t="str">
        <f>IF(B2="","","AB"&amp;"_"&amp;IFERROR(VLOOKUP(B2,LOOKUPS!$K$2:$L$9,2,FALSE),"UNK")&amp;"_"&amp;IFERROR(VLOOKUP(C2,LOOKUPS!$N$2:$O$8,2,FALSE),"UNK")&amp;"_"&amp;UPPER(L2))</f>
        <v/>
      </c>
      <c r="N2" s="3" t="str">
        <f>IF(M2="","",COUNTIF($M$2:M2,M2))</f>
        <v/>
      </c>
      <c r="O2" s="3"/>
      <c r="P2" s="3"/>
      <c r="Q2" s="3"/>
      <c r="R2" s="3"/>
      <c r="S2" s="3"/>
      <c r="T2" s="3"/>
      <c r="U2" s="3"/>
      <c r="V2" s="3"/>
      <c r="W2" s="3"/>
      <c r="X2" s="3"/>
      <c r="Y2" s="3"/>
      <c r="Z2" s="3"/>
      <c r="AA2" s="3"/>
      <c r="AB2" s="3"/>
      <c r="AC2" s="3"/>
    </row>
    <row r="3" spans="1:29" x14ac:dyDescent="0.3">
      <c r="A3" s="3" t="str">
        <f t="shared" ref="A3:A66" si="0">IF(M3="","",M3&amp;"_"&amp;TEXT(N3,"000"))</f>
        <v/>
      </c>
      <c r="B3" s="3"/>
      <c r="C3" s="3"/>
      <c r="D3" s="3"/>
      <c r="E3" s="3" t="s">
        <v>25</v>
      </c>
      <c r="F3" s="3"/>
      <c r="G3" s="3"/>
      <c r="H3" s="3"/>
      <c r="I3" s="3"/>
      <c r="J3" s="3"/>
      <c r="K3" s="3"/>
      <c r="L3" s="3"/>
      <c r="M3" s="3" t="str">
        <f>IF(B3="","","AB"&amp;"_"&amp;IFERROR(VLOOKUP(B3,LOOKUPS!$K$2:$L$9,2,FALSE),"UNK")&amp;"_"&amp;IFERROR(VLOOKUP(C3,LOOKUPS!$N$2:$O$8,2,FALSE),"UNK")&amp;"_"&amp;UPPER(L3))</f>
        <v/>
      </c>
      <c r="N3" s="3" t="str">
        <f>IF(M3="","",COUNTIF($M$2:M3,M3))</f>
        <v/>
      </c>
      <c r="O3" s="3"/>
      <c r="P3" s="3"/>
      <c r="Q3" s="3"/>
      <c r="R3" s="3"/>
      <c r="S3" s="3"/>
      <c r="T3" s="3"/>
      <c r="U3" s="3"/>
      <c r="V3" s="3"/>
      <c r="W3" s="3"/>
      <c r="X3" s="3"/>
      <c r="Y3" s="3"/>
      <c r="Z3" s="3"/>
      <c r="AA3" s="3"/>
      <c r="AB3" s="3"/>
      <c r="AC3" s="3"/>
    </row>
    <row r="4" spans="1:29" x14ac:dyDescent="0.3">
      <c r="A4" s="3" t="str">
        <f t="shared" si="0"/>
        <v/>
      </c>
      <c r="B4" s="3"/>
      <c r="C4" s="3"/>
      <c r="D4" s="3"/>
      <c r="E4" s="3" t="s">
        <v>25</v>
      </c>
      <c r="F4" s="3"/>
      <c r="G4" s="3"/>
      <c r="H4" s="3"/>
      <c r="I4" s="3"/>
      <c r="J4" s="3"/>
      <c r="K4" s="3"/>
      <c r="L4" s="3"/>
      <c r="M4" s="3" t="str">
        <f>IF(B4="","","AB"&amp;"_"&amp;IFERROR(VLOOKUP(B4,LOOKUPS!$K$2:$L$9,2,FALSE),"UNK")&amp;"_"&amp;IFERROR(VLOOKUP(C4,LOOKUPS!$N$2:$O$8,2,FALSE),"UNK")&amp;"_"&amp;UPPER(L4))</f>
        <v/>
      </c>
      <c r="N4" s="3" t="str">
        <f>IF(M4="","",COUNTIF($M$2:M4,M4))</f>
        <v/>
      </c>
      <c r="O4" s="3"/>
      <c r="P4" s="3"/>
      <c r="Q4" s="3"/>
      <c r="R4" s="3"/>
      <c r="S4" s="3"/>
      <c r="T4" s="3"/>
      <c r="U4" s="3"/>
      <c r="V4" s="3"/>
      <c r="W4" s="3"/>
      <c r="X4" s="3"/>
      <c r="Y4" s="3"/>
      <c r="Z4" s="3"/>
      <c r="AA4" s="3"/>
      <c r="AB4" s="3"/>
      <c r="AC4" s="3"/>
    </row>
    <row r="5" spans="1:29" x14ac:dyDescent="0.3">
      <c r="A5" s="3" t="str">
        <f t="shared" si="0"/>
        <v/>
      </c>
      <c r="B5" s="3"/>
      <c r="C5" s="3"/>
      <c r="D5" s="3"/>
      <c r="E5" s="3" t="s">
        <v>25</v>
      </c>
      <c r="F5" s="3"/>
      <c r="G5" s="3"/>
      <c r="H5" s="3"/>
      <c r="I5" s="3"/>
      <c r="J5" s="3"/>
      <c r="K5" s="3"/>
      <c r="L5" s="3"/>
      <c r="M5" s="3" t="str">
        <f>IF(B5="","","AB"&amp;"_"&amp;IFERROR(VLOOKUP(B5,LOOKUPS!$K$2:$L$9,2,FALSE),"UNK")&amp;"_"&amp;IFERROR(VLOOKUP(C5,LOOKUPS!$N$2:$O$8,2,FALSE),"UNK")&amp;"_"&amp;UPPER(L5))</f>
        <v/>
      </c>
      <c r="N5" s="3" t="str">
        <f>IF(M5="","",COUNTIF($M$2:M5,M5))</f>
        <v/>
      </c>
      <c r="O5" s="3"/>
      <c r="P5" s="3"/>
      <c r="Q5" s="3"/>
      <c r="R5" s="3"/>
      <c r="S5" s="3"/>
      <c r="T5" s="3"/>
      <c r="U5" s="3"/>
      <c r="V5" s="3"/>
      <c r="W5" s="3"/>
      <c r="X5" s="3"/>
      <c r="Y5" s="3"/>
      <c r="Z5" s="3"/>
      <c r="AA5" s="3"/>
      <c r="AB5" s="3"/>
      <c r="AC5" s="3"/>
    </row>
    <row r="6" spans="1:29" x14ac:dyDescent="0.3">
      <c r="A6" s="3" t="str">
        <f t="shared" si="0"/>
        <v/>
      </c>
      <c r="B6" s="3"/>
      <c r="C6" s="3"/>
      <c r="D6" s="3"/>
      <c r="E6" s="3" t="s">
        <v>25</v>
      </c>
      <c r="F6" s="3"/>
      <c r="G6" s="3"/>
      <c r="H6" s="3"/>
      <c r="I6" s="3"/>
      <c r="J6" s="3"/>
      <c r="K6" s="3"/>
      <c r="L6" s="3"/>
      <c r="M6" s="3" t="str">
        <f>IF(B6="","","AB"&amp;"_"&amp;IFERROR(VLOOKUP(B6,LOOKUPS!$K$2:$L$9,2,FALSE),"UNK")&amp;"_"&amp;IFERROR(VLOOKUP(C6,LOOKUPS!$N$2:$O$8,2,FALSE),"UNK")&amp;"_"&amp;UPPER(L6))</f>
        <v/>
      </c>
      <c r="N6" s="3" t="str">
        <f>IF(M6="","",COUNTIF($M$2:M6,M6))</f>
        <v/>
      </c>
      <c r="O6" s="3"/>
      <c r="P6" s="3"/>
      <c r="Q6" s="3"/>
      <c r="R6" s="3"/>
      <c r="S6" s="3"/>
      <c r="T6" s="3"/>
      <c r="U6" s="3"/>
      <c r="V6" s="3"/>
      <c r="W6" s="3"/>
      <c r="X6" s="3"/>
      <c r="Y6" s="3"/>
      <c r="Z6" s="3"/>
      <c r="AA6" s="3"/>
      <c r="AB6" s="3"/>
      <c r="AC6" s="3"/>
    </row>
    <row r="7" spans="1:29" x14ac:dyDescent="0.3">
      <c r="A7" s="3" t="str">
        <f t="shared" si="0"/>
        <v/>
      </c>
      <c r="B7" s="3"/>
      <c r="C7" s="3"/>
      <c r="D7" s="3"/>
      <c r="E7" s="3" t="s">
        <v>25</v>
      </c>
      <c r="F7" s="3"/>
      <c r="G7" s="3"/>
      <c r="H7" s="3"/>
      <c r="I7" s="3"/>
      <c r="J7" s="3"/>
      <c r="K7" s="3"/>
      <c r="L7" s="3"/>
      <c r="M7" s="3" t="str">
        <f>IF(B7="","","AB"&amp;"_"&amp;IFERROR(VLOOKUP(B7,LOOKUPS!$K$2:$L$9,2,FALSE),"UNK")&amp;"_"&amp;IFERROR(VLOOKUP(C7,LOOKUPS!$N$2:$O$8,2,FALSE),"UNK")&amp;"_"&amp;UPPER(L7))</f>
        <v/>
      </c>
      <c r="N7" s="3" t="str">
        <f>IF(M7="","",COUNTIF($M$2:M7,M7))</f>
        <v/>
      </c>
      <c r="O7" s="3"/>
      <c r="P7" s="3"/>
      <c r="Q7" s="3"/>
      <c r="R7" s="3"/>
      <c r="S7" s="3"/>
      <c r="T7" s="3"/>
      <c r="U7" s="3"/>
      <c r="V7" s="3"/>
      <c r="W7" s="3"/>
      <c r="X7" s="3"/>
      <c r="Y7" s="3"/>
      <c r="Z7" s="3"/>
      <c r="AA7" s="3"/>
      <c r="AB7" s="3"/>
      <c r="AC7" s="3"/>
    </row>
    <row r="8" spans="1:29" x14ac:dyDescent="0.3">
      <c r="A8" s="3" t="str">
        <f t="shared" si="0"/>
        <v/>
      </c>
      <c r="B8" s="3"/>
      <c r="C8" s="3"/>
      <c r="D8" s="3"/>
      <c r="E8" s="3" t="s">
        <v>25</v>
      </c>
      <c r="F8" s="3"/>
      <c r="G8" s="3"/>
      <c r="H8" s="3"/>
      <c r="I8" s="3"/>
      <c r="J8" s="3"/>
      <c r="K8" s="3"/>
      <c r="L8" s="3"/>
      <c r="M8" s="3" t="str">
        <f>IF(B8="","","AB"&amp;"_"&amp;IFERROR(VLOOKUP(B8,LOOKUPS!$K$2:$L$9,2,FALSE),"UNK")&amp;"_"&amp;IFERROR(VLOOKUP(C8,LOOKUPS!$N$2:$O$8,2,FALSE),"UNK")&amp;"_"&amp;UPPER(L8))</f>
        <v/>
      </c>
      <c r="N8" s="3" t="str">
        <f>IF(M8="","",COUNTIF($M$2:M8,M8))</f>
        <v/>
      </c>
      <c r="O8" s="3"/>
      <c r="P8" s="3"/>
      <c r="Q8" s="3"/>
      <c r="R8" s="3"/>
      <c r="S8" s="3"/>
      <c r="T8" s="3"/>
      <c r="U8" s="3"/>
      <c r="V8" s="3"/>
      <c r="W8" s="3"/>
      <c r="X8" s="3"/>
      <c r="Y8" s="3"/>
      <c r="Z8" s="3"/>
      <c r="AA8" s="3"/>
      <c r="AB8" s="3"/>
      <c r="AC8" s="3"/>
    </row>
    <row r="9" spans="1:29" x14ac:dyDescent="0.3">
      <c r="A9" s="3" t="str">
        <f t="shared" si="0"/>
        <v/>
      </c>
      <c r="B9" s="3"/>
      <c r="C9" s="3"/>
      <c r="D9" s="3"/>
      <c r="E9" s="3" t="s">
        <v>25</v>
      </c>
      <c r="F9" s="3"/>
      <c r="G9" s="3"/>
      <c r="H9" s="3"/>
      <c r="I9" s="3"/>
      <c r="J9" s="3"/>
      <c r="K9" s="3"/>
      <c r="L9" s="3"/>
      <c r="M9" s="3" t="str">
        <f>IF(B9="","","AB"&amp;"_"&amp;IFERROR(VLOOKUP(B9,LOOKUPS!$K$2:$L$9,2,FALSE),"UNK")&amp;"_"&amp;IFERROR(VLOOKUP(C9,LOOKUPS!$N$2:$O$8,2,FALSE),"UNK")&amp;"_"&amp;UPPER(L9))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row>
    <row r="10" spans="1:29" x14ac:dyDescent="0.3">
      <c r="A10" s="3" t="str">
        <f t="shared" si="0"/>
        <v/>
      </c>
      <c r="B10" s="3"/>
      <c r="C10" s="3"/>
      <c r="D10" s="3"/>
      <c r="E10" s="3" t="s">
        <v>25</v>
      </c>
      <c r="F10" s="3"/>
      <c r="G10" s="3"/>
      <c r="H10" s="3"/>
      <c r="I10" s="3"/>
      <c r="J10" s="3"/>
      <c r="K10" s="3"/>
      <c r="L10" s="3"/>
      <c r="M10" s="3" t="str">
        <f>IF(B10="","","AB"&amp;"_"&amp;IFERROR(VLOOKUP(B10,LOOKUPS!$K$2:$L$9,2,FALSE),"UNK")&amp;"_"&amp;IFERROR(VLOOKUP(C10,LOOKUPS!$N$2:$O$8,2,FALSE),"UNK")&amp;"_"&amp;UPPER(L10))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row>
    <row r="11" spans="1:29" x14ac:dyDescent="0.3">
      <c r="A11" s="3" t="str">
        <f t="shared" si="0"/>
        <v/>
      </c>
      <c r="B11" s="3"/>
      <c r="C11" s="3"/>
      <c r="D11" s="3"/>
      <c r="E11" s="3" t="s">
        <v>25</v>
      </c>
      <c r="F11" s="3"/>
      <c r="G11" s="3"/>
      <c r="H11" s="3"/>
      <c r="I11" s="3"/>
      <c r="J11" s="3"/>
      <c r="K11" s="3"/>
      <c r="L11" s="3"/>
      <c r="M11" s="3" t="str">
        <f>IF(B11="","","AB"&amp;"_"&amp;IFERROR(VLOOKUP(B11,LOOKUPS!$K$2:$L$9,2,FALSE),"UNK")&amp;"_"&amp;IFERROR(VLOOKUP(C11,LOOKUPS!$N$2:$O$8,2,FALSE),"UNK")&amp;"_"&amp;UPPER(L11))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row>
    <row r="12" spans="1:29" x14ac:dyDescent="0.3">
      <c r="A12" s="3" t="str">
        <f t="shared" si="0"/>
        <v/>
      </c>
      <c r="B12" s="3"/>
      <c r="C12" s="3"/>
      <c r="D12" s="3"/>
      <c r="E12" s="3" t="s">
        <v>25</v>
      </c>
      <c r="F12" s="3"/>
      <c r="G12" s="3"/>
      <c r="H12" s="3"/>
      <c r="I12" s="3"/>
      <c r="J12" s="3"/>
      <c r="K12" s="3"/>
      <c r="L12" s="3"/>
      <c r="M12" s="3" t="str">
        <f>IF(B12="","","AB"&amp;"_"&amp;IFERROR(VLOOKUP(B12,LOOKUPS!$K$2:$L$9,2,FALSE),"UNK")&amp;"_"&amp;IFERROR(VLOOKUP(C12,LOOKUPS!$N$2:$O$8,2,FALSE),"UNK")&amp;"_"&amp;UPPER(L12))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row>
    <row r="13" spans="1:29" x14ac:dyDescent="0.3">
      <c r="A13" s="3" t="str">
        <f t="shared" si="0"/>
        <v/>
      </c>
      <c r="B13" s="3"/>
      <c r="C13" s="3"/>
      <c r="D13" s="3"/>
      <c r="E13" s="3" t="s">
        <v>25</v>
      </c>
      <c r="F13" s="3"/>
      <c r="G13" s="3"/>
      <c r="H13" s="3"/>
      <c r="I13" s="3"/>
      <c r="J13" s="3"/>
      <c r="K13" s="3"/>
      <c r="L13" s="3"/>
      <c r="M13" s="3" t="str">
        <f>IF(B13="","","AB"&amp;"_"&amp;IFERROR(VLOOKUP(B13,LOOKUPS!$K$2:$L$9,2,FALSE),"UNK")&amp;"_"&amp;IFERROR(VLOOKUP(C13,LOOKUPS!$N$2:$O$8,2,FALSE),"UNK")&amp;"_"&amp;UPPER(L13))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row>
    <row r="14" spans="1:29" x14ac:dyDescent="0.3">
      <c r="A14" s="3" t="str">
        <f t="shared" si="0"/>
        <v/>
      </c>
      <c r="B14" s="3"/>
      <c r="C14" s="3"/>
      <c r="D14" s="3"/>
      <c r="E14" s="3" t="s">
        <v>25</v>
      </c>
      <c r="F14" s="3"/>
      <c r="G14" s="3"/>
      <c r="H14" s="3"/>
      <c r="I14" s="3"/>
      <c r="J14" s="3"/>
      <c r="K14" s="3"/>
      <c r="L14" s="3"/>
      <c r="M14" s="3" t="str">
        <f>IF(B14="","","AB"&amp;"_"&amp;IFERROR(VLOOKUP(B14,LOOKUPS!$K$2:$L$9,2,FALSE),"UNK")&amp;"_"&amp;IFERROR(VLOOKUP(C14,LOOKUPS!$N$2:$O$8,2,FALSE),"UNK")&amp;"_"&amp;UPPER(L14))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row>
    <row r="15" spans="1:29" x14ac:dyDescent="0.3">
      <c r="A15" s="3" t="str">
        <f t="shared" si="0"/>
        <v/>
      </c>
      <c r="B15" s="3"/>
      <c r="C15" s="3"/>
      <c r="D15" s="3"/>
      <c r="E15" s="3" t="s">
        <v>25</v>
      </c>
      <c r="F15" s="3"/>
      <c r="G15" s="3"/>
      <c r="H15" s="3"/>
      <c r="I15" s="3"/>
      <c r="J15" s="3"/>
      <c r="K15" s="3"/>
      <c r="L15" s="3"/>
      <c r="M15" s="3" t="str">
        <f>IF(B15="","","AB"&amp;"_"&amp;IFERROR(VLOOKUP(B15,LOOKUPS!$K$2:$L$9,2,FALSE),"UNK")&amp;"_"&amp;IFERROR(VLOOKUP(C15,LOOKUPS!$N$2:$O$8,2,FALSE),"UNK")&amp;"_"&amp;UPPER(L15))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row>
    <row r="16" spans="1:29" x14ac:dyDescent="0.3">
      <c r="A16" s="3" t="str">
        <f t="shared" si="0"/>
        <v/>
      </c>
      <c r="B16" s="3"/>
      <c r="C16" s="3"/>
      <c r="D16" s="3"/>
      <c r="E16" s="3" t="s">
        <v>25</v>
      </c>
      <c r="F16" s="3"/>
      <c r="G16" s="3"/>
      <c r="H16" s="3"/>
      <c r="I16" s="3"/>
      <c r="J16" s="3"/>
      <c r="K16" s="3"/>
      <c r="L16" s="3"/>
      <c r="M16" s="3" t="str">
        <f>IF(B16="","","AB"&amp;"_"&amp;IFERROR(VLOOKUP(B16,LOOKUPS!$K$2:$L$9,2,FALSE),"UNK")&amp;"_"&amp;IFERROR(VLOOKUP(C16,LOOKUPS!$N$2:$O$8,2,FALSE),"UNK")&amp;"_"&amp;UPPER(L16))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row>
    <row r="17" spans="1:29" x14ac:dyDescent="0.3">
      <c r="A17" s="3" t="str">
        <f t="shared" si="0"/>
        <v/>
      </c>
      <c r="B17" s="3"/>
      <c r="C17" s="3"/>
      <c r="D17" s="3"/>
      <c r="E17" s="3" t="s">
        <v>25</v>
      </c>
      <c r="F17" s="3"/>
      <c r="G17" s="3"/>
      <c r="H17" s="3"/>
      <c r="I17" s="3"/>
      <c r="J17" s="3"/>
      <c r="K17" s="3"/>
      <c r="L17" s="3"/>
      <c r="M17" s="3" t="str">
        <f>IF(B17="","","AB"&amp;"_"&amp;IFERROR(VLOOKUP(B17,LOOKUPS!$K$2:$L$9,2,FALSE),"UNK")&amp;"_"&amp;IFERROR(VLOOKUP(C17,LOOKUPS!$N$2:$O$8,2,FALSE),"UNK")&amp;"_"&amp;UPPER(L17))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row>
    <row r="18" spans="1:29" x14ac:dyDescent="0.3">
      <c r="A18" s="3" t="str">
        <f t="shared" si="0"/>
        <v/>
      </c>
      <c r="B18" s="3"/>
      <c r="C18" s="3"/>
      <c r="D18" s="3"/>
      <c r="E18" s="3" t="s">
        <v>25</v>
      </c>
      <c r="F18" s="3"/>
      <c r="G18" s="3"/>
      <c r="H18" s="3"/>
      <c r="I18" s="3"/>
      <c r="J18" s="3"/>
      <c r="K18" s="3"/>
      <c r="L18" s="3"/>
      <c r="M18" s="3" t="str">
        <f>IF(B18="","","AB"&amp;"_"&amp;IFERROR(VLOOKUP(B18,LOOKUPS!$K$2:$L$9,2,FALSE),"UNK")&amp;"_"&amp;IFERROR(VLOOKUP(C18,LOOKUPS!$N$2:$O$8,2,FALSE),"UNK")&amp;"_"&amp;UPPER(L18))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row>
    <row r="19" spans="1:29" x14ac:dyDescent="0.3">
      <c r="A19" s="3" t="str">
        <f t="shared" si="0"/>
        <v/>
      </c>
      <c r="B19" s="3"/>
      <c r="C19" s="3"/>
      <c r="D19" s="3"/>
      <c r="E19" s="3" t="s">
        <v>25</v>
      </c>
      <c r="F19" s="3"/>
      <c r="G19" s="3"/>
      <c r="H19" s="3"/>
      <c r="I19" s="3"/>
      <c r="J19" s="3"/>
      <c r="K19" s="3"/>
      <c r="L19" s="3"/>
      <c r="M19" s="3" t="str">
        <f>IF(B19="","","AB"&amp;"_"&amp;IFERROR(VLOOKUP(B19,LOOKUPS!$K$2:$L$9,2,FALSE),"UNK")&amp;"_"&amp;IFERROR(VLOOKUP(C19,LOOKUPS!$N$2:$O$8,2,FALSE),"UNK")&amp;"_"&amp;UPPER(L19))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row>
    <row r="20" spans="1:29" x14ac:dyDescent="0.3">
      <c r="A20" s="3" t="str">
        <f t="shared" si="0"/>
        <v/>
      </c>
      <c r="B20" s="3"/>
      <c r="C20" s="3"/>
      <c r="D20" s="3"/>
      <c r="E20" s="3" t="s">
        <v>25</v>
      </c>
      <c r="F20" s="3"/>
      <c r="G20" s="3"/>
      <c r="H20" s="3"/>
      <c r="I20" s="3"/>
      <c r="J20" s="3"/>
      <c r="K20" s="3"/>
      <c r="L20" s="3"/>
      <c r="M20" s="3" t="str">
        <f>IF(B20="","","AB"&amp;"_"&amp;IFERROR(VLOOKUP(B20,LOOKUPS!$K$2:$L$9,2,FALSE),"UNK")&amp;"_"&amp;IFERROR(VLOOKUP(C20,LOOKUPS!$N$2:$O$8,2,FALSE),"UNK")&amp;"_"&amp;UPPER(L20))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row>
    <row r="21" spans="1:29" x14ac:dyDescent="0.3">
      <c r="A21" s="3" t="str">
        <f t="shared" si="0"/>
        <v/>
      </c>
      <c r="B21" s="3"/>
      <c r="C21" s="3"/>
      <c r="D21" s="3"/>
      <c r="E21" s="3" t="s">
        <v>25</v>
      </c>
      <c r="F21" s="3"/>
      <c r="G21" s="3"/>
      <c r="H21" s="3"/>
      <c r="I21" s="3"/>
      <c r="J21" s="3"/>
      <c r="K21" s="3"/>
      <c r="L21" s="3"/>
      <c r="M21" s="3" t="str">
        <f>IF(B21="","","AB"&amp;"_"&amp;IFERROR(VLOOKUP(B21,LOOKUPS!$K$2:$L$9,2,FALSE),"UNK")&amp;"_"&amp;IFERROR(VLOOKUP(C21,LOOKUPS!$N$2:$O$8,2,FALSE),"UNK")&amp;"_"&amp;UPPER(L21))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row>
    <row r="22" spans="1:29" x14ac:dyDescent="0.3">
      <c r="A22" s="3" t="str">
        <f t="shared" si="0"/>
        <v/>
      </c>
      <c r="B22" s="3"/>
      <c r="C22" s="3"/>
      <c r="D22" s="3"/>
      <c r="E22" s="3" t="s">
        <v>25</v>
      </c>
      <c r="F22" s="3"/>
      <c r="G22" s="3"/>
      <c r="H22" s="3"/>
      <c r="I22" s="3"/>
      <c r="J22" s="3"/>
      <c r="K22" s="3"/>
      <c r="L22" s="3"/>
      <c r="M22" s="3" t="str">
        <f>IF(B22="","","AB"&amp;"_"&amp;IFERROR(VLOOKUP(B22,LOOKUPS!$K$2:$L$9,2,FALSE),"UNK")&amp;"_"&amp;IFERROR(VLOOKUP(C22,LOOKUPS!$N$2:$O$8,2,FALSE),"UNK")&amp;"_"&amp;UPPER(L22))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row>
    <row r="23" spans="1:29" x14ac:dyDescent="0.3">
      <c r="A23" s="3" t="str">
        <f t="shared" si="0"/>
        <v/>
      </c>
      <c r="B23" s="3"/>
      <c r="C23" s="3"/>
      <c r="D23" s="3"/>
      <c r="E23" s="3" t="s">
        <v>25</v>
      </c>
      <c r="F23" s="3"/>
      <c r="G23" s="3"/>
      <c r="H23" s="3"/>
      <c r="I23" s="3"/>
      <c r="J23" s="3"/>
      <c r="K23" s="3"/>
      <c r="L23" s="3"/>
      <c r="M23" s="3" t="str">
        <f>IF(B23="","","AB"&amp;"_"&amp;IFERROR(VLOOKUP(B23,LOOKUPS!$K$2:$L$9,2,FALSE),"UNK")&amp;"_"&amp;IFERROR(VLOOKUP(C23,LOOKUPS!$N$2:$O$8,2,FALSE),"UNK")&amp;"_"&amp;UPPER(L23))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row>
    <row r="24" spans="1:29" x14ac:dyDescent="0.3">
      <c r="A24" s="3" t="str">
        <f t="shared" si="0"/>
        <v/>
      </c>
      <c r="B24" s="3"/>
      <c r="C24" s="3"/>
      <c r="D24" s="3"/>
      <c r="E24" s="3" t="s">
        <v>25</v>
      </c>
      <c r="F24" s="3"/>
      <c r="G24" s="3"/>
      <c r="H24" s="3"/>
      <c r="I24" s="3"/>
      <c r="J24" s="3"/>
      <c r="K24" s="3"/>
      <c r="L24" s="3"/>
      <c r="M24" s="3" t="str">
        <f>IF(B24="","","AB"&amp;"_"&amp;IFERROR(VLOOKUP(B24,LOOKUPS!$K$2:$L$9,2,FALSE),"UNK")&amp;"_"&amp;IFERROR(VLOOKUP(C24,LOOKUPS!$N$2:$O$8,2,FALSE),"UNK")&amp;"_"&amp;UPPER(L24))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row>
    <row r="25" spans="1:29" x14ac:dyDescent="0.3">
      <c r="A25" s="3" t="str">
        <f t="shared" si="0"/>
        <v/>
      </c>
      <c r="B25" s="3"/>
      <c r="C25" s="3"/>
      <c r="D25" s="3"/>
      <c r="E25" s="3" t="s">
        <v>25</v>
      </c>
      <c r="F25" s="3"/>
      <c r="G25" s="3"/>
      <c r="H25" s="3"/>
      <c r="I25" s="3"/>
      <c r="J25" s="3"/>
      <c r="K25" s="3"/>
      <c r="L25" s="3"/>
      <c r="M25" s="3" t="str">
        <f>IF(B25="","","AB"&amp;"_"&amp;IFERROR(VLOOKUP(B25,LOOKUPS!$K$2:$L$9,2,FALSE),"UNK")&amp;"_"&amp;IFERROR(VLOOKUP(C25,LOOKUPS!$N$2:$O$8,2,FALSE),"UNK")&amp;"_"&amp;UPPER(L25))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row>
    <row r="26" spans="1:29" x14ac:dyDescent="0.3">
      <c r="A26" s="3" t="str">
        <f t="shared" si="0"/>
        <v/>
      </c>
      <c r="B26" s="3"/>
      <c r="C26" s="3"/>
      <c r="D26" s="3"/>
      <c r="E26" s="3" t="s">
        <v>25</v>
      </c>
      <c r="F26" s="3"/>
      <c r="G26" s="3"/>
      <c r="H26" s="3"/>
      <c r="I26" s="3"/>
      <c r="J26" s="3"/>
      <c r="K26" s="3"/>
      <c r="L26" s="3"/>
      <c r="M26" s="3" t="str">
        <f>IF(B26="","","AB"&amp;"_"&amp;IFERROR(VLOOKUP(B26,LOOKUPS!$K$2:$L$9,2,FALSE),"UNK")&amp;"_"&amp;IFERROR(VLOOKUP(C26,LOOKUPS!$N$2:$O$8,2,FALSE),"UNK")&amp;"_"&amp;UPPER(L26))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row>
    <row r="27" spans="1:29" x14ac:dyDescent="0.3">
      <c r="A27" s="3" t="str">
        <f t="shared" si="0"/>
        <v/>
      </c>
      <c r="B27" s="3"/>
      <c r="C27" s="3"/>
      <c r="D27" s="3"/>
      <c r="E27" s="3" t="s">
        <v>25</v>
      </c>
      <c r="F27" s="3"/>
      <c r="G27" s="3"/>
      <c r="H27" s="3"/>
      <c r="I27" s="3"/>
      <c r="J27" s="3"/>
      <c r="K27" s="3"/>
      <c r="L27" s="3"/>
      <c r="M27" s="3" t="str">
        <f>IF(B27="","","AB"&amp;"_"&amp;IFERROR(VLOOKUP(B27,LOOKUPS!$K$2:$L$9,2,FALSE),"UNK")&amp;"_"&amp;IFERROR(VLOOKUP(C27,LOOKUPS!$N$2:$O$8,2,FALSE),"UNK")&amp;"_"&amp;UPPER(L27))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row>
    <row r="28" spans="1:29" x14ac:dyDescent="0.3">
      <c r="A28" s="3" t="str">
        <f t="shared" si="0"/>
        <v/>
      </c>
      <c r="B28" s="3"/>
      <c r="C28" s="3"/>
      <c r="D28" s="3"/>
      <c r="E28" s="3" t="s">
        <v>25</v>
      </c>
      <c r="F28" s="3"/>
      <c r="G28" s="3"/>
      <c r="H28" s="3"/>
      <c r="I28" s="3"/>
      <c r="J28" s="3"/>
      <c r="K28" s="3"/>
      <c r="L28" s="3"/>
      <c r="M28" s="3" t="str">
        <f>IF(B28="","","AB"&amp;"_"&amp;IFERROR(VLOOKUP(B28,LOOKUPS!$K$2:$L$9,2,FALSE),"UNK")&amp;"_"&amp;IFERROR(VLOOKUP(C28,LOOKUPS!$N$2:$O$8,2,FALSE),"UNK")&amp;"_"&amp;UPPER(L28))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row>
    <row r="29" spans="1:29" x14ac:dyDescent="0.3">
      <c r="A29" s="3" t="str">
        <f t="shared" si="0"/>
        <v/>
      </c>
      <c r="B29" s="3"/>
      <c r="C29" s="3"/>
      <c r="D29" s="3"/>
      <c r="E29" s="3" t="s">
        <v>25</v>
      </c>
      <c r="F29" s="3"/>
      <c r="G29" s="3"/>
      <c r="H29" s="3"/>
      <c r="I29" s="3"/>
      <c r="J29" s="3"/>
      <c r="K29" s="3"/>
      <c r="L29" s="3"/>
      <c r="M29" s="3" t="str">
        <f>IF(B29="","","AB"&amp;"_"&amp;IFERROR(VLOOKUP(B29,LOOKUPS!$K$2:$L$9,2,FALSE),"UNK")&amp;"_"&amp;IFERROR(VLOOKUP(C29,LOOKUPS!$N$2:$O$8,2,FALSE),"UNK")&amp;"_"&amp;UPPER(L29))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row>
    <row r="30" spans="1:29" x14ac:dyDescent="0.3">
      <c r="A30" s="3" t="str">
        <f t="shared" si="0"/>
        <v/>
      </c>
      <c r="B30" s="3"/>
      <c r="C30" s="3"/>
      <c r="D30" s="3"/>
      <c r="E30" s="3" t="s">
        <v>25</v>
      </c>
      <c r="F30" s="3"/>
      <c r="G30" s="3"/>
      <c r="H30" s="3"/>
      <c r="I30" s="3"/>
      <c r="J30" s="3"/>
      <c r="K30" s="3"/>
      <c r="L30" s="3"/>
      <c r="M30" s="3" t="str">
        <f>IF(B30="","","AB"&amp;"_"&amp;IFERROR(VLOOKUP(B30,LOOKUPS!$K$2:$L$9,2,FALSE),"UNK")&amp;"_"&amp;IFERROR(VLOOKUP(C30,LOOKUPS!$N$2:$O$8,2,FALSE),"UNK")&amp;"_"&amp;UPPER(L30))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row>
    <row r="31" spans="1:29" x14ac:dyDescent="0.3">
      <c r="A31" s="3" t="str">
        <f t="shared" si="0"/>
        <v/>
      </c>
      <c r="B31" s="3"/>
      <c r="C31" s="3"/>
      <c r="D31" s="3"/>
      <c r="E31" s="3" t="s">
        <v>25</v>
      </c>
      <c r="F31" s="3"/>
      <c r="G31" s="3"/>
      <c r="H31" s="3"/>
      <c r="I31" s="3"/>
      <c r="J31" s="3"/>
      <c r="K31" s="3"/>
      <c r="L31" s="3"/>
      <c r="M31" s="3" t="str">
        <f>IF(B31="","","AB"&amp;"_"&amp;IFERROR(VLOOKUP(B31,LOOKUPS!$K$2:$L$9,2,FALSE),"UNK")&amp;"_"&amp;IFERROR(VLOOKUP(C31,LOOKUPS!$N$2:$O$8,2,FALSE),"UNK")&amp;"_"&amp;UPPER(L31))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row>
    <row r="32" spans="1:29" x14ac:dyDescent="0.3">
      <c r="A32" s="3" t="str">
        <f t="shared" si="0"/>
        <v/>
      </c>
      <c r="B32" s="3"/>
      <c r="C32" s="3"/>
      <c r="D32" s="3"/>
      <c r="E32" s="3" t="s">
        <v>25</v>
      </c>
      <c r="F32" s="3"/>
      <c r="G32" s="3"/>
      <c r="H32" s="3"/>
      <c r="I32" s="3"/>
      <c r="J32" s="3"/>
      <c r="K32" s="3"/>
      <c r="L32" s="3"/>
      <c r="M32" s="3" t="str">
        <f>IF(B32="","","AB"&amp;"_"&amp;IFERROR(VLOOKUP(B32,LOOKUPS!$K$2:$L$9,2,FALSE),"UNK")&amp;"_"&amp;IFERROR(VLOOKUP(C32,LOOKUPS!$N$2:$O$8,2,FALSE),"UNK")&amp;"_"&amp;UPPER(L32))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row>
    <row r="33" spans="1:29" x14ac:dyDescent="0.3">
      <c r="A33" s="3" t="str">
        <f t="shared" si="0"/>
        <v/>
      </c>
      <c r="B33" s="3"/>
      <c r="C33" s="3"/>
      <c r="D33" s="3"/>
      <c r="E33" s="3" t="s">
        <v>25</v>
      </c>
      <c r="F33" s="3"/>
      <c r="G33" s="3"/>
      <c r="H33" s="3"/>
      <c r="I33" s="3"/>
      <c r="J33" s="3"/>
      <c r="K33" s="3"/>
      <c r="L33" s="3"/>
      <c r="M33" s="3" t="str">
        <f>IF(B33="","","AB"&amp;"_"&amp;IFERROR(VLOOKUP(B33,LOOKUPS!$K$2:$L$9,2,FALSE),"UNK")&amp;"_"&amp;IFERROR(VLOOKUP(C33,LOOKUPS!$N$2:$O$8,2,FALSE),"UNK")&amp;"_"&amp;UPPER(L33))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row>
    <row r="34" spans="1:29" x14ac:dyDescent="0.3">
      <c r="A34" s="3" t="str">
        <f t="shared" si="0"/>
        <v/>
      </c>
      <c r="B34" s="3"/>
      <c r="C34" s="3"/>
      <c r="D34" s="3"/>
      <c r="E34" s="3" t="s">
        <v>25</v>
      </c>
      <c r="F34" s="3"/>
      <c r="G34" s="3"/>
      <c r="H34" s="3"/>
      <c r="I34" s="3"/>
      <c r="J34" s="3"/>
      <c r="K34" s="3"/>
      <c r="L34" s="3"/>
      <c r="M34" s="3" t="str">
        <f>IF(B34="","","AB"&amp;"_"&amp;IFERROR(VLOOKUP(B34,LOOKUPS!$K$2:$L$9,2,FALSE),"UNK")&amp;"_"&amp;IFERROR(VLOOKUP(C34,LOOKUPS!$N$2:$O$8,2,FALSE),"UNK")&amp;"_"&amp;UPPER(L34))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row>
    <row r="35" spans="1:29" x14ac:dyDescent="0.3">
      <c r="A35" s="3" t="str">
        <f t="shared" si="0"/>
        <v/>
      </c>
      <c r="B35" s="3"/>
      <c r="C35" s="3"/>
      <c r="D35" s="3"/>
      <c r="E35" s="3" t="s">
        <v>25</v>
      </c>
      <c r="F35" s="3"/>
      <c r="G35" s="3"/>
      <c r="H35" s="3"/>
      <c r="I35" s="3"/>
      <c r="J35" s="3"/>
      <c r="K35" s="3"/>
      <c r="L35" s="3"/>
      <c r="M35" s="3" t="str">
        <f>IF(B35="","","AB"&amp;"_"&amp;IFERROR(VLOOKUP(B35,LOOKUPS!$K$2:$L$9,2,FALSE),"UNK")&amp;"_"&amp;IFERROR(VLOOKUP(C35,LOOKUPS!$N$2:$O$8,2,FALSE),"UNK")&amp;"_"&amp;UPPER(L35))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row>
    <row r="36" spans="1:29" x14ac:dyDescent="0.3">
      <c r="A36" s="3" t="str">
        <f t="shared" si="0"/>
        <v/>
      </c>
      <c r="B36" s="3"/>
      <c r="C36" s="3"/>
      <c r="D36" s="3"/>
      <c r="E36" s="3" t="s">
        <v>25</v>
      </c>
      <c r="F36" s="3"/>
      <c r="G36" s="3"/>
      <c r="H36" s="3"/>
      <c r="I36" s="3"/>
      <c r="J36" s="3"/>
      <c r="K36" s="3"/>
      <c r="L36" s="3"/>
      <c r="M36" s="3" t="str">
        <f>IF(B36="","","AB"&amp;"_"&amp;IFERROR(VLOOKUP(B36,LOOKUPS!$K$2:$L$9,2,FALSE),"UNK")&amp;"_"&amp;IFERROR(VLOOKUP(C36,LOOKUPS!$N$2:$O$8,2,FALSE),"UNK")&amp;"_"&amp;UPPER(L36))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row>
    <row r="37" spans="1:29" x14ac:dyDescent="0.3">
      <c r="A37" s="3" t="str">
        <f t="shared" si="0"/>
        <v/>
      </c>
      <c r="B37" s="3"/>
      <c r="C37" s="3"/>
      <c r="D37" s="3"/>
      <c r="E37" s="3" t="s">
        <v>25</v>
      </c>
      <c r="F37" s="3"/>
      <c r="G37" s="3"/>
      <c r="H37" s="3"/>
      <c r="I37" s="3"/>
      <c r="J37" s="3"/>
      <c r="K37" s="3"/>
      <c r="L37" s="3"/>
      <c r="M37" s="3" t="str">
        <f>IF(B37="","","AB"&amp;"_"&amp;IFERROR(VLOOKUP(B37,LOOKUPS!$K$2:$L$9,2,FALSE),"UNK")&amp;"_"&amp;IFERROR(VLOOKUP(C37,LOOKUPS!$N$2:$O$8,2,FALSE),"UNK")&amp;"_"&amp;UPPER(L37))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row>
    <row r="38" spans="1:29" x14ac:dyDescent="0.3">
      <c r="A38" s="3" t="str">
        <f t="shared" si="0"/>
        <v/>
      </c>
      <c r="B38" s="3"/>
      <c r="C38" s="3"/>
      <c r="D38" s="3"/>
      <c r="E38" s="3" t="s">
        <v>25</v>
      </c>
      <c r="F38" s="3"/>
      <c r="G38" s="3"/>
      <c r="H38" s="3"/>
      <c r="I38" s="3"/>
      <c r="J38" s="3"/>
      <c r="K38" s="3"/>
      <c r="L38" s="3"/>
      <c r="M38" s="3" t="str">
        <f>IF(B38="","","AB"&amp;"_"&amp;IFERROR(VLOOKUP(B38,LOOKUPS!$K$2:$L$9,2,FALSE),"UNK")&amp;"_"&amp;IFERROR(VLOOKUP(C38,LOOKUPS!$N$2:$O$8,2,FALSE),"UNK")&amp;"_"&amp;UPPER(L38))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row>
    <row r="39" spans="1:29" x14ac:dyDescent="0.3">
      <c r="A39" s="3" t="str">
        <f t="shared" si="0"/>
        <v/>
      </c>
      <c r="B39" s="3"/>
      <c r="C39" s="3"/>
      <c r="D39" s="3"/>
      <c r="E39" s="3" t="s">
        <v>25</v>
      </c>
      <c r="F39" s="3"/>
      <c r="G39" s="3"/>
      <c r="H39" s="3"/>
      <c r="I39" s="3"/>
      <c r="J39" s="3"/>
      <c r="K39" s="3"/>
      <c r="L39" s="3"/>
      <c r="M39" s="3" t="str">
        <f>IF(B39="","","AB"&amp;"_"&amp;IFERROR(VLOOKUP(B39,LOOKUPS!$K$2:$L$9,2,FALSE),"UNK")&amp;"_"&amp;IFERROR(VLOOKUP(C39,LOOKUPS!$N$2:$O$8,2,FALSE),"UNK")&amp;"_"&amp;UPPER(L39))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row>
    <row r="40" spans="1:29" x14ac:dyDescent="0.3">
      <c r="A40" s="3" t="str">
        <f t="shared" si="0"/>
        <v/>
      </c>
      <c r="B40" s="3"/>
      <c r="C40" s="3"/>
      <c r="D40" s="3"/>
      <c r="E40" s="3" t="s">
        <v>25</v>
      </c>
      <c r="F40" s="3"/>
      <c r="G40" s="3"/>
      <c r="H40" s="3"/>
      <c r="I40" s="3"/>
      <c r="J40" s="3"/>
      <c r="K40" s="3"/>
      <c r="L40" s="3"/>
      <c r="M40" s="3" t="str">
        <f>IF(B40="","","AB"&amp;"_"&amp;IFERROR(VLOOKUP(B40,LOOKUPS!$K$2:$L$9,2,FALSE),"UNK")&amp;"_"&amp;IFERROR(VLOOKUP(C40,LOOKUPS!$N$2:$O$8,2,FALSE),"UNK")&amp;"_"&amp;UPPER(L40))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row>
    <row r="41" spans="1:29" x14ac:dyDescent="0.3">
      <c r="A41" s="3" t="str">
        <f t="shared" si="0"/>
        <v/>
      </c>
      <c r="B41" s="3"/>
      <c r="C41" s="3"/>
      <c r="D41" s="3"/>
      <c r="E41" s="3" t="s">
        <v>25</v>
      </c>
      <c r="F41" s="3"/>
      <c r="G41" s="3"/>
      <c r="H41" s="3"/>
      <c r="I41" s="3"/>
      <c r="J41" s="3"/>
      <c r="K41" s="3"/>
      <c r="L41" s="3"/>
      <c r="M41" s="3" t="str">
        <f>IF(B41="","","AB"&amp;"_"&amp;IFERROR(VLOOKUP(B41,LOOKUPS!$K$2:$L$9,2,FALSE),"UNK")&amp;"_"&amp;IFERROR(VLOOKUP(C41,LOOKUPS!$N$2:$O$8,2,FALSE),"UNK")&amp;"_"&amp;UPPER(L41))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row>
    <row r="42" spans="1:29" x14ac:dyDescent="0.3">
      <c r="A42" s="3" t="str">
        <f t="shared" si="0"/>
        <v/>
      </c>
      <c r="B42" s="3"/>
      <c r="C42" s="3"/>
      <c r="D42" s="3"/>
      <c r="E42" s="3" t="s">
        <v>25</v>
      </c>
      <c r="F42" s="3"/>
      <c r="G42" s="3"/>
      <c r="H42" s="3"/>
      <c r="I42" s="3"/>
      <c r="J42" s="3"/>
      <c r="K42" s="3"/>
      <c r="L42" s="3"/>
      <c r="M42" s="3" t="str">
        <f>IF(B42="","","AB"&amp;"_"&amp;IFERROR(VLOOKUP(B42,LOOKUPS!$K$2:$L$9,2,FALSE),"UNK")&amp;"_"&amp;IFERROR(VLOOKUP(C42,LOOKUPS!$N$2:$O$8,2,FALSE),"UNK")&amp;"_"&amp;UPPER(L42))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row>
    <row r="43" spans="1:29" x14ac:dyDescent="0.3">
      <c r="A43" s="3" t="str">
        <f t="shared" si="0"/>
        <v/>
      </c>
      <c r="B43" s="3"/>
      <c r="C43" s="3"/>
      <c r="D43" s="3"/>
      <c r="E43" s="3" t="s">
        <v>25</v>
      </c>
      <c r="F43" s="3"/>
      <c r="G43" s="3"/>
      <c r="H43" s="3"/>
      <c r="I43" s="3"/>
      <c r="J43" s="3"/>
      <c r="K43" s="3"/>
      <c r="L43" s="3"/>
      <c r="M43" s="3" t="str">
        <f>IF(B43="","","AB"&amp;"_"&amp;IFERROR(VLOOKUP(B43,LOOKUPS!$K$2:$L$9,2,FALSE),"UNK")&amp;"_"&amp;IFERROR(VLOOKUP(C43,LOOKUPS!$N$2:$O$8,2,FALSE),"UNK")&amp;"_"&amp;UPPER(L43))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row>
    <row r="44" spans="1:29" x14ac:dyDescent="0.3">
      <c r="A44" s="3" t="str">
        <f t="shared" si="0"/>
        <v/>
      </c>
      <c r="B44" s="3"/>
      <c r="C44" s="3"/>
      <c r="D44" s="3"/>
      <c r="E44" s="3" t="s">
        <v>25</v>
      </c>
      <c r="F44" s="3"/>
      <c r="G44" s="3"/>
      <c r="H44" s="3"/>
      <c r="I44" s="3"/>
      <c r="J44" s="3"/>
      <c r="K44" s="3"/>
      <c r="L44" s="3"/>
      <c r="M44" s="3" t="str">
        <f>IF(B44="","","AB"&amp;"_"&amp;IFERROR(VLOOKUP(B44,LOOKUPS!$K$2:$L$9,2,FALSE),"UNK")&amp;"_"&amp;IFERROR(VLOOKUP(C44,LOOKUPS!$N$2:$O$8,2,FALSE),"UNK")&amp;"_"&amp;UPPER(L44))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row>
    <row r="45" spans="1:29" x14ac:dyDescent="0.3">
      <c r="A45" s="3" t="str">
        <f t="shared" si="0"/>
        <v/>
      </c>
      <c r="B45" s="3"/>
      <c r="C45" s="3"/>
      <c r="D45" s="3"/>
      <c r="E45" s="3" t="s">
        <v>25</v>
      </c>
      <c r="F45" s="3"/>
      <c r="G45" s="3"/>
      <c r="H45" s="3"/>
      <c r="I45" s="3"/>
      <c r="J45" s="3"/>
      <c r="K45" s="3"/>
      <c r="L45" s="3"/>
      <c r="M45" s="3" t="str">
        <f>IF(B45="","","AB"&amp;"_"&amp;IFERROR(VLOOKUP(B45,LOOKUPS!$K$2:$L$9,2,FALSE),"UNK")&amp;"_"&amp;IFERROR(VLOOKUP(C45,LOOKUPS!$N$2:$O$8,2,FALSE),"UNK")&amp;"_"&amp;UPPER(L45))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row>
    <row r="46" spans="1:29" x14ac:dyDescent="0.3">
      <c r="A46" s="3" t="str">
        <f t="shared" si="0"/>
        <v/>
      </c>
      <c r="B46" s="3"/>
      <c r="C46" s="3"/>
      <c r="D46" s="3"/>
      <c r="E46" s="3" t="s">
        <v>25</v>
      </c>
      <c r="F46" s="3"/>
      <c r="G46" s="3"/>
      <c r="H46" s="3"/>
      <c r="I46" s="3"/>
      <c r="J46" s="3"/>
      <c r="K46" s="3"/>
      <c r="L46" s="3"/>
      <c r="M46" s="3" t="str">
        <f>IF(B46="","","AB"&amp;"_"&amp;IFERROR(VLOOKUP(B46,LOOKUPS!$K$2:$L$9,2,FALSE),"UNK")&amp;"_"&amp;IFERROR(VLOOKUP(C46,LOOKUPS!$N$2:$O$8,2,FALSE),"UNK")&amp;"_"&amp;UPPER(L46))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row>
    <row r="47" spans="1:29" x14ac:dyDescent="0.3">
      <c r="A47" s="3" t="str">
        <f t="shared" si="0"/>
        <v/>
      </c>
      <c r="B47" s="3"/>
      <c r="C47" s="3"/>
      <c r="D47" s="3"/>
      <c r="E47" s="3" t="s">
        <v>25</v>
      </c>
      <c r="F47" s="3"/>
      <c r="G47" s="3"/>
      <c r="H47" s="3"/>
      <c r="I47" s="3"/>
      <c r="J47" s="3"/>
      <c r="K47" s="3"/>
      <c r="L47" s="3"/>
      <c r="M47" s="3" t="str">
        <f>IF(B47="","","AB"&amp;"_"&amp;IFERROR(VLOOKUP(B47,LOOKUPS!$K$2:$L$9,2,FALSE),"UNK")&amp;"_"&amp;IFERROR(VLOOKUP(C47,LOOKUPS!$N$2:$O$8,2,FALSE),"UNK")&amp;"_"&amp;UPPER(L47))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row>
    <row r="48" spans="1:29" x14ac:dyDescent="0.3">
      <c r="A48" s="3" t="str">
        <f t="shared" si="0"/>
        <v/>
      </c>
      <c r="B48" s="3"/>
      <c r="C48" s="3"/>
      <c r="D48" s="3"/>
      <c r="E48" s="3" t="s">
        <v>25</v>
      </c>
      <c r="F48" s="3"/>
      <c r="G48" s="3"/>
      <c r="H48" s="3"/>
      <c r="I48" s="3"/>
      <c r="J48" s="3"/>
      <c r="K48" s="3"/>
      <c r="L48" s="3"/>
      <c r="M48" s="3" t="str">
        <f>IF(B48="","","AB"&amp;"_"&amp;IFERROR(VLOOKUP(B48,LOOKUPS!$K$2:$L$9,2,FALSE),"UNK")&amp;"_"&amp;IFERROR(VLOOKUP(C48,LOOKUPS!$N$2:$O$8,2,FALSE),"UNK")&amp;"_"&amp;UPPER(L48))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C49" s="3"/>
      <c r="D49" s="3"/>
      <c r="E49" s="3" t="s">
        <v>25</v>
      </c>
      <c r="F49" s="3"/>
      <c r="G49" s="3"/>
      <c r="H49" s="3"/>
      <c r="I49" s="3"/>
      <c r="J49" s="3"/>
      <c r="K49" s="3"/>
      <c r="L49" s="3"/>
      <c r="M49" s="3" t="str">
        <f>IF(B49="","","AB"&amp;"_"&amp;IFERROR(VLOOKUP(B49,LOOKUPS!$K$2:$L$9,2,FALSE),"UNK")&amp;"_"&amp;IFERROR(VLOOKUP(C49,LOOKUPS!$N$2:$O$8,2,FALSE),"UNK")&amp;"_"&amp;UPPER(L49))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C50" s="3"/>
      <c r="D50" s="3"/>
      <c r="E50" s="3" t="s">
        <v>25</v>
      </c>
      <c r="F50" s="3"/>
      <c r="G50" s="3"/>
      <c r="H50" s="3"/>
      <c r="I50" s="3"/>
      <c r="J50" s="3"/>
      <c r="K50" s="3"/>
      <c r="L50" s="3"/>
      <c r="M50" s="3" t="str">
        <f>IF(B50="","","AB"&amp;"_"&amp;IFERROR(VLOOKUP(B50,LOOKUPS!$K$2:$L$9,2,FALSE),"UNK")&amp;"_"&amp;IFERROR(VLOOKUP(C50,LOOKUPS!$N$2:$O$8,2,FALSE),"UNK")&amp;"_"&amp;UPPER(L50))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C51" s="3"/>
      <c r="D51" s="3"/>
      <c r="E51" s="3" t="s">
        <v>25</v>
      </c>
      <c r="F51" s="3"/>
      <c r="G51" s="3"/>
      <c r="H51" s="3"/>
      <c r="I51" s="3"/>
      <c r="J51" s="3"/>
      <c r="K51" s="3"/>
      <c r="L51" s="3"/>
      <c r="M51" s="3" t="str">
        <f>IF(B51="","","AB"&amp;"_"&amp;IFERROR(VLOOKUP(B51,LOOKUPS!$K$2:$L$9,2,FALSE),"UNK")&amp;"_"&amp;IFERROR(VLOOKUP(C51,LOOKUPS!$N$2:$O$8,2,FALSE),"UNK")&amp;"_"&amp;UPPER(L51))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C52" s="3"/>
      <c r="D52" s="3"/>
      <c r="E52" s="3" t="s">
        <v>25</v>
      </c>
      <c r="F52" s="3"/>
      <c r="G52" s="3"/>
      <c r="H52" s="3"/>
      <c r="I52" s="3"/>
      <c r="J52" s="3"/>
      <c r="K52" s="3"/>
      <c r="L52" s="3"/>
      <c r="M52" s="3" t="str">
        <f>IF(B52="","","AB"&amp;"_"&amp;IFERROR(VLOOKUP(B52,LOOKUPS!$K$2:$L$9,2,FALSE),"UNK")&amp;"_"&amp;IFERROR(VLOOKUP(C52,LOOKUPS!$N$2:$O$8,2,FALSE),"UNK")&amp;"_"&amp;UPPER(L52))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C53" s="3"/>
      <c r="D53" s="3"/>
      <c r="E53" s="3" t="s">
        <v>25</v>
      </c>
      <c r="F53" s="3"/>
      <c r="G53" s="3"/>
      <c r="H53" s="3"/>
      <c r="I53" s="3"/>
      <c r="J53" s="3"/>
      <c r="K53" s="3"/>
      <c r="L53" s="3"/>
      <c r="M53" s="3" t="str">
        <f>IF(B53="","","AB"&amp;"_"&amp;IFERROR(VLOOKUP(B53,LOOKUPS!$K$2:$L$9,2,FALSE),"UNK")&amp;"_"&amp;IFERROR(VLOOKUP(C53,LOOKUPS!$N$2:$O$8,2,FALSE),"UNK")&amp;"_"&amp;UPPER(L53))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C54" s="3"/>
      <c r="D54" s="3"/>
      <c r="E54" s="3" t="s">
        <v>25</v>
      </c>
      <c r="F54" s="3"/>
      <c r="G54" s="3"/>
      <c r="H54" s="3"/>
      <c r="I54" s="3"/>
      <c r="J54" s="3"/>
      <c r="K54" s="3"/>
      <c r="L54" s="3"/>
      <c r="M54" s="3" t="str">
        <f>IF(B54="","","AB"&amp;"_"&amp;IFERROR(VLOOKUP(B54,LOOKUPS!$K$2:$L$9,2,FALSE),"UNK")&amp;"_"&amp;IFERROR(VLOOKUP(C54,LOOKUPS!$N$2:$O$8,2,FALSE),"UNK")&amp;"_"&amp;UPPER(L54))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C55" s="3"/>
      <c r="D55" s="3"/>
      <c r="E55" s="3" t="s">
        <v>25</v>
      </c>
      <c r="F55" s="3"/>
      <c r="G55" s="3"/>
      <c r="H55" s="3"/>
      <c r="I55" s="3"/>
      <c r="J55" s="3"/>
      <c r="K55" s="3"/>
      <c r="L55" s="3"/>
      <c r="M55" s="3" t="str">
        <f>IF(B55="","","AB"&amp;"_"&amp;IFERROR(VLOOKUP(B55,LOOKUPS!$K$2:$L$9,2,FALSE),"UNK")&amp;"_"&amp;IFERROR(VLOOKUP(C55,LOOKUPS!$N$2:$O$8,2,FALSE),"UNK")&amp;"_"&amp;UPPER(L55))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C56" s="3"/>
      <c r="D56" s="3"/>
      <c r="E56" s="3" t="s">
        <v>25</v>
      </c>
      <c r="F56" s="3"/>
      <c r="G56" s="3"/>
      <c r="H56" s="3"/>
      <c r="I56" s="3"/>
      <c r="J56" s="3"/>
      <c r="K56" s="3"/>
      <c r="L56" s="3"/>
      <c r="M56" s="3" t="str">
        <f>IF(B56="","","AB"&amp;"_"&amp;IFERROR(VLOOKUP(B56,LOOKUPS!$K$2:$L$9,2,FALSE),"UNK")&amp;"_"&amp;IFERROR(VLOOKUP(C56,LOOKUPS!$N$2:$O$8,2,FALSE),"UNK")&amp;"_"&amp;UPPER(L56))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C57" s="3"/>
      <c r="D57" s="3"/>
      <c r="E57" s="3" t="s">
        <v>25</v>
      </c>
      <c r="F57" s="3"/>
      <c r="G57" s="3"/>
      <c r="H57" s="3"/>
      <c r="I57" s="3"/>
      <c r="J57" s="3"/>
      <c r="K57" s="3"/>
      <c r="L57" s="3"/>
      <c r="M57" s="3" t="str">
        <f>IF(B57="","","AB"&amp;"_"&amp;IFERROR(VLOOKUP(B57,LOOKUPS!$K$2:$L$9,2,FALSE),"UNK")&amp;"_"&amp;IFERROR(VLOOKUP(C57,LOOKUPS!$N$2:$O$8,2,FALSE),"UNK")&amp;"_"&amp;UPPER(L57))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C58" s="3"/>
      <c r="D58" s="3"/>
      <c r="E58" s="3" t="s">
        <v>25</v>
      </c>
      <c r="F58" s="3"/>
      <c r="G58" s="3"/>
      <c r="H58" s="3"/>
      <c r="I58" s="3"/>
      <c r="J58" s="3"/>
      <c r="K58" s="3"/>
      <c r="L58" s="3"/>
      <c r="M58" s="3" t="str">
        <f>IF(B58="","","AB"&amp;"_"&amp;IFERROR(VLOOKUP(B58,LOOKUPS!$K$2:$L$9,2,FALSE),"UNK")&amp;"_"&amp;IFERROR(VLOOKUP(C58,LOOKUPS!$N$2:$O$8,2,FALSE),"UNK")&amp;"_"&amp;UPPER(L58))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C59" s="3"/>
      <c r="D59" s="3"/>
      <c r="E59" s="3" t="s">
        <v>25</v>
      </c>
      <c r="F59" s="3"/>
      <c r="G59" s="3"/>
      <c r="H59" s="3"/>
      <c r="I59" s="3"/>
      <c r="J59" s="3"/>
      <c r="K59" s="3"/>
      <c r="L59" s="3"/>
      <c r="M59" s="3" t="str">
        <f>IF(B59="","","AB"&amp;"_"&amp;IFERROR(VLOOKUP(B59,LOOKUPS!$K$2:$L$9,2,FALSE),"UNK")&amp;"_"&amp;IFERROR(VLOOKUP(C59,LOOKUPS!$N$2:$O$8,2,FALSE),"UNK")&amp;"_"&amp;UPPER(L59))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C60" s="3"/>
      <c r="D60" s="3"/>
      <c r="E60" s="3" t="s">
        <v>25</v>
      </c>
      <c r="F60" s="3"/>
      <c r="G60" s="3"/>
      <c r="H60" s="3"/>
      <c r="I60" s="3"/>
      <c r="J60" s="3"/>
      <c r="K60" s="3"/>
      <c r="L60" s="3"/>
      <c r="M60" s="3" t="str">
        <f>IF(B60="","","AB"&amp;"_"&amp;IFERROR(VLOOKUP(B60,LOOKUPS!$K$2:$L$9,2,FALSE),"UNK")&amp;"_"&amp;IFERROR(VLOOKUP(C60,LOOKUPS!$N$2:$O$8,2,FALSE),"UNK")&amp;"_"&amp;UPPER(L60))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C61" s="3"/>
      <c r="D61" s="3"/>
      <c r="E61" s="3" t="s">
        <v>25</v>
      </c>
      <c r="F61" s="3"/>
      <c r="G61" s="3"/>
      <c r="H61" s="3"/>
      <c r="I61" s="3"/>
      <c r="J61" s="3"/>
      <c r="K61" s="3"/>
      <c r="L61" s="3"/>
      <c r="M61" s="3" t="str">
        <f>IF(B61="","","AB"&amp;"_"&amp;IFERROR(VLOOKUP(B61,LOOKUPS!$K$2:$L$9,2,FALSE),"UNK")&amp;"_"&amp;IFERROR(VLOOKUP(C61,LOOKUPS!$N$2:$O$8,2,FALSE),"UNK")&amp;"_"&amp;UPPER(L61))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C62" s="3"/>
      <c r="D62" s="3"/>
      <c r="E62" s="3" t="s">
        <v>25</v>
      </c>
      <c r="F62" s="3"/>
      <c r="G62" s="3"/>
      <c r="H62" s="3"/>
      <c r="I62" s="3"/>
      <c r="J62" s="3"/>
      <c r="K62" s="3"/>
      <c r="L62" s="3"/>
      <c r="M62" s="3" t="str">
        <f>IF(B62="","","AB"&amp;"_"&amp;IFERROR(VLOOKUP(B62,LOOKUPS!$K$2:$L$9,2,FALSE),"UNK")&amp;"_"&amp;IFERROR(VLOOKUP(C62,LOOKUPS!$N$2:$O$8,2,FALSE),"UNK")&amp;"_"&amp;UPPER(L62))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C63" s="3"/>
      <c r="D63" s="3"/>
      <c r="E63" s="3" t="s">
        <v>25</v>
      </c>
      <c r="F63" s="3"/>
      <c r="G63" s="3"/>
      <c r="H63" s="3"/>
      <c r="I63" s="3"/>
      <c r="J63" s="3"/>
      <c r="K63" s="3"/>
      <c r="L63" s="3"/>
      <c r="M63" s="3" t="str">
        <f>IF(B63="","","AB"&amp;"_"&amp;IFERROR(VLOOKUP(B63,LOOKUPS!$K$2:$L$9,2,FALSE),"UNK")&amp;"_"&amp;IFERROR(VLOOKUP(C63,LOOKUPS!$N$2:$O$8,2,FALSE),"UNK")&amp;"_"&amp;UPPER(L63))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C64" s="3"/>
      <c r="D64" s="3"/>
      <c r="E64" s="3" t="s">
        <v>25</v>
      </c>
      <c r="F64" s="3"/>
      <c r="G64" s="3"/>
      <c r="H64" s="3"/>
      <c r="I64" s="3"/>
      <c r="J64" s="3"/>
      <c r="K64" s="3"/>
      <c r="L64" s="3"/>
      <c r="M64" s="3" t="str">
        <f>IF(B64="","","AB"&amp;"_"&amp;IFERROR(VLOOKUP(B64,LOOKUPS!$K$2:$L$9,2,FALSE),"UNK")&amp;"_"&amp;IFERROR(VLOOKUP(C64,LOOKUPS!$N$2:$O$8,2,FALSE),"UNK")&amp;"_"&amp;UPPER(L64))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C65" s="3"/>
      <c r="D65" s="3"/>
      <c r="E65" s="3" t="s">
        <v>25</v>
      </c>
      <c r="F65" s="3"/>
      <c r="G65" s="3"/>
      <c r="H65" s="3"/>
      <c r="I65" s="3"/>
      <c r="J65" s="3"/>
      <c r="K65" s="3"/>
      <c r="L65" s="3"/>
      <c r="M65" s="3" t="str">
        <f>IF(B65="","","AB"&amp;"_"&amp;IFERROR(VLOOKUP(B65,LOOKUPS!$K$2:$L$9,2,FALSE),"UNK")&amp;"_"&amp;IFERROR(VLOOKUP(C65,LOOKUPS!$N$2:$O$8,2,FALSE),"UNK")&amp;"_"&amp;UPPER(L65))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C66" s="3"/>
      <c r="D66" s="3"/>
      <c r="E66" s="3" t="s">
        <v>25</v>
      </c>
      <c r="F66" s="3"/>
      <c r="G66" s="3"/>
      <c r="H66" s="3"/>
      <c r="I66" s="3"/>
      <c r="J66" s="3"/>
      <c r="K66" s="3"/>
      <c r="L66" s="3"/>
      <c r="M66" s="3" t="str">
        <f>IF(B66="","","AB"&amp;"_"&amp;IFERROR(VLOOKUP(B66,LOOKUPS!$K$2:$L$9,2,FALSE),"UNK")&amp;"_"&amp;IFERROR(VLOOKUP(C66,LOOKUPS!$N$2:$O$8,2,FALSE),"UNK")&amp;"_"&amp;UPPER(L66))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C67" s="3"/>
      <c r="D67" s="3"/>
      <c r="E67" s="3" t="s">
        <v>25</v>
      </c>
      <c r="F67" s="3"/>
      <c r="G67" s="3"/>
      <c r="H67" s="3"/>
      <c r="I67" s="3"/>
      <c r="J67" s="3"/>
      <c r="K67" s="3"/>
      <c r="L67" s="3"/>
      <c r="M67" s="3" t="str">
        <f>IF(B67="","","AB"&amp;"_"&amp;IFERROR(VLOOKUP(B67,LOOKUPS!$K$2:$L$9,2,FALSE),"UNK")&amp;"_"&amp;IFERROR(VLOOKUP(C67,LOOKUPS!$N$2:$O$8,2,FALSE),"UNK")&amp;"_"&amp;UPPER(L67))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C68" s="3"/>
      <c r="D68" s="3"/>
      <c r="E68" s="3" t="s">
        <v>25</v>
      </c>
      <c r="F68" s="3"/>
      <c r="G68" s="3"/>
      <c r="H68" s="3"/>
      <c r="I68" s="3"/>
      <c r="J68" s="3"/>
      <c r="K68" s="3"/>
      <c r="L68" s="3"/>
      <c r="M68" s="3" t="str">
        <f>IF(B68="","","AB"&amp;"_"&amp;IFERROR(VLOOKUP(B68,LOOKUPS!$K$2:$L$9,2,FALSE),"UNK")&amp;"_"&amp;IFERROR(VLOOKUP(C68,LOOKUPS!$N$2:$O$8,2,FALSE),"UNK")&amp;"_"&amp;UPPER(L68))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C69" s="3"/>
      <c r="D69" s="3"/>
      <c r="E69" s="3" t="s">
        <v>25</v>
      </c>
      <c r="F69" s="3"/>
      <c r="G69" s="3"/>
      <c r="H69" s="3"/>
      <c r="I69" s="3"/>
      <c r="J69" s="3"/>
      <c r="K69" s="3"/>
      <c r="L69" s="3"/>
      <c r="M69" s="3" t="str">
        <f>IF(B69="","","AB"&amp;"_"&amp;IFERROR(VLOOKUP(B69,LOOKUPS!$K$2:$L$9,2,FALSE),"UNK")&amp;"_"&amp;IFERROR(VLOOKUP(C69,LOOKUPS!$N$2:$O$8,2,FALSE),"UNK")&amp;"_"&amp;UPPER(L69))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C70" s="3"/>
      <c r="D70" s="3"/>
      <c r="E70" s="3" t="s">
        <v>25</v>
      </c>
      <c r="F70" s="3"/>
      <c r="G70" s="3"/>
      <c r="H70" s="3"/>
      <c r="I70" s="3"/>
      <c r="J70" s="3"/>
      <c r="K70" s="3"/>
      <c r="L70" s="3"/>
      <c r="M70" s="3" t="str">
        <f>IF(B70="","","AB"&amp;"_"&amp;IFERROR(VLOOKUP(B70,LOOKUPS!$K$2:$L$9,2,FALSE),"UNK")&amp;"_"&amp;IFERROR(VLOOKUP(C70,LOOKUPS!$N$2:$O$8,2,FALSE),"UNK")&amp;"_"&amp;UPPER(L70))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C71" s="3"/>
      <c r="D71" s="3"/>
      <c r="E71" s="3" t="s">
        <v>25</v>
      </c>
      <c r="F71" s="3"/>
      <c r="G71" s="3"/>
      <c r="H71" s="3"/>
      <c r="I71" s="3"/>
      <c r="J71" s="3"/>
      <c r="K71" s="3"/>
      <c r="L71" s="3"/>
      <c r="M71" s="3" t="str">
        <f>IF(B71="","","AB"&amp;"_"&amp;IFERROR(VLOOKUP(B71,LOOKUPS!$K$2:$L$9,2,FALSE),"UNK")&amp;"_"&amp;IFERROR(VLOOKUP(C71,LOOKUPS!$N$2:$O$8,2,FALSE),"UNK")&amp;"_"&amp;UPPER(L71))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C72" s="3"/>
      <c r="D72" s="3"/>
      <c r="E72" s="3" t="s">
        <v>25</v>
      </c>
      <c r="F72" s="3"/>
      <c r="G72" s="3"/>
      <c r="H72" s="3"/>
      <c r="I72" s="3"/>
      <c r="J72" s="3"/>
      <c r="K72" s="3"/>
      <c r="L72" s="3"/>
      <c r="M72" s="3" t="str">
        <f>IF(B72="","","AB"&amp;"_"&amp;IFERROR(VLOOKUP(B72,LOOKUPS!$K$2:$L$9,2,FALSE),"UNK")&amp;"_"&amp;IFERROR(VLOOKUP(C72,LOOKUPS!$N$2:$O$8,2,FALSE),"UNK")&amp;"_"&amp;UPPER(L72))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C73" s="3"/>
      <c r="D73" s="3"/>
      <c r="E73" s="3" t="s">
        <v>25</v>
      </c>
      <c r="F73" s="3"/>
      <c r="G73" s="3"/>
      <c r="H73" s="3"/>
      <c r="I73" s="3"/>
      <c r="J73" s="3"/>
      <c r="K73" s="3"/>
      <c r="L73" s="3"/>
      <c r="M73" s="3" t="str">
        <f>IF(B73="","","AB"&amp;"_"&amp;IFERROR(VLOOKUP(B73,LOOKUPS!$K$2:$L$9,2,FALSE),"UNK")&amp;"_"&amp;IFERROR(VLOOKUP(C73,LOOKUPS!$N$2:$O$8,2,FALSE),"UNK")&amp;"_"&amp;UPPER(L73))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C74" s="3"/>
      <c r="D74" s="3"/>
      <c r="E74" s="3" t="s">
        <v>25</v>
      </c>
      <c r="F74" s="3"/>
      <c r="G74" s="3"/>
      <c r="H74" s="3"/>
      <c r="I74" s="3"/>
      <c r="J74" s="3"/>
      <c r="K74" s="3"/>
      <c r="L74" s="3"/>
      <c r="M74" s="3" t="str">
        <f>IF(B74="","","AB"&amp;"_"&amp;IFERROR(VLOOKUP(B74,LOOKUPS!$K$2:$L$9,2,FALSE),"UNK")&amp;"_"&amp;IFERROR(VLOOKUP(C74,LOOKUPS!$N$2:$O$8,2,FALSE),"UNK")&amp;"_"&amp;UPPER(L74))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C75" s="3"/>
      <c r="D75" s="3"/>
      <c r="E75" s="3" t="s">
        <v>25</v>
      </c>
      <c r="F75" s="3"/>
      <c r="G75" s="3"/>
      <c r="H75" s="3"/>
      <c r="I75" s="3"/>
      <c r="J75" s="3"/>
      <c r="K75" s="3"/>
      <c r="L75" s="3"/>
      <c r="M75" s="3" t="str">
        <f>IF(B75="","","AB"&amp;"_"&amp;IFERROR(VLOOKUP(B75,LOOKUPS!$K$2:$L$9,2,FALSE),"UNK")&amp;"_"&amp;IFERROR(VLOOKUP(C75,LOOKUPS!$N$2:$O$8,2,FALSE),"UNK")&amp;"_"&amp;UPPER(L75))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C76" s="3"/>
      <c r="D76" s="3"/>
      <c r="E76" s="3" t="s">
        <v>25</v>
      </c>
      <c r="F76" s="3"/>
      <c r="G76" s="3"/>
      <c r="H76" s="3"/>
      <c r="I76" s="3"/>
      <c r="J76" s="3"/>
      <c r="K76" s="3"/>
      <c r="L76" s="3"/>
      <c r="M76" s="3" t="str">
        <f>IF(B76="","","AB"&amp;"_"&amp;IFERROR(VLOOKUP(B76,LOOKUPS!$K$2:$L$9,2,FALSE),"UNK")&amp;"_"&amp;IFERROR(VLOOKUP(C76,LOOKUPS!$N$2:$O$8,2,FALSE),"UNK")&amp;"_"&amp;UPPER(L76))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C77" s="3"/>
      <c r="D77" s="3"/>
      <c r="E77" s="3" t="s">
        <v>25</v>
      </c>
      <c r="F77" s="3"/>
      <c r="G77" s="3"/>
      <c r="H77" s="3"/>
      <c r="I77" s="3"/>
      <c r="J77" s="3"/>
      <c r="K77" s="3"/>
      <c r="L77" s="3"/>
      <c r="M77" s="3" t="str">
        <f>IF(B77="","","AB"&amp;"_"&amp;IFERROR(VLOOKUP(B77,LOOKUPS!$K$2:$L$9,2,FALSE),"UNK")&amp;"_"&amp;IFERROR(VLOOKUP(C77,LOOKUPS!$N$2:$O$8,2,FALSE),"UNK")&amp;"_"&amp;UPPER(L77))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C78" s="3"/>
      <c r="D78" s="3"/>
      <c r="E78" s="3" t="s">
        <v>25</v>
      </c>
      <c r="F78" s="3"/>
      <c r="G78" s="3"/>
      <c r="H78" s="3"/>
      <c r="I78" s="3"/>
      <c r="J78" s="3"/>
      <c r="K78" s="3"/>
      <c r="L78" s="3"/>
      <c r="M78" s="3" t="str">
        <f>IF(B78="","","AB"&amp;"_"&amp;IFERROR(VLOOKUP(B78,LOOKUPS!$K$2:$L$9,2,FALSE),"UNK")&amp;"_"&amp;IFERROR(VLOOKUP(C78,LOOKUPS!$N$2:$O$8,2,FALSE),"UNK")&amp;"_"&amp;UPPER(L78))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C79" s="3"/>
      <c r="D79" s="3"/>
      <c r="E79" s="3" t="s">
        <v>25</v>
      </c>
      <c r="F79" s="3"/>
      <c r="G79" s="3"/>
      <c r="H79" s="3"/>
      <c r="I79" s="3"/>
      <c r="J79" s="3"/>
      <c r="K79" s="3"/>
      <c r="L79" s="3"/>
      <c r="M79" s="3" t="str">
        <f>IF(B79="","","AB"&amp;"_"&amp;IFERROR(VLOOKUP(B79,LOOKUPS!$K$2:$L$9,2,FALSE),"UNK")&amp;"_"&amp;IFERROR(VLOOKUP(C79,LOOKUPS!$N$2:$O$8,2,FALSE),"UNK")&amp;"_"&amp;UPPER(L79))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C80" s="3"/>
      <c r="D80" s="3"/>
      <c r="E80" s="3" t="s">
        <v>25</v>
      </c>
      <c r="F80" s="3"/>
      <c r="G80" s="3"/>
      <c r="H80" s="3"/>
      <c r="I80" s="3"/>
      <c r="J80" s="3"/>
      <c r="K80" s="3"/>
      <c r="L80" s="3"/>
      <c r="M80" s="3" t="str">
        <f>IF(B80="","","AB"&amp;"_"&amp;IFERROR(VLOOKUP(B80,LOOKUPS!$K$2:$L$9,2,FALSE),"UNK")&amp;"_"&amp;IFERROR(VLOOKUP(C80,LOOKUPS!$N$2:$O$8,2,FALSE),"UNK")&amp;"_"&amp;UPPER(L80))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C81" s="3"/>
      <c r="D81" s="3"/>
      <c r="E81" s="3" t="s">
        <v>25</v>
      </c>
      <c r="F81" s="3"/>
      <c r="G81" s="3"/>
      <c r="H81" s="3"/>
      <c r="I81" s="3"/>
      <c r="J81" s="3"/>
      <c r="K81" s="3"/>
      <c r="L81" s="3"/>
      <c r="M81" s="3" t="str">
        <f>IF(B81="","","AB"&amp;"_"&amp;IFERROR(VLOOKUP(B81,LOOKUPS!$K$2:$L$9,2,FALSE),"UNK")&amp;"_"&amp;IFERROR(VLOOKUP(C81,LOOKUPS!$N$2:$O$8,2,FALSE),"UNK")&amp;"_"&amp;UPPER(L81))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C82" s="3"/>
      <c r="D82" s="3"/>
      <c r="E82" s="3" t="s">
        <v>25</v>
      </c>
      <c r="F82" s="3"/>
      <c r="G82" s="3"/>
      <c r="H82" s="3"/>
      <c r="I82" s="3"/>
      <c r="J82" s="3"/>
      <c r="K82" s="3"/>
      <c r="L82" s="3"/>
      <c r="M82" s="3" t="str">
        <f>IF(B82="","","AB"&amp;"_"&amp;IFERROR(VLOOKUP(B82,LOOKUPS!$K$2:$L$9,2,FALSE),"UNK")&amp;"_"&amp;IFERROR(VLOOKUP(C82,LOOKUPS!$N$2:$O$8,2,FALSE),"UNK")&amp;"_"&amp;UPPER(L82))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C83" s="3"/>
      <c r="D83" s="3"/>
      <c r="E83" s="3" t="s">
        <v>25</v>
      </c>
      <c r="F83" s="3"/>
      <c r="G83" s="3"/>
      <c r="H83" s="3"/>
      <c r="I83" s="3"/>
      <c r="J83" s="3"/>
      <c r="K83" s="3"/>
      <c r="L83" s="3"/>
      <c r="M83" s="3" t="str">
        <f>IF(B83="","","AB"&amp;"_"&amp;IFERROR(VLOOKUP(B83,LOOKUPS!$K$2:$L$9,2,FALSE),"UNK")&amp;"_"&amp;IFERROR(VLOOKUP(C83,LOOKUPS!$N$2:$O$8,2,FALSE),"UNK")&amp;"_"&amp;UPPER(L83))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C84" s="3"/>
      <c r="D84" s="3"/>
      <c r="E84" s="3" t="s">
        <v>25</v>
      </c>
      <c r="F84" s="3"/>
      <c r="G84" s="3"/>
      <c r="H84" s="3"/>
      <c r="I84" s="3"/>
      <c r="J84" s="3"/>
      <c r="K84" s="3"/>
      <c r="L84" s="3"/>
      <c r="M84" s="3" t="str">
        <f>IF(B84="","","AB"&amp;"_"&amp;IFERROR(VLOOKUP(B84,LOOKUPS!$K$2:$L$9,2,FALSE),"UNK")&amp;"_"&amp;IFERROR(VLOOKUP(C84,LOOKUPS!$N$2:$O$8,2,FALSE),"UNK")&amp;"_"&amp;UPPER(L84))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C85" s="3"/>
      <c r="D85" s="3"/>
      <c r="E85" s="3" t="s">
        <v>25</v>
      </c>
      <c r="F85" s="3"/>
      <c r="G85" s="3"/>
      <c r="H85" s="3"/>
      <c r="I85" s="3"/>
      <c r="J85" s="3"/>
      <c r="K85" s="3"/>
      <c r="L85" s="3"/>
      <c r="M85" s="3" t="str">
        <f>IF(B85="","","AB"&amp;"_"&amp;IFERROR(VLOOKUP(B85,LOOKUPS!$K$2:$L$9,2,FALSE),"UNK")&amp;"_"&amp;IFERROR(VLOOKUP(C85,LOOKUPS!$N$2:$O$8,2,FALSE),"UNK")&amp;"_"&amp;UPPER(L85))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C86" s="3"/>
      <c r="D86" s="3"/>
      <c r="E86" s="3" t="s">
        <v>25</v>
      </c>
      <c r="F86" s="3"/>
      <c r="G86" s="3"/>
      <c r="H86" s="3"/>
      <c r="I86" s="3"/>
      <c r="J86" s="3"/>
      <c r="K86" s="3"/>
      <c r="L86" s="3"/>
      <c r="M86" s="3" t="str">
        <f>IF(B86="","","AB"&amp;"_"&amp;IFERROR(VLOOKUP(B86,LOOKUPS!$K$2:$L$9,2,FALSE),"UNK")&amp;"_"&amp;IFERROR(VLOOKUP(C86,LOOKUPS!$N$2:$O$8,2,FALSE),"UNK")&amp;"_"&amp;UPPER(L86))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C87" s="3"/>
      <c r="D87" s="3"/>
      <c r="E87" s="3" t="s">
        <v>25</v>
      </c>
      <c r="F87" s="3"/>
      <c r="G87" s="3"/>
      <c r="H87" s="3"/>
      <c r="I87" s="3"/>
      <c r="J87" s="3"/>
      <c r="K87" s="3"/>
      <c r="L87" s="3"/>
      <c r="M87" s="3" t="str">
        <f>IF(B87="","","AB"&amp;"_"&amp;IFERROR(VLOOKUP(B87,LOOKUPS!$K$2:$L$9,2,FALSE),"UNK")&amp;"_"&amp;IFERROR(VLOOKUP(C87,LOOKUPS!$N$2:$O$8,2,FALSE),"UNK")&amp;"_"&amp;UPPER(L87))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C88" s="3"/>
      <c r="D88" s="3"/>
      <c r="E88" s="3" t="s">
        <v>25</v>
      </c>
      <c r="F88" s="3"/>
      <c r="G88" s="3"/>
      <c r="H88" s="3"/>
      <c r="I88" s="3"/>
      <c r="J88" s="3"/>
      <c r="K88" s="3"/>
      <c r="L88" s="3"/>
      <c r="M88" s="3" t="str">
        <f>IF(B88="","","AB"&amp;"_"&amp;IFERROR(VLOOKUP(B88,LOOKUPS!$K$2:$L$9,2,FALSE),"UNK")&amp;"_"&amp;IFERROR(VLOOKUP(C88,LOOKUPS!$N$2:$O$8,2,FALSE),"UNK")&amp;"_"&amp;UPPER(L88))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C89" s="3"/>
      <c r="D89" s="3"/>
      <c r="E89" s="3" t="s">
        <v>25</v>
      </c>
      <c r="F89" s="3"/>
      <c r="G89" s="3"/>
      <c r="H89" s="3"/>
      <c r="I89" s="3"/>
      <c r="J89" s="3"/>
      <c r="K89" s="3"/>
      <c r="L89" s="3"/>
      <c r="M89" s="3" t="str">
        <f>IF(B89="","","AB"&amp;"_"&amp;IFERROR(VLOOKUP(B89,LOOKUPS!$K$2:$L$9,2,FALSE),"UNK")&amp;"_"&amp;IFERROR(VLOOKUP(C89,LOOKUPS!$N$2:$O$8,2,FALSE),"UNK")&amp;"_"&amp;UPPER(L89))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C90" s="3"/>
      <c r="D90" s="3"/>
      <c r="E90" s="3" t="s">
        <v>25</v>
      </c>
      <c r="F90" s="3"/>
      <c r="G90" s="3"/>
      <c r="H90" s="3"/>
      <c r="I90" s="3"/>
      <c r="J90" s="3"/>
      <c r="K90" s="3"/>
      <c r="L90" s="3"/>
      <c r="M90" s="3" t="str">
        <f>IF(B90="","","AB"&amp;"_"&amp;IFERROR(VLOOKUP(B90,LOOKUPS!$K$2:$L$9,2,FALSE),"UNK")&amp;"_"&amp;IFERROR(VLOOKUP(C90,LOOKUPS!$N$2:$O$8,2,FALSE),"UNK")&amp;"_"&amp;UPPER(L90))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C91" s="3"/>
      <c r="D91" s="3"/>
      <c r="E91" s="3" t="s">
        <v>25</v>
      </c>
      <c r="F91" s="3"/>
      <c r="G91" s="3"/>
      <c r="H91" s="3"/>
      <c r="I91" s="3"/>
      <c r="J91" s="3"/>
      <c r="K91" s="3"/>
      <c r="L91" s="3"/>
      <c r="M91" s="3" t="str">
        <f>IF(B91="","","AB"&amp;"_"&amp;IFERROR(VLOOKUP(B91,LOOKUPS!$K$2:$L$9,2,FALSE),"UNK")&amp;"_"&amp;IFERROR(VLOOKUP(C91,LOOKUPS!$N$2:$O$8,2,FALSE),"UNK")&amp;"_"&amp;UPPER(L91))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C92" s="3"/>
      <c r="D92" s="3"/>
      <c r="E92" s="3" t="s">
        <v>25</v>
      </c>
      <c r="F92" s="3"/>
      <c r="G92" s="3"/>
      <c r="H92" s="3"/>
      <c r="I92" s="3"/>
      <c r="J92" s="3"/>
      <c r="K92" s="3"/>
      <c r="L92" s="3"/>
      <c r="M92" s="3" t="str">
        <f>IF(B92="","","AB"&amp;"_"&amp;IFERROR(VLOOKUP(B92,LOOKUPS!$K$2:$L$9,2,FALSE),"UNK")&amp;"_"&amp;IFERROR(VLOOKUP(C92,LOOKUPS!$N$2:$O$8,2,FALSE),"UNK")&amp;"_"&amp;UPPER(L92))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C93" s="3"/>
      <c r="D93" s="3"/>
      <c r="E93" s="3" t="s">
        <v>25</v>
      </c>
      <c r="F93" s="3"/>
      <c r="G93" s="3"/>
      <c r="H93" s="3"/>
      <c r="I93" s="3"/>
      <c r="J93" s="3"/>
      <c r="K93" s="3"/>
      <c r="L93" s="3"/>
      <c r="M93" s="3" t="str">
        <f>IF(B93="","","AB"&amp;"_"&amp;IFERROR(VLOOKUP(B93,LOOKUPS!$K$2:$L$9,2,FALSE),"UNK")&amp;"_"&amp;IFERROR(VLOOKUP(C93,LOOKUPS!$N$2:$O$8,2,FALSE),"UNK")&amp;"_"&amp;UPPER(L93))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C94" s="3"/>
      <c r="D94" s="3"/>
      <c r="E94" s="3" t="s">
        <v>25</v>
      </c>
      <c r="F94" s="3"/>
      <c r="G94" s="3"/>
      <c r="H94" s="3"/>
      <c r="I94" s="3"/>
      <c r="J94" s="3"/>
      <c r="K94" s="3"/>
      <c r="L94" s="3"/>
      <c r="M94" s="3" t="str">
        <f>IF(B94="","","AB"&amp;"_"&amp;IFERROR(VLOOKUP(B94,LOOKUPS!$K$2:$L$9,2,FALSE),"UNK")&amp;"_"&amp;IFERROR(VLOOKUP(C94,LOOKUPS!$N$2:$O$8,2,FALSE),"UNK")&amp;"_"&amp;UPPER(L94))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C95" s="3"/>
      <c r="D95" s="3"/>
      <c r="E95" s="3" t="s">
        <v>25</v>
      </c>
      <c r="F95" s="3"/>
      <c r="G95" s="3"/>
      <c r="H95" s="3"/>
      <c r="I95" s="3"/>
      <c r="J95" s="3"/>
      <c r="K95" s="3"/>
      <c r="L95" s="3"/>
      <c r="M95" s="3" t="str">
        <f>IF(B95="","","AB"&amp;"_"&amp;IFERROR(VLOOKUP(B95,LOOKUPS!$K$2:$L$9,2,FALSE),"UNK")&amp;"_"&amp;IFERROR(VLOOKUP(C95,LOOKUPS!$N$2:$O$8,2,FALSE),"UNK")&amp;"_"&amp;UPPER(L95))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C96" s="3"/>
      <c r="D96" s="3"/>
      <c r="E96" s="3" t="s">
        <v>25</v>
      </c>
      <c r="F96" s="3"/>
      <c r="G96" s="3"/>
      <c r="H96" s="3"/>
      <c r="I96" s="3"/>
      <c r="J96" s="3"/>
      <c r="K96" s="3"/>
      <c r="L96" s="3"/>
      <c r="M96" s="3" t="str">
        <f>IF(B96="","","AB"&amp;"_"&amp;IFERROR(VLOOKUP(B96,LOOKUPS!$K$2:$L$9,2,FALSE),"UNK")&amp;"_"&amp;IFERROR(VLOOKUP(C96,LOOKUPS!$N$2:$O$8,2,FALSE),"UNK")&amp;"_"&amp;UPPER(L96))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C97" s="3"/>
      <c r="D97" s="3"/>
      <c r="E97" s="3" t="s">
        <v>25</v>
      </c>
      <c r="F97" s="3"/>
      <c r="G97" s="3"/>
      <c r="H97" s="3"/>
      <c r="I97" s="3"/>
      <c r="J97" s="3"/>
      <c r="K97" s="3"/>
      <c r="L97" s="3"/>
      <c r="M97" s="3" t="str">
        <f>IF(B97="","","AB"&amp;"_"&amp;IFERROR(VLOOKUP(B97,LOOKUPS!$K$2:$L$9,2,FALSE),"UNK")&amp;"_"&amp;IFERROR(VLOOKUP(C97,LOOKUPS!$N$2:$O$8,2,FALSE),"UNK")&amp;"_"&amp;UPPER(L97))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C98" s="3"/>
      <c r="D98" s="3"/>
      <c r="E98" s="3" t="s">
        <v>25</v>
      </c>
      <c r="F98" s="3"/>
      <c r="G98" s="3"/>
      <c r="H98" s="3"/>
      <c r="I98" s="3"/>
      <c r="J98" s="3"/>
      <c r="K98" s="3"/>
      <c r="L98" s="3"/>
      <c r="M98" s="3" t="str">
        <f>IF(B98="","","AB"&amp;"_"&amp;IFERROR(VLOOKUP(B98,LOOKUPS!$K$2:$L$9,2,FALSE),"UNK")&amp;"_"&amp;IFERROR(VLOOKUP(C98,LOOKUPS!$N$2:$O$8,2,FALSE),"UNK")&amp;"_"&amp;UPPER(L98))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C99" s="3"/>
      <c r="D99" s="3"/>
      <c r="E99" s="3" t="s">
        <v>25</v>
      </c>
      <c r="F99" s="3"/>
      <c r="G99" s="3"/>
      <c r="H99" s="3"/>
      <c r="I99" s="3"/>
      <c r="J99" s="3"/>
      <c r="K99" s="3"/>
      <c r="L99" s="3"/>
      <c r="M99" s="3" t="str">
        <f>IF(B99="","","AB"&amp;"_"&amp;IFERROR(VLOOKUP(B99,LOOKUPS!$K$2:$L$9,2,FALSE),"UNK")&amp;"_"&amp;IFERROR(VLOOKUP(C99,LOOKUPS!$N$2:$O$8,2,FALSE),"UNK")&amp;"_"&amp;UPPER(L99))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C100" s="3"/>
      <c r="D100" s="3"/>
      <c r="E100" s="3" t="s">
        <v>25</v>
      </c>
      <c r="F100" s="3"/>
      <c r="G100" s="3"/>
      <c r="H100" s="3"/>
      <c r="I100" s="3"/>
      <c r="J100" s="3"/>
      <c r="K100" s="3"/>
      <c r="L100" s="3"/>
      <c r="M100" s="3" t="str">
        <f>IF(B100="","","AB"&amp;"_"&amp;IFERROR(VLOOKUP(B100,LOOKUPS!$K$2:$L$9,2,FALSE),"UNK")&amp;"_"&amp;IFERROR(VLOOKUP(C100,LOOKUPS!$N$2:$O$8,2,FALSE),"UNK")&amp;"_"&amp;UPPER(L100))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C101" s="3"/>
      <c r="D101" s="3"/>
      <c r="E101" s="3" t="s">
        <v>25</v>
      </c>
      <c r="F101" s="3"/>
      <c r="G101" s="3"/>
      <c r="H101" s="3"/>
      <c r="I101" s="3"/>
      <c r="J101" s="3"/>
      <c r="K101" s="3"/>
      <c r="L101" s="3"/>
      <c r="M101" s="3" t="str">
        <f>IF(B101="","","AB"&amp;"_"&amp;IFERROR(VLOOKUP(B101,LOOKUPS!$K$2:$L$9,2,FALSE),"UNK")&amp;"_"&amp;IFERROR(VLOOKUP(C101,LOOKUPS!$N$2:$O$8,2,FALSE),"UNK")&amp;"_"&amp;UPPER(L101))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C102" s="3"/>
      <c r="D102" s="3"/>
      <c r="E102" s="3" t="s">
        <v>25</v>
      </c>
      <c r="F102" s="3"/>
      <c r="G102" s="3"/>
      <c r="H102" s="3"/>
      <c r="I102" s="3"/>
      <c r="J102" s="3"/>
      <c r="K102" s="3"/>
      <c r="L102" s="3"/>
      <c r="M102" s="3" t="str">
        <f>IF(B102="","","AB"&amp;"_"&amp;IFERROR(VLOOKUP(B102,LOOKUPS!$K$2:$L$9,2,FALSE),"UNK")&amp;"_"&amp;IFERROR(VLOOKUP(C102,LOOKUPS!$N$2:$O$8,2,FALSE),"UNK")&amp;"_"&amp;UPPER(L102))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C103" s="3"/>
      <c r="D103" s="3"/>
      <c r="E103" s="3" t="s">
        <v>25</v>
      </c>
      <c r="F103" s="3"/>
      <c r="G103" s="3"/>
      <c r="H103" s="3"/>
      <c r="I103" s="3"/>
      <c r="J103" s="3"/>
      <c r="K103" s="3"/>
      <c r="L103" s="3"/>
      <c r="M103" s="3" t="str">
        <f>IF(B103="","","AB"&amp;"_"&amp;IFERROR(VLOOKUP(B103,LOOKUPS!$K$2:$L$9,2,FALSE),"UNK")&amp;"_"&amp;IFERROR(VLOOKUP(C103,LOOKUPS!$N$2:$O$8,2,FALSE),"UNK")&amp;"_"&amp;UPPER(L103))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C104" s="3"/>
      <c r="D104" s="3"/>
      <c r="E104" s="3" t="s">
        <v>25</v>
      </c>
      <c r="F104" s="3"/>
      <c r="G104" s="3"/>
      <c r="H104" s="3"/>
      <c r="I104" s="3"/>
      <c r="J104" s="3"/>
      <c r="K104" s="3"/>
      <c r="L104" s="3"/>
      <c r="M104" s="3" t="str">
        <f>IF(B104="","","AB"&amp;"_"&amp;IFERROR(VLOOKUP(B104,LOOKUPS!$K$2:$L$9,2,FALSE),"UNK")&amp;"_"&amp;IFERROR(VLOOKUP(C104,LOOKUPS!$N$2:$O$8,2,FALSE),"UNK")&amp;"_"&amp;UPPER(L104))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C105" s="3"/>
      <c r="D105" s="3"/>
      <c r="E105" s="3" t="s">
        <v>25</v>
      </c>
      <c r="F105" s="3"/>
      <c r="G105" s="3"/>
      <c r="H105" s="3"/>
      <c r="I105" s="3"/>
      <c r="J105" s="3"/>
      <c r="K105" s="3"/>
      <c r="L105" s="3"/>
      <c r="M105" s="3" t="str">
        <f>IF(B105="","","AB"&amp;"_"&amp;IFERROR(VLOOKUP(B105,LOOKUPS!$K$2:$L$9,2,FALSE),"UNK")&amp;"_"&amp;IFERROR(VLOOKUP(C105,LOOKUPS!$N$2:$O$8,2,FALSE),"UNK")&amp;"_"&amp;UPPER(L105))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C106" s="3"/>
      <c r="D106" s="3"/>
      <c r="E106" s="3" t="s">
        <v>25</v>
      </c>
      <c r="F106" s="3"/>
      <c r="G106" s="3"/>
      <c r="H106" s="3"/>
      <c r="I106" s="3"/>
      <c r="J106" s="3"/>
      <c r="K106" s="3"/>
      <c r="L106" s="3"/>
      <c r="M106" s="3" t="str">
        <f>IF(B106="","","AB"&amp;"_"&amp;IFERROR(VLOOKUP(B106,LOOKUPS!$K$2:$L$9,2,FALSE),"UNK")&amp;"_"&amp;IFERROR(VLOOKUP(C106,LOOKUPS!$N$2:$O$8,2,FALSE),"UNK")&amp;"_"&amp;UPPER(L106))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C107" s="3"/>
      <c r="D107" s="3"/>
      <c r="E107" s="3" t="s">
        <v>25</v>
      </c>
      <c r="F107" s="3"/>
      <c r="G107" s="3"/>
      <c r="H107" s="3"/>
      <c r="I107" s="3"/>
      <c r="J107" s="3"/>
      <c r="K107" s="3"/>
      <c r="L107" s="3"/>
      <c r="M107" s="3" t="str">
        <f>IF(B107="","","AB"&amp;"_"&amp;IFERROR(VLOOKUP(B107,LOOKUPS!$K$2:$L$9,2,FALSE),"UNK")&amp;"_"&amp;IFERROR(VLOOKUP(C107,LOOKUPS!$N$2:$O$8,2,FALSE),"UNK")&amp;"_"&amp;UPPER(L107))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C108" s="3"/>
      <c r="D108" s="3"/>
      <c r="E108" s="3" t="s">
        <v>25</v>
      </c>
      <c r="F108" s="3"/>
      <c r="G108" s="3"/>
      <c r="H108" s="3"/>
      <c r="I108" s="3"/>
      <c r="J108" s="3"/>
      <c r="K108" s="3"/>
      <c r="L108" s="3"/>
      <c r="M108" s="3" t="str">
        <f>IF(B108="","","AB"&amp;"_"&amp;IFERROR(VLOOKUP(B108,LOOKUPS!$K$2:$L$9,2,FALSE),"UNK")&amp;"_"&amp;IFERROR(VLOOKUP(C108,LOOKUPS!$N$2:$O$8,2,FALSE),"UNK")&amp;"_"&amp;UPPER(L108))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C109" s="3"/>
      <c r="D109" s="3"/>
      <c r="E109" s="3" t="s">
        <v>25</v>
      </c>
      <c r="F109" s="3"/>
      <c r="G109" s="3"/>
      <c r="H109" s="3"/>
      <c r="I109" s="3"/>
      <c r="J109" s="3"/>
      <c r="K109" s="3"/>
      <c r="L109" s="3"/>
      <c r="M109" s="3" t="str">
        <f>IF(B109="","","AB"&amp;"_"&amp;IFERROR(VLOOKUP(B109,LOOKUPS!$K$2:$L$9,2,FALSE),"UNK")&amp;"_"&amp;IFERROR(VLOOKUP(C109,LOOKUPS!$N$2:$O$8,2,FALSE),"UNK")&amp;"_"&amp;UPPER(L109))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C110" s="3"/>
      <c r="D110" s="3"/>
      <c r="E110" s="3" t="s">
        <v>25</v>
      </c>
      <c r="F110" s="3"/>
      <c r="G110" s="3"/>
      <c r="H110" s="3"/>
      <c r="I110" s="3"/>
      <c r="J110" s="3"/>
      <c r="K110" s="3"/>
      <c r="L110" s="3"/>
      <c r="M110" s="3" t="str">
        <f>IF(B110="","","AB"&amp;"_"&amp;IFERROR(VLOOKUP(B110,LOOKUPS!$K$2:$L$9,2,FALSE),"UNK")&amp;"_"&amp;IFERROR(VLOOKUP(C110,LOOKUPS!$N$2:$O$8,2,FALSE),"UNK")&amp;"_"&amp;UPPER(L110))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C111" s="3"/>
      <c r="D111" s="3"/>
      <c r="E111" s="3" t="s">
        <v>25</v>
      </c>
      <c r="F111" s="3"/>
      <c r="G111" s="3"/>
      <c r="H111" s="3"/>
      <c r="I111" s="3"/>
      <c r="J111" s="3"/>
      <c r="K111" s="3"/>
      <c r="L111" s="3"/>
      <c r="M111" s="3" t="str">
        <f>IF(B111="","","AB"&amp;"_"&amp;IFERROR(VLOOKUP(B111,LOOKUPS!$K$2:$L$9,2,FALSE),"UNK")&amp;"_"&amp;IFERROR(VLOOKUP(C111,LOOKUPS!$N$2:$O$8,2,FALSE),"UNK")&amp;"_"&amp;UPPER(L111))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C112" s="3"/>
      <c r="D112" s="3"/>
      <c r="E112" s="3" t="s">
        <v>25</v>
      </c>
      <c r="F112" s="3"/>
      <c r="G112" s="3"/>
      <c r="H112" s="3"/>
      <c r="I112" s="3"/>
      <c r="J112" s="3"/>
      <c r="K112" s="3"/>
      <c r="L112" s="3"/>
      <c r="M112" s="3" t="str">
        <f>IF(B112="","","AB"&amp;"_"&amp;IFERROR(VLOOKUP(B112,LOOKUPS!$K$2:$L$9,2,FALSE),"UNK")&amp;"_"&amp;IFERROR(VLOOKUP(C112,LOOKUPS!$N$2:$O$8,2,FALSE),"UNK")&amp;"_"&amp;UPPER(L112))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C113" s="3"/>
      <c r="D113" s="3"/>
      <c r="E113" s="3" t="s">
        <v>25</v>
      </c>
      <c r="F113" s="3"/>
      <c r="G113" s="3"/>
      <c r="H113" s="3"/>
      <c r="I113" s="3"/>
      <c r="J113" s="3"/>
      <c r="K113" s="3"/>
      <c r="L113" s="3"/>
      <c r="M113" s="3" t="str">
        <f>IF(B113="","","AB"&amp;"_"&amp;IFERROR(VLOOKUP(B113,LOOKUPS!$K$2:$L$9,2,FALSE),"UNK")&amp;"_"&amp;IFERROR(VLOOKUP(C113,LOOKUPS!$N$2:$O$8,2,FALSE),"UNK")&amp;"_"&amp;UPPER(L113))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C114" s="3"/>
      <c r="D114" s="3"/>
      <c r="E114" s="3" t="s">
        <v>25</v>
      </c>
      <c r="F114" s="3"/>
      <c r="G114" s="3"/>
      <c r="H114" s="3"/>
      <c r="I114" s="3"/>
      <c r="J114" s="3"/>
      <c r="K114" s="3"/>
      <c r="L114" s="3"/>
      <c r="M114" s="3" t="str">
        <f>IF(B114="","","AB"&amp;"_"&amp;IFERROR(VLOOKUP(B114,LOOKUPS!$K$2:$L$9,2,FALSE),"UNK")&amp;"_"&amp;IFERROR(VLOOKUP(C114,LOOKUPS!$N$2:$O$8,2,FALSE),"UNK")&amp;"_"&amp;UPPER(L114))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C115" s="3"/>
      <c r="D115" s="3"/>
      <c r="E115" s="3" t="s">
        <v>25</v>
      </c>
      <c r="F115" s="3"/>
      <c r="G115" s="3"/>
      <c r="H115" s="3"/>
      <c r="I115" s="3"/>
      <c r="J115" s="3"/>
      <c r="K115" s="3"/>
      <c r="L115" s="3"/>
      <c r="M115" s="3" t="str">
        <f>IF(B115="","","AB"&amp;"_"&amp;IFERROR(VLOOKUP(B115,LOOKUPS!$K$2:$L$9,2,FALSE),"UNK")&amp;"_"&amp;IFERROR(VLOOKUP(C115,LOOKUPS!$N$2:$O$8,2,FALSE),"UNK")&amp;"_"&amp;UPPER(L115))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C116" s="3"/>
      <c r="D116" s="3"/>
      <c r="E116" s="3" t="s">
        <v>25</v>
      </c>
      <c r="F116" s="3"/>
      <c r="G116" s="3"/>
      <c r="H116" s="3"/>
      <c r="I116" s="3"/>
      <c r="J116" s="3"/>
      <c r="K116" s="3"/>
      <c r="L116" s="3"/>
      <c r="M116" s="3" t="str">
        <f>IF(B116="","","AB"&amp;"_"&amp;IFERROR(VLOOKUP(B116,LOOKUPS!$K$2:$L$9,2,FALSE),"UNK")&amp;"_"&amp;IFERROR(VLOOKUP(C116,LOOKUPS!$N$2:$O$8,2,FALSE),"UNK")&amp;"_"&amp;UPPER(L116))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C117" s="3"/>
      <c r="D117" s="3"/>
      <c r="E117" s="3" t="s">
        <v>25</v>
      </c>
      <c r="F117" s="3"/>
      <c r="G117" s="3"/>
      <c r="H117" s="3"/>
      <c r="I117" s="3"/>
      <c r="J117" s="3"/>
      <c r="K117" s="3"/>
      <c r="L117" s="3"/>
      <c r="M117" s="3" t="str">
        <f>IF(B117="","","AB"&amp;"_"&amp;IFERROR(VLOOKUP(B117,LOOKUPS!$K$2:$L$9,2,FALSE),"UNK")&amp;"_"&amp;IFERROR(VLOOKUP(C117,LOOKUPS!$N$2:$O$8,2,FALSE),"UNK")&amp;"_"&amp;UPPER(L117))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C118" s="3"/>
      <c r="D118" s="3"/>
      <c r="E118" s="3" t="s">
        <v>25</v>
      </c>
      <c r="F118" s="3"/>
      <c r="G118" s="3"/>
      <c r="H118" s="3"/>
      <c r="I118" s="3"/>
      <c r="J118" s="3"/>
      <c r="K118" s="3"/>
      <c r="L118" s="3"/>
      <c r="M118" s="3" t="str">
        <f>IF(B118="","","AB"&amp;"_"&amp;IFERROR(VLOOKUP(B118,LOOKUPS!$K$2:$L$9,2,FALSE),"UNK")&amp;"_"&amp;IFERROR(VLOOKUP(C118,LOOKUPS!$N$2:$O$8,2,FALSE),"UNK")&amp;"_"&amp;UPPER(L118))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C119" s="3"/>
      <c r="D119" s="3"/>
      <c r="E119" s="3" t="s">
        <v>25</v>
      </c>
      <c r="F119" s="3"/>
      <c r="G119" s="3"/>
      <c r="H119" s="3"/>
      <c r="I119" s="3"/>
      <c r="J119" s="3"/>
      <c r="K119" s="3"/>
      <c r="L119" s="3"/>
      <c r="M119" s="3" t="str">
        <f>IF(B119="","","AB"&amp;"_"&amp;IFERROR(VLOOKUP(B119,LOOKUPS!$K$2:$L$9,2,FALSE),"UNK")&amp;"_"&amp;IFERROR(VLOOKUP(C119,LOOKUPS!$N$2:$O$8,2,FALSE),"UNK")&amp;"_"&amp;UPPER(L119))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C120" s="3"/>
      <c r="D120" s="3"/>
      <c r="E120" s="3" t="s">
        <v>25</v>
      </c>
      <c r="F120" s="3"/>
      <c r="G120" s="3"/>
      <c r="H120" s="3"/>
      <c r="I120" s="3"/>
      <c r="J120" s="3"/>
      <c r="K120" s="3"/>
      <c r="L120" s="3"/>
      <c r="M120" s="3" t="str">
        <f>IF(B120="","","AB"&amp;"_"&amp;IFERROR(VLOOKUP(B120,LOOKUPS!$K$2:$L$9,2,FALSE),"UNK")&amp;"_"&amp;IFERROR(VLOOKUP(C120,LOOKUPS!$N$2:$O$8,2,FALSE),"UNK")&amp;"_"&amp;UPPER(L120))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C121" s="3"/>
      <c r="D121" s="3"/>
      <c r="E121" s="3" t="s">
        <v>25</v>
      </c>
      <c r="F121" s="3"/>
      <c r="G121" s="3"/>
      <c r="H121" s="3"/>
      <c r="I121" s="3"/>
      <c r="J121" s="3"/>
      <c r="K121" s="3"/>
      <c r="L121" s="3"/>
      <c r="M121" s="3" t="str">
        <f>IF(B121="","","AB"&amp;"_"&amp;IFERROR(VLOOKUP(B121,LOOKUPS!$K$2:$L$9,2,FALSE),"UNK")&amp;"_"&amp;IFERROR(VLOOKUP(C121,LOOKUPS!$N$2:$O$8,2,FALSE),"UNK")&amp;"_"&amp;UPPER(L121))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C122" s="3"/>
      <c r="D122" s="3"/>
      <c r="E122" s="3" t="s">
        <v>25</v>
      </c>
      <c r="F122" s="3"/>
      <c r="G122" s="3"/>
      <c r="H122" s="3"/>
      <c r="I122" s="3"/>
      <c r="J122" s="3"/>
      <c r="K122" s="3"/>
      <c r="L122" s="3"/>
      <c r="M122" s="3" t="str">
        <f>IF(B122="","","AB"&amp;"_"&amp;IFERROR(VLOOKUP(B122,LOOKUPS!$K$2:$L$9,2,FALSE),"UNK")&amp;"_"&amp;IFERROR(VLOOKUP(C122,LOOKUPS!$N$2:$O$8,2,FALSE),"UNK")&amp;"_"&amp;UPPER(L122))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C123" s="3"/>
      <c r="D123" s="3"/>
      <c r="E123" s="3" t="s">
        <v>25</v>
      </c>
      <c r="F123" s="3"/>
      <c r="G123" s="3"/>
      <c r="H123" s="3"/>
      <c r="I123" s="3"/>
      <c r="J123" s="3"/>
      <c r="K123" s="3"/>
      <c r="L123" s="3"/>
      <c r="M123" s="3" t="str">
        <f>IF(B123="","","AB"&amp;"_"&amp;IFERROR(VLOOKUP(B123,LOOKUPS!$K$2:$L$9,2,FALSE),"UNK")&amp;"_"&amp;IFERROR(VLOOKUP(C123,LOOKUPS!$N$2:$O$8,2,FALSE),"UNK")&amp;"_"&amp;UPPER(L123))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C124" s="3"/>
      <c r="D124" s="3"/>
      <c r="E124" s="3" t="s">
        <v>25</v>
      </c>
      <c r="F124" s="3"/>
      <c r="G124" s="3"/>
      <c r="H124" s="3"/>
      <c r="I124" s="3"/>
      <c r="J124" s="3"/>
      <c r="K124" s="3"/>
      <c r="L124" s="3"/>
      <c r="M124" s="3" t="str">
        <f>IF(B124="","","AB"&amp;"_"&amp;IFERROR(VLOOKUP(B124,LOOKUPS!$K$2:$L$9,2,FALSE),"UNK")&amp;"_"&amp;IFERROR(VLOOKUP(C124,LOOKUPS!$N$2:$O$8,2,FALSE),"UNK")&amp;"_"&amp;UPPER(L124))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C125" s="3"/>
      <c r="D125" s="3"/>
      <c r="E125" s="3" t="s">
        <v>25</v>
      </c>
      <c r="F125" s="3"/>
      <c r="G125" s="3"/>
      <c r="H125" s="3"/>
      <c r="I125" s="3"/>
      <c r="J125" s="3"/>
      <c r="K125" s="3"/>
      <c r="L125" s="3"/>
      <c r="M125" s="3" t="str">
        <f>IF(B125="","","AB"&amp;"_"&amp;IFERROR(VLOOKUP(B125,LOOKUPS!$K$2:$L$9,2,FALSE),"UNK")&amp;"_"&amp;IFERROR(VLOOKUP(C125,LOOKUPS!$N$2:$O$8,2,FALSE),"UNK")&amp;"_"&amp;UPPER(L125))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C126" s="3"/>
      <c r="D126" s="3"/>
      <c r="E126" s="3" t="s">
        <v>25</v>
      </c>
      <c r="F126" s="3"/>
      <c r="G126" s="3"/>
      <c r="H126" s="3"/>
      <c r="I126" s="3"/>
      <c r="J126" s="3"/>
      <c r="K126" s="3"/>
      <c r="L126" s="3"/>
      <c r="M126" s="3" t="str">
        <f>IF(B126="","","AB"&amp;"_"&amp;IFERROR(VLOOKUP(B126,LOOKUPS!$K$2:$L$9,2,FALSE),"UNK")&amp;"_"&amp;IFERROR(VLOOKUP(C126,LOOKUPS!$N$2:$O$8,2,FALSE),"UNK")&amp;"_"&amp;UPPER(L126))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C127" s="3"/>
      <c r="D127" s="3"/>
      <c r="E127" s="3" t="s">
        <v>25</v>
      </c>
      <c r="F127" s="3"/>
      <c r="G127" s="3"/>
      <c r="H127" s="3"/>
      <c r="I127" s="3"/>
      <c r="J127" s="3"/>
      <c r="K127" s="3"/>
      <c r="L127" s="3"/>
      <c r="M127" s="3" t="str">
        <f>IF(B127="","","AB"&amp;"_"&amp;IFERROR(VLOOKUP(B127,LOOKUPS!$K$2:$L$9,2,FALSE),"UNK")&amp;"_"&amp;IFERROR(VLOOKUP(C127,LOOKUPS!$N$2:$O$8,2,FALSE),"UNK")&amp;"_"&amp;UPPER(L127))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C128" s="3"/>
      <c r="D128" s="3"/>
      <c r="E128" s="3" t="s">
        <v>25</v>
      </c>
      <c r="F128" s="3"/>
      <c r="G128" s="3"/>
      <c r="H128" s="3"/>
      <c r="I128" s="3"/>
      <c r="J128" s="3"/>
      <c r="K128" s="3"/>
      <c r="L128" s="3"/>
      <c r="M128" s="3" t="str">
        <f>IF(B128="","","AB"&amp;"_"&amp;IFERROR(VLOOKUP(B128,LOOKUPS!$K$2:$L$9,2,FALSE),"UNK")&amp;"_"&amp;IFERROR(VLOOKUP(C128,LOOKUPS!$N$2:$O$8,2,FALSE),"UNK")&amp;"_"&amp;UPPER(L128))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C129" s="3"/>
      <c r="D129" s="3"/>
      <c r="E129" s="3" t="s">
        <v>25</v>
      </c>
      <c r="F129" s="3"/>
      <c r="G129" s="3"/>
      <c r="H129" s="3"/>
      <c r="I129" s="3"/>
      <c r="J129" s="3"/>
      <c r="K129" s="3"/>
      <c r="L129" s="3"/>
      <c r="M129" s="3" t="str">
        <f>IF(B129="","","AB"&amp;"_"&amp;IFERROR(VLOOKUP(B129,LOOKUPS!$K$2:$L$9,2,FALSE),"UNK")&amp;"_"&amp;IFERROR(VLOOKUP(C129,LOOKUPS!$N$2:$O$8,2,FALSE),"UNK")&amp;"_"&amp;UPPER(L129))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C130" s="3"/>
      <c r="D130" s="3"/>
      <c r="E130" s="3" t="s">
        <v>25</v>
      </c>
      <c r="F130" s="3"/>
      <c r="G130" s="3"/>
      <c r="H130" s="3"/>
      <c r="I130" s="3"/>
      <c r="J130" s="3"/>
      <c r="K130" s="3"/>
      <c r="L130" s="3"/>
      <c r="M130" s="3" t="str">
        <f>IF(B130="","","AB"&amp;"_"&amp;IFERROR(VLOOKUP(B130,LOOKUPS!$K$2:$L$9,2,FALSE),"UNK")&amp;"_"&amp;IFERROR(VLOOKUP(C130,LOOKUPS!$N$2:$O$8,2,FALSE),"UNK")&amp;"_"&amp;UPPER(L130))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C131" s="3"/>
      <c r="D131" s="3"/>
      <c r="E131" s="3" t="s">
        <v>25</v>
      </c>
      <c r="F131" s="3"/>
      <c r="G131" s="3"/>
      <c r="H131" s="3"/>
      <c r="I131" s="3"/>
      <c r="J131" s="3"/>
      <c r="K131" s="3"/>
      <c r="L131" s="3"/>
      <c r="M131" s="3" t="str">
        <f>IF(B131="","","AB"&amp;"_"&amp;IFERROR(VLOOKUP(B131,LOOKUPS!$K$2:$L$9,2,FALSE),"UNK")&amp;"_"&amp;IFERROR(VLOOKUP(C131,LOOKUPS!$N$2:$O$8,2,FALSE),"UNK")&amp;"_"&amp;UPPER(L131))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C132" s="3"/>
      <c r="D132" s="3"/>
      <c r="E132" s="3" t="s">
        <v>25</v>
      </c>
      <c r="F132" s="3"/>
      <c r="G132" s="3"/>
      <c r="H132" s="3"/>
      <c r="I132" s="3"/>
      <c r="J132" s="3"/>
      <c r="K132" s="3"/>
      <c r="L132" s="3"/>
      <c r="M132" s="3" t="str">
        <f>IF(B132="","","AB"&amp;"_"&amp;IFERROR(VLOOKUP(B132,LOOKUPS!$K$2:$L$9,2,FALSE),"UNK")&amp;"_"&amp;IFERROR(VLOOKUP(C132,LOOKUPS!$N$2:$O$8,2,FALSE),"UNK")&amp;"_"&amp;UPPER(L132))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C133" s="3"/>
      <c r="D133" s="3"/>
      <c r="E133" s="3" t="s">
        <v>25</v>
      </c>
      <c r="F133" s="3"/>
      <c r="G133" s="3"/>
      <c r="H133" s="3"/>
      <c r="I133" s="3"/>
      <c r="J133" s="3"/>
      <c r="K133" s="3"/>
      <c r="L133" s="3"/>
      <c r="M133" s="3" t="str">
        <f>IF(B133="","","AB"&amp;"_"&amp;IFERROR(VLOOKUP(B133,LOOKUPS!$K$2:$L$9,2,FALSE),"UNK")&amp;"_"&amp;IFERROR(VLOOKUP(C133,LOOKUPS!$N$2:$O$8,2,FALSE),"UNK")&amp;"_"&amp;UPPER(L133))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C134" s="3"/>
      <c r="D134" s="3"/>
      <c r="E134" s="3" t="s">
        <v>25</v>
      </c>
      <c r="F134" s="3"/>
      <c r="G134" s="3"/>
      <c r="H134" s="3"/>
      <c r="I134" s="3"/>
      <c r="J134" s="3"/>
      <c r="K134" s="3"/>
      <c r="L134" s="3"/>
      <c r="M134" s="3" t="str">
        <f>IF(B134="","","AB"&amp;"_"&amp;IFERROR(VLOOKUP(B134,LOOKUPS!$K$2:$L$9,2,FALSE),"UNK")&amp;"_"&amp;IFERROR(VLOOKUP(C134,LOOKUPS!$N$2:$O$8,2,FALSE),"UNK")&amp;"_"&amp;UPPER(L134))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C135" s="3"/>
      <c r="D135" s="3"/>
      <c r="E135" s="3" t="s">
        <v>25</v>
      </c>
      <c r="F135" s="3"/>
      <c r="G135" s="3"/>
      <c r="H135" s="3"/>
      <c r="I135" s="3"/>
      <c r="J135" s="3"/>
      <c r="K135" s="3"/>
      <c r="L135" s="3"/>
      <c r="M135" s="3" t="str">
        <f>IF(B135="","","AB"&amp;"_"&amp;IFERROR(VLOOKUP(B135,LOOKUPS!$K$2:$L$9,2,FALSE),"UNK")&amp;"_"&amp;IFERROR(VLOOKUP(C135,LOOKUPS!$N$2:$O$8,2,FALSE),"UNK")&amp;"_"&amp;UPPER(L135))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t="s">
        <v>25</v>
      </c>
      <c r="F136" s="3"/>
      <c r="G136" s="3"/>
      <c r="H136" s="3"/>
      <c r="I136" s="3"/>
      <c r="J136" s="3"/>
      <c r="K136" s="3"/>
      <c r="L136" s="3"/>
      <c r="M136" s="3" t="str">
        <f>IF(B136="","","AB"&amp;"_"&amp;IFERROR(VLOOKUP(B136,LOOKUPS!$K$2:$L$9,2,FALSE),"UNK")&amp;"_"&amp;IFERROR(VLOOKUP(C136,LOOKUPS!$N$2:$O$8,2,FALSE),"UNK")&amp;"_"&amp;UPPER(L136))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t="s">
        <v>25</v>
      </c>
      <c r="F137" s="3"/>
      <c r="G137" s="3"/>
      <c r="H137" s="3"/>
      <c r="I137" s="3"/>
      <c r="J137" s="3"/>
      <c r="K137" s="3"/>
      <c r="L137" s="3"/>
      <c r="M137" s="3" t="str">
        <f>IF(B137="","","AB"&amp;"_"&amp;IFERROR(VLOOKUP(B137,LOOKUPS!$K$2:$L$9,2,FALSE),"UNK")&amp;"_"&amp;IFERROR(VLOOKUP(C137,LOOKUPS!$N$2:$O$8,2,FALSE),"UNK")&amp;"_"&amp;UPPER(L137))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t="s">
        <v>25</v>
      </c>
      <c r="F138" s="3"/>
      <c r="G138" s="3"/>
      <c r="H138" s="3"/>
      <c r="I138" s="3"/>
      <c r="J138" s="3"/>
      <c r="K138" s="3"/>
      <c r="L138" s="3"/>
      <c r="M138" s="3" t="str">
        <f>IF(B138="","","AB"&amp;"_"&amp;IFERROR(VLOOKUP(B138,LOOKUPS!$K$2:$L$9,2,FALSE),"UNK")&amp;"_"&amp;IFERROR(VLOOKUP(C138,LOOKUPS!$N$2:$O$8,2,FALSE),"UNK")&amp;"_"&amp;UPPER(L138))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t="s">
        <v>25</v>
      </c>
      <c r="F139" s="3"/>
      <c r="G139" s="3"/>
      <c r="H139" s="3"/>
      <c r="I139" s="3"/>
      <c r="J139" s="3"/>
      <c r="K139" s="3"/>
      <c r="L139" s="3"/>
      <c r="M139" s="3" t="str">
        <f>IF(B139="","","AB"&amp;"_"&amp;IFERROR(VLOOKUP(B139,LOOKUPS!$K$2:$L$9,2,FALSE),"UNK")&amp;"_"&amp;IFERROR(VLOOKUP(C139,LOOKUPS!$N$2:$O$8,2,FALSE),"UNK")&amp;"_"&amp;UPPER(L139))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t="s">
        <v>25</v>
      </c>
      <c r="F140" s="3"/>
      <c r="G140" s="3"/>
      <c r="H140" s="3"/>
      <c r="I140" s="3"/>
      <c r="J140" s="3"/>
      <c r="K140" s="3"/>
      <c r="L140" s="3"/>
      <c r="M140" s="3" t="str">
        <f>IF(B140="","","AB"&amp;"_"&amp;IFERROR(VLOOKUP(B140,LOOKUPS!$K$2:$L$9,2,FALSE),"UNK")&amp;"_"&amp;IFERROR(VLOOKUP(C140,LOOKUPS!$N$2:$O$8,2,FALSE),"UNK")&amp;"_"&amp;UPPER(L140))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t="s">
        <v>25</v>
      </c>
      <c r="F141" s="3"/>
      <c r="G141" s="3"/>
      <c r="H141" s="3"/>
      <c r="I141" s="3"/>
      <c r="J141" s="3"/>
      <c r="K141" s="3"/>
      <c r="L141" s="3"/>
      <c r="M141" s="3" t="str">
        <f>IF(B141="","","AB"&amp;"_"&amp;IFERROR(VLOOKUP(B141,LOOKUPS!$K$2:$L$9,2,FALSE),"UNK")&amp;"_"&amp;IFERROR(VLOOKUP(C141,LOOKUPS!$N$2:$O$8,2,FALSE),"UNK")&amp;"_"&amp;UPPER(L141))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t="s">
        <v>25</v>
      </c>
      <c r="F142" s="3"/>
      <c r="G142" s="3"/>
      <c r="H142" s="3"/>
      <c r="I142" s="3"/>
      <c r="J142" s="3"/>
      <c r="K142" s="3"/>
      <c r="L142" s="3"/>
      <c r="M142" s="3" t="str">
        <f>IF(B142="","","AB"&amp;"_"&amp;IFERROR(VLOOKUP(B142,LOOKUPS!$K$2:$L$9,2,FALSE),"UNK")&amp;"_"&amp;IFERROR(VLOOKUP(C142,LOOKUPS!$N$2:$O$8,2,FALSE),"UNK")&amp;"_"&amp;UPPER(L142))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t="s">
        <v>25</v>
      </c>
      <c r="F143" s="3"/>
      <c r="G143" s="3"/>
      <c r="H143" s="3"/>
      <c r="I143" s="3"/>
      <c r="J143" s="3"/>
      <c r="K143" s="3"/>
      <c r="L143" s="3"/>
      <c r="M143" s="3" t="str">
        <f>IF(B143="","","AB"&amp;"_"&amp;IFERROR(VLOOKUP(B143,LOOKUPS!$K$2:$L$9,2,FALSE),"UNK")&amp;"_"&amp;IFERROR(VLOOKUP(C143,LOOKUPS!$N$2:$O$8,2,FALSE),"UNK")&amp;"_"&amp;UPPER(L143))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t="s">
        <v>25</v>
      </c>
      <c r="F144" s="3"/>
      <c r="G144" s="3"/>
      <c r="H144" s="3"/>
      <c r="I144" s="3"/>
      <c r="J144" s="3"/>
      <c r="K144" s="3"/>
      <c r="L144" s="3"/>
      <c r="M144" s="3" t="str">
        <f>IF(B144="","","AB"&amp;"_"&amp;IFERROR(VLOOKUP(B144,LOOKUPS!$K$2:$L$9,2,FALSE),"UNK")&amp;"_"&amp;IFERROR(VLOOKUP(C144,LOOKUPS!$N$2:$O$8,2,FALSE),"UNK")&amp;"_"&amp;UPPER(L144))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t="s">
        <v>25</v>
      </c>
      <c r="F145" s="3"/>
      <c r="G145" s="3"/>
      <c r="H145" s="3"/>
      <c r="I145" s="3"/>
      <c r="J145" s="3"/>
      <c r="K145" s="3"/>
      <c r="L145" s="3"/>
      <c r="M145" s="3" t="str">
        <f>IF(B145="","","AB"&amp;"_"&amp;IFERROR(VLOOKUP(B145,LOOKUPS!$K$2:$L$9,2,FALSE),"UNK")&amp;"_"&amp;IFERROR(VLOOKUP(C145,LOOKUPS!$N$2:$O$8,2,FALSE),"UNK")&amp;"_"&amp;UPPER(L145))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t="s">
        <v>25</v>
      </c>
      <c r="F146" s="3"/>
      <c r="G146" s="3"/>
      <c r="H146" s="3"/>
      <c r="I146" s="3"/>
      <c r="J146" s="3"/>
      <c r="K146" s="3"/>
      <c r="L146" s="3"/>
      <c r="M146" s="3" t="str">
        <f>IF(B146="","","AB"&amp;"_"&amp;IFERROR(VLOOKUP(B146,LOOKUPS!$K$2:$L$9,2,FALSE),"UNK")&amp;"_"&amp;IFERROR(VLOOKUP(C146,LOOKUPS!$N$2:$O$8,2,FALSE),"UNK")&amp;"_"&amp;UPPER(L146))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t="s">
        <v>25</v>
      </c>
      <c r="F147" s="3"/>
      <c r="G147" s="3"/>
      <c r="H147" s="3"/>
      <c r="I147" s="3"/>
      <c r="J147" s="3"/>
      <c r="K147" s="3"/>
      <c r="L147" s="3"/>
      <c r="M147" s="3" t="str">
        <f>IF(B147="","","AB"&amp;"_"&amp;IFERROR(VLOOKUP(B147,LOOKUPS!$K$2:$L$9,2,FALSE),"UNK")&amp;"_"&amp;IFERROR(VLOOKUP(C147,LOOKUPS!$N$2:$O$8,2,FALSE),"UNK")&amp;"_"&amp;UPPER(L147))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t="s">
        <v>25</v>
      </c>
      <c r="F148" s="3"/>
      <c r="G148" s="3"/>
      <c r="H148" s="3"/>
      <c r="I148" s="3"/>
      <c r="J148" s="3"/>
      <c r="K148" s="3"/>
      <c r="L148" s="3"/>
      <c r="M148" s="3" t="str">
        <f>IF(B148="","","AB"&amp;"_"&amp;IFERROR(VLOOKUP(B148,LOOKUPS!$K$2:$L$9,2,FALSE),"UNK")&amp;"_"&amp;IFERROR(VLOOKUP(C148,LOOKUPS!$N$2:$O$8,2,FALSE),"UNK")&amp;"_"&amp;UPPER(L148))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t="s">
        <v>25</v>
      </c>
      <c r="F149" s="3"/>
      <c r="G149" s="3"/>
      <c r="H149" s="3"/>
      <c r="I149" s="3"/>
      <c r="J149" s="3"/>
      <c r="K149" s="3"/>
      <c r="L149" s="3"/>
      <c r="M149" s="3" t="str">
        <f>IF(B149="","","AB"&amp;"_"&amp;IFERROR(VLOOKUP(B149,LOOKUPS!$K$2:$L$9,2,FALSE),"UNK")&amp;"_"&amp;IFERROR(VLOOKUP(C149,LOOKUPS!$N$2:$O$8,2,FALSE),"UNK")&amp;"_"&amp;UPPER(L149))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t="s">
        <v>25</v>
      </c>
      <c r="F150" s="3"/>
      <c r="G150" s="3"/>
      <c r="H150" s="3"/>
      <c r="I150" s="3"/>
      <c r="J150" s="3"/>
      <c r="K150" s="3"/>
      <c r="L150" s="3"/>
      <c r="M150" s="3" t="str">
        <f>IF(B150="","","AB"&amp;"_"&amp;IFERROR(VLOOKUP(B150,LOOKUPS!$K$2:$L$9,2,FALSE),"UNK")&amp;"_"&amp;IFERROR(VLOOKUP(C150,LOOKUPS!$N$2:$O$8,2,FALSE),"UNK")&amp;"_"&amp;UPPER(L150))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t="s">
        <v>25</v>
      </c>
      <c r="F151" s="3"/>
      <c r="G151" s="3"/>
      <c r="H151" s="3"/>
      <c r="I151" s="3"/>
      <c r="J151" s="3"/>
      <c r="K151" s="3"/>
      <c r="L151" s="3"/>
      <c r="M151" s="3" t="str">
        <f>IF(B151="","","AB"&amp;"_"&amp;IFERROR(VLOOKUP(B151,LOOKUPS!$K$2:$L$9,2,FALSE),"UNK")&amp;"_"&amp;IFERROR(VLOOKUP(C151,LOOKUPS!$N$2:$O$8,2,FALSE),"UNK")&amp;"_"&amp;UPPER(L151))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t="s">
        <v>25</v>
      </c>
      <c r="F152" s="3"/>
      <c r="G152" s="3"/>
      <c r="H152" s="3"/>
      <c r="I152" s="3"/>
      <c r="J152" s="3"/>
      <c r="K152" s="3"/>
      <c r="L152" s="3"/>
      <c r="M152" s="3" t="str">
        <f>IF(B152="","","AB"&amp;"_"&amp;IFERROR(VLOOKUP(B152,LOOKUPS!$K$2:$L$9,2,FALSE),"UNK")&amp;"_"&amp;IFERROR(VLOOKUP(C152,LOOKUPS!$N$2:$O$8,2,FALSE),"UNK")&amp;"_"&amp;UPPER(L152))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t="s">
        <v>25</v>
      </c>
      <c r="F153" s="3"/>
      <c r="G153" s="3"/>
      <c r="H153" s="3"/>
      <c r="I153" s="3"/>
      <c r="J153" s="3"/>
      <c r="K153" s="3"/>
      <c r="L153" s="3"/>
      <c r="M153" s="3" t="str">
        <f>IF(B153="","","AB"&amp;"_"&amp;IFERROR(VLOOKUP(B153,LOOKUPS!$K$2:$L$9,2,FALSE),"UNK")&amp;"_"&amp;IFERROR(VLOOKUP(C153,LOOKUPS!$N$2:$O$8,2,FALSE),"UNK")&amp;"_"&amp;UPPER(L153))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t="s">
        <v>25</v>
      </c>
      <c r="F154" s="3"/>
      <c r="G154" s="3"/>
      <c r="H154" s="3"/>
      <c r="I154" s="3"/>
      <c r="J154" s="3"/>
      <c r="K154" s="3"/>
      <c r="L154" s="3"/>
      <c r="M154" s="3" t="str">
        <f>IF(B154="","","AB"&amp;"_"&amp;IFERROR(VLOOKUP(B154,LOOKUPS!$K$2:$L$9,2,FALSE),"UNK")&amp;"_"&amp;IFERROR(VLOOKUP(C154,LOOKUPS!$N$2:$O$8,2,FALSE),"UNK")&amp;"_"&amp;UPPER(L154))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t="s">
        <v>25</v>
      </c>
      <c r="F155" s="3"/>
      <c r="G155" s="3"/>
      <c r="H155" s="3"/>
      <c r="I155" s="3"/>
      <c r="J155" s="3"/>
      <c r="K155" s="3"/>
      <c r="L155" s="3"/>
      <c r="M155" s="3" t="str">
        <f>IF(B155="","","AB"&amp;"_"&amp;IFERROR(VLOOKUP(B155,LOOKUPS!$K$2:$L$9,2,FALSE),"UNK")&amp;"_"&amp;IFERROR(VLOOKUP(C155,LOOKUPS!$N$2:$O$8,2,FALSE),"UNK")&amp;"_"&amp;UPPER(L155))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t="s">
        <v>25</v>
      </c>
      <c r="F156" s="3"/>
      <c r="G156" s="3"/>
      <c r="H156" s="3"/>
      <c r="I156" s="3"/>
      <c r="J156" s="3"/>
      <c r="K156" s="3"/>
      <c r="L156" s="3"/>
      <c r="M156" s="3" t="str">
        <f>IF(B156="","","AB"&amp;"_"&amp;IFERROR(VLOOKUP(B156,LOOKUPS!$K$2:$L$9,2,FALSE),"UNK")&amp;"_"&amp;IFERROR(VLOOKUP(C156,LOOKUPS!$N$2:$O$8,2,FALSE),"UNK")&amp;"_"&amp;UPPER(L156))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t="s">
        <v>25</v>
      </c>
      <c r="F157" s="3"/>
      <c r="G157" s="3"/>
      <c r="H157" s="3"/>
      <c r="I157" s="3"/>
      <c r="J157" s="3"/>
      <c r="K157" s="3"/>
      <c r="L157" s="3"/>
      <c r="M157" s="3" t="str">
        <f>IF(B157="","","AB"&amp;"_"&amp;IFERROR(VLOOKUP(B157,LOOKUPS!$K$2:$L$9,2,FALSE),"UNK")&amp;"_"&amp;IFERROR(VLOOKUP(C157,LOOKUPS!$N$2:$O$8,2,FALSE),"UNK")&amp;"_"&amp;UPPER(L157))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t="s">
        <v>25</v>
      </c>
      <c r="F158" s="3"/>
      <c r="G158" s="3"/>
      <c r="H158" s="3"/>
      <c r="I158" s="3"/>
      <c r="J158" s="3"/>
      <c r="K158" s="3"/>
      <c r="L158" s="3"/>
      <c r="M158" s="3" t="str">
        <f>IF(B158="","","AB"&amp;"_"&amp;IFERROR(VLOOKUP(B158,LOOKUPS!$K$2:$L$9,2,FALSE),"UNK")&amp;"_"&amp;IFERROR(VLOOKUP(C158,LOOKUPS!$N$2:$O$8,2,FALSE),"UNK")&amp;"_"&amp;UPPER(L158))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t="s">
        <v>25</v>
      </c>
      <c r="F159" s="3"/>
      <c r="G159" s="3"/>
      <c r="H159" s="3"/>
      <c r="I159" s="3"/>
      <c r="J159" s="3"/>
      <c r="K159" s="3"/>
      <c r="L159" s="3"/>
      <c r="M159" s="3" t="str">
        <f>IF(B159="","","AB"&amp;"_"&amp;IFERROR(VLOOKUP(B159,LOOKUPS!$K$2:$L$9,2,FALSE),"UNK")&amp;"_"&amp;IFERROR(VLOOKUP(C159,LOOKUPS!$N$2:$O$8,2,FALSE),"UNK")&amp;"_"&amp;UPPER(L159))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t="s">
        <v>25</v>
      </c>
      <c r="F160" s="3"/>
      <c r="G160" s="3"/>
      <c r="H160" s="3"/>
      <c r="I160" s="3"/>
      <c r="J160" s="3"/>
      <c r="K160" s="3"/>
      <c r="L160" s="3"/>
      <c r="M160" s="3" t="str">
        <f>IF(B160="","","AB"&amp;"_"&amp;IFERROR(VLOOKUP(B160,LOOKUPS!$K$2:$L$9,2,FALSE),"UNK")&amp;"_"&amp;IFERROR(VLOOKUP(C160,LOOKUPS!$N$2:$O$8,2,FALSE),"UNK")&amp;"_"&amp;UPPER(L160))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t="s">
        <v>25</v>
      </c>
      <c r="F161" s="3"/>
      <c r="G161" s="3"/>
      <c r="H161" s="3"/>
      <c r="I161" s="3"/>
      <c r="J161" s="3"/>
      <c r="K161" s="3"/>
      <c r="L161" s="3"/>
      <c r="M161" s="3" t="str">
        <f>IF(B161="","","AB"&amp;"_"&amp;IFERROR(VLOOKUP(B161,LOOKUPS!$K$2:$L$9,2,FALSE),"UNK")&amp;"_"&amp;IFERROR(VLOOKUP(C161,LOOKUPS!$N$2:$O$8,2,FALSE),"UNK")&amp;"_"&amp;UPPER(L161))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t="s">
        <v>25</v>
      </c>
      <c r="F162" s="3"/>
      <c r="G162" s="3"/>
      <c r="H162" s="3"/>
      <c r="I162" s="3"/>
      <c r="J162" s="3"/>
      <c r="K162" s="3"/>
      <c r="L162" s="3"/>
      <c r="M162" s="3" t="str">
        <f>IF(B162="","","AB"&amp;"_"&amp;IFERROR(VLOOKUP(B162,LOOKUPS!$K$2:$L$9,2,FALSE),"UNK")&amp;"_"&amp;IFERROR(VLOOKUP(C162,LOOKUPS!$N$2:$O$8,2,FALSE),"UNK")&amp;"_"&amp;UPPER(L162))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t="s">
        <v>25</v>
      </c>
      <c r="F163" s="3"/>
      <c r="G163" s="3"/>
      <c r="H163" s="3"/>
      <c r="I163" s="3"/>
      <c r="J163" s="3"/>
      <c r="K163" s="3"/>
      <c r="L163" s="3"/>
      <c r="M163" s="3" t="str">
        <f>IF(B163="","","AB"&amp;"_"&amp;IFERROR(VLOOKUP(B163,LOOKUPS!$K$2:$L$9,2,FALSE),"UNK")&amp;"_"&amp;IFERROR(VLOOKUP(C163,LOOKUPS!$N$2:$O$8,2,FALSE),"UNK")&amp;"_"&amp;UPPER(L163))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t="s">
        <v>25</v>
      </c>
      <c r="F164" s="3"/>
      <c r="G164" s="3"/>
      <c r="H164" s="3"/>
      <c r="I164" s="3"/>
      <c r="J164" s="3"/>
      <c r="K164" s="3"/>
      <c r="L164" s="3"/>
      <c r="M164" s="3" t="str">
        <f>IF(B164="","","AB"&amp;"_"&amp;IFERROR(VLOOKUP(B164,LOOKUPS!$K$2:$L$9,2,FALSE),"UNK")&amp;"_"&amp;IFERROR(VLOOKUP(C164,LOOKUPS!$N$2:$O$8,2,FALSE),"UNK")&amp;"_"&amp;UPPER(L164))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t="s">
        <v>25</v>
      </c>
      <c r="F165" s="3"/>
      <c r="G165" s="3"/>
      <c r="H165" s="3"/>
      <c r="I165" s="3"/>
      <c r="J165" s="3"/>
      <c r="K165" s="3"/>
      <c r="L165" s="3"/>
      <c r="M165" s="3" t="str">
        <f>IF(B165="","","AB"&amp;"_"&amp;IFERROR(VLOOKUP(B165,LOOKUPS!$K$2:$L$9,2,FALSE),"UNK")&amp;"_"&amp;IFERROR(VLOOKUP(C165,LOOKUPS!$N$2:$O$8,2,FALSE),"UNK")&amp;"_"&amp;UPPER(L165))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t="s">
        <v>25</v>
      </c>
      <c r="F166" s="3"/>
      <c r="G166" s="3"/>
      <c r="H166" s="3"/>
      <c r="I166" s="3"/>
      <c r="J166" s="3"/>
      <c r="K166" s="3"/>
      <c r="L166" s="3"/>
      <c r="M166" s="3" t="str">
        <f>IF(B166="","","AB"&amp;"_"&amp;IFERROR(VLOOKUP(B166,LOOKUPS!$K$2:$L$9,2,FALSE),"UNK")&amp;"_"&amp;IFERROR(VLOOKUP(C166,LOOKUPS!$N$2:$O$8,2,FALSE),"UNK")&amp;"_"&amp;UPPER(L166))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t="s">
        <v>25</v>
      </c>
      <c r="F167" s="3"/>
      <c r="G167" s="3"/>
      <c r="H167" s="3"/>
      <c r="I167" s="3"/>
      <c r="J167" s="3"/>
      <c r="K167" s="3"/>
      <c r="L167" s="3"/>
      <c r="M167" s="3" t="str">
        <f>IF(B167="","","AB"&amp;"_"&amp;IFERROR(VLOOKUP(B167,LOOKUPS!$K$2:$L$9,2,FALSE),"UNK")&amp;"_"&amp;IFERROR(VLOOKUP(C167,LOOKUPS!$N$2:$O$8,2,FALSE),"UNK")&amp;"_"&amp;UPPER(L167))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t="s">
        <v>25</v>
      </c>
      <c r="F168" s="3"/>
      <c r="G168" s="3"/>
      <c r="H168" s="3"/>
      <c r="I168" s="3"/>
      <c r="J168" s="3"/>
      <c r="K168" s="3"/>
      <c r="L168" s="3"/>
      <c r="M168" s="3" t="str">
        <f>IF(B168="","","AB"&amp;"_"&amp;IFERROR(VLOOKUP(B168,LOOKUPS!$K$2:$L$9,2,FALSE),"UNK")&amp;"_"&amp;IFERROR(VLOOKUP(C168,LOOKUPS!$N$2:$O$8,2,FALSE),"UNK")&amp;"_"&amp;UPPER(L168))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t="s">
        <v>25</v>
      </c>
      <c r="F169" s="3"/>
      <c r="G169" s="3"/>
      <c r="H169" s="3"/>
      <c r="I169" s="3"/>
      <c r="J169" s="3"/>
      <c r="K169" s="3"/>
      <c r="L169" s="3"/>
      <c r="M169" s="3" t="str">
        <f>IF(B169="","","AB"&amp;"_"&amp;IFERROR(VLOOKUP(B169,LOOKUPS!$K$2:$L$9,2,FALSE),"UNK")&amp;"_"&amp;IFERROR(VLOOKUP(C169,LOOKUPS!$N$2:$O$8,2,FALSE),"UNK")&amp;"_"&amp;UPPER(L169))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0000000}">
          <x14:formula1>
            <xm:f>LOOKUPS!$A$2:$A$9</xm:f>
          </x14:formula1>
          <xm:sqref>B170:B1000</xm:sqref>
        </x14:dataValidation>
        <x14:dataValidation type="list" allowBlank="1" showDropDown="1" xr:uid="{00000000-0002-0000-0300-000001000000}">
          <x14:formula1>
            <xm:f>LOOKUPS!$C$2:$C$8</xm:f>
          </x14:formula1>
          <xm:sqref>C170:C1000</xm:sqref>
        </x14:dataValidation>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4434F220-3CBF-48CB-B993-6A17BED391F4}">
          <x14:formula1>
            <xm:f>LOOKUPS!$A$2:$A$9</xm:f>
          </x14:formula1>
          <xm:sqref>B2:B169</xm:sqref>
        </x14:dataValidation>
        <x14:dataValidation type="list" allowBlank="1" xr:uid="{884C0F39-2BFC-401B-A2BE-C29392A44013}">
          <x14:formula1>
            <xm:f>LOOKUPS!$C$2:$C$8</xm:f>
          </x14:formula1>
          <xm:sqref>C2:C169</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opLeftCell="N1" workbookViewId="0">
      <pane ySplit="1" topLeftCell="A4" activePane="bottomLeft" state="frozen"/>
      <selection pane="bottomLeft" activeCell="AD8" sqref="AD8"/>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customWidth="1"/>
    <col min="16" max="16" width="11.88671875" customWidth="1"/>
    <col min="17" max="17" width="28" customWidth="1"/>
    <col min="18" max="18" width="18" customWidth="1"/>
    <col min="19" max="19" width="18.88671875" customWidth="1"/>
    <col min="20" max="20" width="28" customWidth="1"/>
    <col min="21" max="21" width="18" customWidth="1"/>
    <col min="22" max="22" width="18.88671875" customWidth="1"/>
    <col min="23" max="23" width="28" customWidth="1"/>
    <col min="24" max="24" width="18" customWidth="1"/>
    <col min="25" max="25" width="18.88671875" customWidth="1"/>
    <col min="26" max="26" width="28" customWidth="1"/>
    <col min="27" max="27" width="18" customWidth="1"/>
    <col min="28" max="28" width="18.88671875" customWidth="1"/>
    <col min="29" max="29" width="28" customWidth="1"/>
    <col min="30" max="30" width="18" customWidth="1"/>
    <col min="31" max="31" width="18.88671875" customWidth="1"/>
    <col min="32" max="32" width="27.33203125" customWidth="1"/>
    <col min="33" max="33" width="45" customWidth="1"/>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128</v>
      </c>
      <c r="J2" s="3" t="s">
        <v>129</v>
      </c>
      <c r="K2" s="3">
        <v>1</v>
      </c>
      <c r="L2" s="3" t="s">
        <v>130</v>
      </c>
      <c r="M2" s="3" t="str">
        <f>IF(B2="","","LIST"&amp;"_"&amp;IFERROR(VLOOKUP(B2,LOOKUPS!$K$2:$L$9,2,FALSE),"UNK")&amp;"_"&amp;IFERROR(VLOOKUP(C2,LOOKUPS!$N$2:$O$8,2,FALSE),"UNK")&amp;"_"&amp;UPPER(L2))</f>
        <v>LIST_ITNIC_REQ_EIS</v>
      </c>
      <c r="N2" s="3">
        <f>IF(M2="","",COUNTIF($M$2:M2,M2))</f>
        <v>1</v>
      </c>
      <c r="O2" s="3" t="s">
        <v>149</v>
      </c>
      <c r="P2" s="3">
        <v>4</v>
      </c>
      <c r="Q2" s="3" t="s">
        <v>150</v>
      </c>
      <c r="R2" s="3">
        <v>1000000</v>
      </c>
      <c r="S2" s="3" t="s">
        <v>24</v>
      </c>
      <c r="T2" s="3" t="s">
        <v>151</v>
      </c>
      <c r="U2" s="3">
        <v>0.3</v>
      </c>
      <c r="V2" s="3" t="s">
        <v>24</v>
      </c>
      <c r="W2" s="3" t="s">
        <v>152</v>
      </c>
      <c r="X2" s="3">
        <v>200000</v>
      </c>
      <c r="Y2" s="3" t="s">
        <v>24</v>
      </c>
      <c r="Z2" s="3" t="s">
        <v>153</v>
      </c>
      <c r="AA2" s="3">
        <v>0.5</v>
      </c>
      <c r="AB2" s="3" t="s">
        <v>24</v>
      </c>
      <c r="AC2" s="3"/>
      <c r="AD2" s="3"/>
      <c r="AE2" s="3"/>
      <c r="AF2" s="3" t="s">
        <v>17</v>
      </c>
      <c r="AG2" s="3" t="s">
        <v>154</v>
      </c>
    </row>
    <row r="3" spans="1:33" ht="86.4" x14ac:dyDescent="0.3">
      <c r="A3" s="3" t="str">
        <f t="shared" si="0"/>
        <v>LIST_ITNIC_REQ_EIS_002</v>
      </c>
      <c r="B3" s="3" t="s">
        <v>21</v>
      </c>
      <c r="C3" s="3" t="s">
        <v>22</v>
      </c>
      <c r="D3" s="3" t="s">
        <v>118</v>
      </c>
      <c r="E3" s="3" t="s">
        <v>31</v>
      </c>
      <c r="F3" s="3">
        <v>3</v>
      </c>
      <c r="G3" s="3" t="s">
        <v>16</v>
      </c>
      <c r="H3" s="3" t="s">
        <v>17</v>
      </c>
      <c r="I3" s="3" t="s">
        <v>128</v>
      </c>
      <c r="J3" s="3" t="s">
        <v>129</v>
      </c>
      <c r="K3" s="3">
        <v>1</v>
      </c>
      <c r="L3" s="3" t="s">
        <v>130</v>
      </c>
      <c r="M3" s="3" t="str">
        <f>IF(B3="","","LIST"&amp;"_"&amp;IFERROR(VLOOKUP(B3,LOOKUPS!$K$2:$L$9,2,FALSE),"UNK")&amp;"_"&amp;IFERROR(VLOOKUP(C3,LOOKUPS!$N$2:$O$8,2,FALSE),"UNK")&amp;"_"&amp;UPPER(L3))</f>
        <v>LIST_ITNIC_REQ_EIS</v>
      </c>
      <c r="N3" s="3">
        <f>IF(M3="","",COUNTIF($M$2:M3,M3))</f>
        <v>2</v>
      </c>
      <c r="O3" s="3" t="s">
        <v>155</v>
      </c>
      <c r="P3" s="3">
        <v>3</v>
      </c>
      <c r="Q3" s="3" t="s">
        <v>156</v>
      </c>
      <c r="R3" s="3">
        <v>1</v>
      </c>
      <c r="S3" s="3" t="s">
        <v>24</v>
      </c>
      <c r="T3" s="3" t="s">
        <v>157</v>
      </c>
      <c r="U3" s="3">
        <v>3</v>
      </c>
      <c r="V3" s="3" t="s">
        <v>24</v>
      </c>
      <c r="W3" s="3" t="s">
        <v>158</v>
      </c>
      <c r="X3" s="3" t="s">
        <v>159</v>
      </c>
      <c r="Y3" s="3" t="s">
        <v>24</v>
      </c>
      <c r="Z3" s="3"/>
      <c r="AA3" s="3"/>
      <c r="AB3" s="3"/>
      <c r="AC3" s="3"/>
      <c r="AD3" s="3"/>
      <c r="AE3" s="3"/>
      <c r="AF3" s="3" t="s">
        <v>17</v>
      </c>
      <c r="AG3" s="3" t="s">
        <v>160</v>
      </c>
    </row>
    <row r="4" spans="1:33" ht="72" x14ac:dyDescent="0.3">
      <c r="A4" s="3" t="str">
        <f t="shared" si="0"/>
        <v>LIST_ITNIC_REQ_PSC_001</v>
      </c>
      <c r="B4" s="3" t="s">
        <v>21</v>
      </c>
      <c r="C4" s="3" t="s">
        <v>22</v>
      </c>
      <c r="D4" s="3" t="s">
        <v>170</v>
      </c>
      <c r="E4" s="3" t="s">
        <v>31</v>
      </c>
      <c r="F4" s="3">
        <v>3</v>
      </c>
      <c r="G4" s="3" t="s">
        <v>16</v>
      </c>
      <c r="H4" s="3" t="s">
        <v>17</v>
      </c>
      <c r="I4" s="3" t="s">
        <v>180</v>
      </c>
      <c r="J4" s="3" t="s">
        <v>129</v>
      </c>
      <c r="K4" s="3">
        <v>1</v>
      </c>
      <c r="L4" s="3" t="s">
        <v>172</v>
      </c>
      <c r="M4" s="3" t="str">
        <f>IF(B4="","","LIST"&amp;"_"&amp;IFERROR(VLOOKUP(B4,LOOKUPS!$K$2:$L$9,2,FALSE),"UNK")&amp;"_"&amp;IFERROR(VLOOKUP(C4,LOOKUPS!$N$2:$O$8,2,FALSE),"UNK")&amp;"_"&amp;UPPER(L4))</f>
        <v>LIST_ITNIC_REQ_PSC</v>
      </c>
      <c r="N4" s="3">
        <f>IF(M4="","",COUNTIF($M$2:M4,M4))</f>
        <v>1</v>
      </c>
      <c r="O4" s="3" t="s">
        <v>192</v>
      </c>
      <c r="P4" s="3">
        <v>5</v>
      </c>
      <c r="Q4" s="3" t="s">
        <v>193</v>
      </c>
      <c r="R4" s="3" t="s">
        <v>194</v>
      </c>
      <c r="S4" s="3" t="s">
        <v>24</v>
      </c>
      <c r="T4" s="3" t="s">
        <v>195</v>
      </c>
      <c r="U4" s="3" t="s">
        <v>196</v>
      </c>
      <c r="V4" s="3" t="s">
        <v>24</v>
      </c>
      <c r="W4" s="3" t="s">
        <v>197</v>
      </c>
      <c r="X4" s="3" t="s">
        <v>198</v>
      </c>
      <c r="Y4" s="3" t="s">
        <v>24</v>
      </c>
      <c r="Z4" s="3" t="s">
        <v>199</v>
      </c>
      <c r="AA4" s="3" t="s">
        <v>200</v>
      </c>
      <c r="AB4" s="3" t="s">
        <v>24</v>
      </c>
      <c r="AC4" s="3" t="s">
        <v>201</v>
      </c>
      <c r="AD4" s="3" t="s">
        <v>202</v>
      </c>
      <c r="AE4" s="3" t="s">
        <v>24</v>
      </c>
      <c r="AF4" s="3" t="s">
        <v>17</v>
      </c>
      <c r="AG4" s="3" t="s">
        <v>203</v>
      </c>
    </row>
    <row r="5" spans="1:33" ht="100.8" x14ac:dyDescent="0.3">
      <c r="A5" s="3" t="str">
        <f t="shared" si="0"/>
        <v>LIST_ITNIC_REQ_PSC_002</v>
      </c>
      <c r="B5" s="3" t="s">
        <v>21</v>
      </c>
      <c r="C5" s="3" t="s">
        <v>22</v>
      </c>
      <c r="D5" s="3" t="s">
        <v>170</v>
      </c>
      <c r="E5" s="3" t="s">
        <v>31</v>
      </c>
      <c r="F5" s="3">
        <v>3</v>
      </c>
      <c r="G5" s="3" t="s">
        <v>16</v>
      </c>
      <c r="H5" s="3" t="s">
        <v>17</v>
      </c>
      <c r="I5" s="3" t="s">
        <v>204</v>
      </c>
      <c r="J5" s="3" t="s">
        <v>129</v>
      </c>
      <c r="K5" s="3">
        <v>1</v>
      </c>
      <c r="L5" s="3" t="s">
        <v>172</v>
      </c>
      <c r="M5" s="3" t="str">
        <f>IF(B5="","","LIST"&amp;"_"&amp;IFERROR(VLOOKUP(B5,LOOKUPS!$K$2:$L$9,2,FALSE),"UNK")&amp;"_"&amp;IFERROR(VLOOKUP(C5,LOOKUPS!$N$2:$O$8,2,FALSE),"UNK")&amp;"_"&amp;UPPER(L5))</f>
        <v>LIST_ITNIC_REQ_PSC</v>
      </c>
      <c r="N5" s="3">
        <f>IF(M5="","",COUNTIF($M$2:M5,M5))</f>
        <v>2</v>
      </c>
      <c r="O5" s="3" t="s">
        <v>205</v>
      </c>
      <c r="P5" s="3">
        <v>4</v>
      </c>
      <c r="Q5" s="3" t="s">
        <v>206</v>
      </c>
      <c r="R5" s="3" t="s">
        <v>207</v>
      </c>
      <c r="S5" s="3" t="s">
        <v>24</v>
      </c>
      <c r="T5" s="3" t="s">
        <v>208</v>
      </c>
      <c r="U5" s="3" t="s">
        <v>209</v>
      </c>
      <c r="V5" s="3" t="s">
        <v>24</v>
      </c>
      <c r="W5" s="3" t="s">
        <v>210</v>
      </c>
      <c r="X5" s="3">
        <v>45</v>
      </c>
      <c r="Y5" s="3" t="s">
        <v>24</v>
      </c>
      <c r="Z5" s="3" t="s">
        <v>211</v>
      </c>
      <c r="AA5" s="3" t="s">
        <v>212</v>
      </c>
      <c r="AB5" s="3" t="s">
        <v>24</v>
      </c>
      <c r="AC5" s="3"/>
      <c r="AD5" s="3"/>
      <c r="AE5" s="3"/>
      <c r="AF5" s="3" t="s">
        <v>17</v>
      </c>
      <c r="AG5" s="3" t="s">
        <v>213</v>
      </c>
    </row>
    <row r="6" spans="1:33" ht="57.6" x14ac:dyDescent="0.3">
      <c r="A6" s="3" t="str">
        <f t="shared" si="0"/>
        <v>LIST_ITNIC_REQ_SHS_001</v>
      </c>
      <c r="B6" t="s">
        <v>21</v>
      </c>
      <c r="C6" t="s">
        <v>22</v>
      </c>
      <c r="D6" t="s">
        <v>282</v>
      </c>
      <c r="E6" t="s">
        <v>31</v>
      </c>
      <c r="F6">
        <v>3</v>
      </c>
      <c r="G6" t="s">
        <v>16</v>
      </c>
      <c r="H6" t="s">
        <v>17</v>
      </c>
      <c r="I6" t="s">
        <v>283</v>
      </c>
      <c r="J6" t="s">
        <v>129</v>
      </c>
      <c r="K6">
        <v>1</v>
      </c>
      <c r="L6" t="s">
        <v>223</v>
      </c>
      <c r="M6" s="3" t="str">
        <f>IF(B6="","","LIST"&amp;"_"&amp;IFERROR(VLOOKUP(B6,LOOKUPS!$K$2:$L$9,2,FALSE),"UNK")&amp;"_"&amp;IFERROR(VLOOKUP(C6,LOOKUPS!$N$2:$O$8,2,FALSE),"UNK")&amp;"_"&amp;UPPER(L6))</f>
        <v>LIST_ITNIC_REQ_SHS</v>
      </c>
      <c r="N6" s="3">
        <f>IF(M6="","",COUNTIF($M$2:M6,M6))</f>
        <v>1</v>
      </c>
      <c r="O6" t="s">
        <v>284</v>
      </c>
      <c r="P6">
        <v>3</v>
      </c>
      <c r="Q6" t="s">
        <v>285</v>
      </c>
      <c r="R6" t="s">
        <v>286</v>
      </c>
      <c r="S6" t="s">
        <v>24</v>
      </c>
      <c r="T6" t="s">
        <v>287</v>
      </c>
      <c r="U6" t="s">
        <v>288</v>
      </c>
      <c r="V6" t="s">
        <v>24</v>
      </c>
      <c r="W6" t="s">
        <v>289</v>
      </c>
      <c r="X6" t="s">
        <v>290</v>
      </c>
      <c r="Y6" t="s">
        <v>24</v>
      </c>
      <c r="AF6" t="s">
        <v>17</v>
      </c>
      <c r="AG6" s="6" t="s">
        <v>291</v>
      </c>
    </row>
    <row r="7" spans="1:33" ht="72" x14ac:dyDescent="0.3">
      <c r="A7" s="3" t="str">
        <f t="shared" si="0"/>
        <v>LIST_ITNIC_REQ_SHS_002</v>
      </c>
      <c r="B7" s="3" t="s">
        <v>21</v>
      </c>
      <c r="C7" s="3" t="s">
        <v>22</v>
      </c>
      <c r="D7" s="3" t="s">
        <v>221</v>
      </c>
      <c r="E7" s="3" t="s">
        <v>31</v>
      </c>
      <c r="F7" s="3">
        <v>3</v>
      </c>
      <c r="G7" s="3" t="s">
        <v>16</v>
      </c>
      <c r="H7" s="3" t="s">
        <v>17</v>
      </c>
      <c r="I7" s="3" t="s">
        <v>243</v>
      </c>
      <c r="J7" s="3" t="s">
        <v>129</v>
      </c>
      <c r="K7" s="3">
        <v>1</v>
      </c>
      <c r="L7" s="3" t="s">
        <v>223</v>
      </c>
      <c r="M7" s="3" t="str">
        <f>IF(B7="","","LIST"&amp;"_"&amp;IFERROR(VLOOKUP(B7,LOOKUPS!$K$2:$L$9,2,FALSE),"UNK")&amp;"_"&amp;IFERROR(VLOOKUP(C7,LOOKUPS!$N$2:$O$8,2,FALSE),"UNK")&amp;"_"&amp;UPPER(L7))</f>
        <v>LIST_ITNIC_REQ_SHS</v>
      </c>
      <c r="N7" s="3">
        <f>IF(M7="","",COUNTIF($M$2:M7,M7))</f>
        <v>2</v>
      </c>
      <c r="O7" s="3" t="s">
        <v>244</v>
      </c>
      <c r="P7" s="3">
        <v>5</v>
      </c>
      <c r="Q7" s="3" t="s">
        <v>245</v>
      </c>
      <c r="R7" s="3">
        <v>60000</v>
      </c>
      <c r="S7" s="3" t="s">
        <v>24</v>
      </c>
      <c r="T7" s="3" t="s">
        <v>246</v>
      </c>
      <c r="U7" s="3">
        <v>3</v>
      </c>
      <c r="V7" s="3" t="s">
        <v>24</v>
      </c>
      <c r="W7" s="3" t="s">
        <v>247</v>
      </c>
      <c r="X7" s="3">
        <v>10</v>
      </c>
      <c r="Y7" s="3" t="s">
        <v>24</v>
      </c>
      <c r="Z7" s="3" t="s">
        <v>248</v>
      </c>
      <c r="AA7" s="3">
        <v>250000</v>
      </c>
      <c r="AB7" s="3" t="s">
        <v>24</v>
      </c>
      <c r="AC7" s="3" t="s">
        <v>249</v>
      </c>
      <c r="AD7" s="3">
        <v>3000000</v>
      </c>
      <c r="AE7" s="3" t="s">
        <v>24</v>
      </c>
      <c r="AF7" s="3" t="s">
        <v>17</v>
      </c>
      <c r="AG7" s="3" t="s">
        <v>250</v>
      </c>
    </row>
    <row r="8" spans="1:33" ht="100.8" x14ac:dyDescent="0.3">
      <c r="A8" s="3" t="str">
        <f t="shared" si="0"/>
        <v>LIST_ITNIC_REQ_SHS_003</v>
      </c>
      <c r="B8" s="3" t="s">
        <v>21</v>
      </c>
      <c r="C8" s="3" t="s">
        <v>22</v>
      </c>
      <c r="D8" s="3" t="s">
        <v>221</v>
      </c>
      <c r="E8" s="3" t="s">
        <v>31</v>
      </c>
      <c r="F8" s="3">
        <v>3</v>
      </c>
      <c r="G8" s="3" t="s">
        <v>16</v>
      </c>
      <c r="H8" s="3" t="s">
        <v>17</v>
      </c>
      <c r="I8" s="3" t="s">
        <v>251</v>
      </c>
      <c r="J8" s="3" t="s">
        <v>129</v>
      </c>
      <c r="K8" s="3">
        <v>1</v>
      </c>
      <c r="L8" s="3" t="s">
        <v>223</v>
      </c>
      <c r="M8" s="3" t="str">
        <f>IF(B8="","","LIST"&amp;"_"&amp;IFERROR(VLOOKUP(B8,LOOKUPS!$K$2:$L$9,2,FALSE),"UNK")&amp;"_"&amp;IFERROR(VLOOKUP(C8,LOOKUPS!$N$2:$O$8,2,FALSE),"UNK")&amp;"_"&amp;UPPER(L8))</f>
        <v>LIST_ITNIC_REQ_SHS</v>
      </c>
      <c r="N8" s="3">
        <f>IF(M8="","",COUNTIF($M$2:M8,M8))</f>
        <v>3</v>
      </c>
      <c r="O8" s="3" t="s">
        <v>252</v>
      </c>
      <c r="P8" s="3">
        <v>5</v>
      </c>
      <c r="Q8" s="3" t="s">
        <v>253</v>
      </c>
      <c r="R8" s="3">
        <v>5</v>
      </c>
      <c r="S8" s="3" t="s">
        <v>24</v>
      </c>
      <c r="T8" s="3" t="s">
        <v>254</v>
      </c>
      <c r="U8" s="3">
        <v>3</v>
      </c>
      <c r="V8" s="3" t="s">
        <v>24</v>
      </c>
      <c r="W8" s="3" t="s">
        <v>255</v>
      </c>
      <c r="X8" s="3" t="s">
        <v>256</v>
      </c>
      <c r="Y8" s="3" t="s">
        <v>24</v>
      </c>
      <c r="Z8" s="3" t="s">
        <v>257</v>
      </c>
      <c r="AA8" s="3">
        <v>3</v>
      </c>
      <c r="AB8" s="3" t="s">
        <v>24</v>
      </c>
      <c r="AC8" s="3" t="s">
        <v>258</v>
      </c>
      <c r="AD8" s="3">
        <v>5</v>
      </c>
      <c r="AE8" s="3" t="s">
        <v>24</v>
      </c>
      <c r="AF8" s="3" t="s">
        <v>17</v>
      </c>
      <c r="AG8" s="3" t="s">
        <v>259</v>
      </c>
    </row>
    <row r="9" spans="1:33" x14ac:dyDescent="0.3">
      <c r="A9" s="3" t="str">
        <f t="shared" si="0"/>
        <v/>
      </c>
      <c r="B9" s="3"/>
      <c r="C9" s="3"/>
      <c r="D9" s="3"/>
      <c r="E9" s="3" t="s">
        <v>31</v>
      </c>
      <c r="F9" s="3"/>
      <c r="G9" s="3"/>
      <c r="H9" s="3"/>
      <c r="I9" s="3"/>
      <c r="J9" s="3"/>
      <c r="K9" s="3"/>
      <c r="L9" s="3"/>
      <c r="M9" s="3" t="str">
        <f>IF(B9="","","LIST"&amp;"_"&amp;IFERROR(VLOOKUP(B9,LOOKUPS!$K$2:$L$9,2,FALSE),"UNK")&amp;"_"&amp;IFERROR(VLOOKUP(C9,LOOKUPS!$N$2:$O$8,2,FALSE),"UNK")&amp;"_"&amp;UPPER(L9))</f>
        <v/>
      </c>
      <c r="N9" s="3" t="str">
        <f>IF(M9="","",COUNTIF($M$2:M9,M9))</f>
        <v/>
      </c>
      <c r="O9" s="3"/>
      <c r="P9" s="3"/>
      <c r="Q9" s="3"/>
      <c r="R9" s="3"/>
      <c r="S9" s="3"/>
      <c r="T9" s="3"/>
      <c r="U9" s="3"/>
      <c r="V9" s="3"/>
      <c r="W9" s="3"/>
      <c r="X9" s="3"/>
      <c r="Y9" s="3"/>
      <c r="Z9" s="3"/>
      <c r="AA9" s="3"/>
      <c r="AB9" s="3"/>
      <c r="AC9" s="3"/>
      <c r="AD9" s="3"/>
      <c r="AE9" s="3"/>
      <c r="AF9" s="3"/>
      <c r="AG9" s="3"/>
    </row>
    <row r="10" spans="1:33" x14ac:dyDescent="0.3">
      <c r="A10" s="3" t="str">
        <f t="shared" si="0"/>
        <v/>
      </c>
      <c r="B10" s="3"/>
      <c r="C10" s="3"/>
      <c r="D10" s="3"/>
      <c r="E10" s="3" t="s">
        <v>31</v>
      </c>
      <c r="F10" s="3"/>
      <c r="G10" s="3"/>
      <c r="H10" s="3"/>
      <c r="I10" s="3"/>
      <c r="J10" s="3"/>
      <c r="K10" s="3"/>
      <c r="L10" s="3"/>
      <c r="M10" s="3" t="str">
        <f>IF(B10="","","LIST"&amp;"_"&amp;IFERROR(VLOOKUP(B10,LOOKUPS!$K$2:$L$9,2,FALSE),"UNK")&amp;"_"&amp;IFERROR(VLOOKUP(C10,LOOKUPS!$N$2:$O$8,2,FALSE),"UNK")&amp;"_"&amp;UPPER(L10))</f>
        <v/>
      </c>
      <c r="N10" s="3" t="str">
        <f>IF(M10="","",COUNTIF($M$2:M10,M10))</f>
        <v/>
      </c>
      <c r="O10" s="3"/>
      <c r="P10" s="3"/>
      <c r="Q10" s="3"/>
      <c r="R10" s="3"/>
      <c r="S10" s="3"/>
      <c r="T10" s="3"/>
      <c r="U10" s="3"/>
      <c r="V10" s="3"/>
      <c r="W10" s="3"/>
      <c r="X10" s="3"/>
      <c r="Y10" s="3"/>
      <c r="Z10" s="3"/>
      <c r="AA10" s="3"/>
      <c r="AB10" s="3"/>
      <c r="AC10" s="3"/>
      <c r="AD10" s="3"/>
      <c r="AE10" s="3"/>
      <c r="AF10" s="3"/>
      <c r="AG10" s="3"/>
    </row>
    <row r="11" spans="1:33" x14ac:dyDescent="0.3">
      <c r="A11" s="3" t="str">
        <f t="shared" si="0"/>
        <v/>
      </c>
      <c r="B11" s="3"/>
      <c r="C11" s="3"/>
      <c r="D11" s="3"/>
      <c r="E11" s="3" t="s">
        <v>31</v>
      </c>
      <c r="F11" s="3"/>
      <c r="G11" s="3"/>
      <c r="H11" s="3"/>
      <c r="I11" s="3"/>
      <c r="J11" s="3"/>
      <c r="K11" s="3"/>
      <c r="L11" s="3"/>
      <c r="M11" s="3" t="str">
        <f>IF(B11="","","LIST"&amp;"_"&amp;IFERROR(VLOOKUP(B11,LOOKUPS!$K$2:$L$9,2,FALSE),"UNK")&amp;"_"&amp;IFERROR(VLOOKUP(C11,LOOKUPS!$N$2:$O$8,2,FALSE),"UNK")&amp;"_"&amp;UPPER(L11))</f>
        <v/>
      </c>
      <c r="N11" s="3" t="str">
        <f>IF(M11="","",COUNTIF($M$2:M11,M11))</f>
        <v/>
      </c>
      <c r="O11" s="3"/>
      <c r="P11" s="3"/>
      <c r="Q11" s="3"/>
      <c r="R11" s="3"/>
      <c r="S11" s="3"/>
      <c r="T11" s="3"/>
      <c r="U11" s="3"/>
      <c r="V11" s="3"/>
      <c r="W11" s="3"/>
      <c r="X11" s="3"/>
      <c r="Y11" s="3"/>
      <c r="Z11" s="3"/>
      <c r="AA11" s="3"/>
      <c r="AB11" s="3"/>
      <c r="AC11" s="3"/>
      <c r="AD11" s="3"/>
      <c r="AE11" s="3"/>
      <c r="AF11" s="3"/>
      <c r="AG11" s="3"/>
    </row>
    <row r="12" spans="1:33" x14ac:dyDescent="0.3">
      <c r="A12" s="3" t="str">
        <f t="shared" si="0"/>
        <v/>
      </c>
      <c r="B12" s="3"/>
      <c r="C12" s="3"/>
      <c r="D12" s="3"/>
      <c r="E12" s="3" t="s">
        <v>31</v>
      </c>
      <c r="F12" s="3"/>
      <c r="G12" s="3"/>
      <c r="H12" s="3"/>
      <c r="I12" s="3"/>
      <c r="J12" s="3"/>
      <c r="K12" s="3"/>
      <c r="L12" s="3"/>
      <c r="M12" s="3" t="str">
        <f>IF(B12="","","LIST"&amp;"_"&amp;IFERROR(VLOOKUP(B12,LOOKUPS!$K$2:$L$9,2,FALSE),"UNK")&amp;"_"&amp;IFERROR(VLOOKUP(C12,LOOKUPS!$N$2:$O$8,2,FALSE),"UNK")&amp;"_"&amp;UPPER(L12))</f>
        <v/>
      </c>
      <c r="N12" s="3" t="str">
        <f>IF(M12="","",COUNTIF($M$2:M12,M12))</f>
        <v/>
      </c>
      <c r="O12" s="3"/>
      <c r="P12" s="3"/>
      <c r="Q12" s="3"/>
      <c r="R12" s="3"/>
      <c r="S12" s="3"/>
      <c r="T12" s="3"/>
      <c r="U12" s="3"/>
      <c r="V12" s="3"/>
      <c r="W12" s="3"/>
      <c r="X12" s="3"/>
      <c r="Y12" s="3"/>
      <c r="Z12" s="3"/>
      <c r="AA12" s="3"/>
      <c r="AB12" s="3"/>
      <c r="AC12" s="3"/>
      <c r="AD12" s="3"/>
      <c r="AE12" s="3"/>
      <c r="AF12" s="3"/>
      <c r="AG12" s="3"/>
    </row>
    <row r="13" spans="1:33" x14ac:dyDescent="0.3">
      <c r="A13" s="3" t="str">
        <f t="shared" si="0"/>
        <v/>
      </c>
      <c r="B13" s="3"/>
      <c r="C13" s="3"/>
      <c r="D13" s="3"/>
      <c r="E13" s="3" t="s">
        <v>31</v>
      </c>
      <c r="F13" s="3"/>
      <c r="G13" s="3"/>
      <c r="H13" s="3"/>
      <c r="I13" s="3"/>
      <c r="J13" s="3"/>
      <c r="K13" s="3"/>
      <c r="L13" s="3"/>
      <c r="M13" s="3" t="str">
        <f>IF(B13="","","LIST"&amp;"_"&amp;IFERROR(VLOOKUP(B13,LOOKUPS!$K$2:$L$9,2,FALSE),"UNK")&amp;"_"&amp;IFERROR(VLOOKUP(C13,LOOKUPS!$N$2:$O$8,2,FALSE),"UNK")&amp;"_"&amp;UPPER(L13))</f>
        <v/>
      </c>
      <c r="N13" s="3" t="str">
        <f>IF(M13="","",COUNTIF($M$2:M13,M13))</f>
        <v/>
      </c>
      <c r="O13" s="3"/>
      <c r="P13" s="3"/>
      <c r="Q13" s="3"/>
      <c r="R13" s="3"/>
      <c r="S13" s="3"/>
      <c r="T13" s="3"/>
      <c r="U13" s="3"/>
      <c r="V13" s="3"/>
      <c r="W13" s="3"/>
      <c r="X13" s="3"/>
      <c r="Y13" s="3"/>
      <c r="Z13" s="3"/>
      <c r="AA13" s="3"/>
      <c r="AB13" s="3"/>
      <c r="AC13" s="3"/>
      <c r="AD13" s="3"/>
      <c r="AE13" s="3"/>
      <c r="AF13" s="3"/>
      <c r="AG13" s="3"/>
    </row>
    <row r="14" spans="1:33" x14ac:dyDescent="0.3">
      <c r="A14" s="3" t="str">
        <f t="shared" si="0"/>
        <v/>
      </c>
      <c r="B14" s="3"/>
      <c r="C14" s="3"/>
      <c r="D14" s="3"/>
      <c r="E14" s="3" t="s">
        <v>31</v>
      </c>
      <c r="F14" s="3"/>
      <c r="G14" s="3"/>
      <c r="H14" s="3"/>
      <c r="I14" s="3"/>
      <c r="J14" s="3"/>
      <c r="K14" s="3"/>
      <c r="L14" s="3"/>
      <c r="M14" s="3" t="str">
        <f>IF(B14="","","LIST"&amp;"_"&amp;IFERROR(VLOOKUP(B14,LOOKUPS!$K$2:$L$9,2,FALSE),"UNK")&amp;"_"&amp;IFERROR(VLOOKUP(C14,LOOKUPS!$N$2:$O$8,2,FALSE),"UNK")&amp;"_"&amp;UPPER(L14))</f>
        <v/>
      </c>
      <c r="N14" s="3" t="str">
        <f>IF(M14="","",COUNTIF($M$2:M14,M14))</f>
        <v/>
      </c>
      <c r="O14" s="3"/>
      <c r="P14" s="3"/>
      <c r="Q14" s="3"/>
      <c r="R14" s="3"/>
      <c r="S14" s="3"/>
      <c r="T14" s="3"/>
      <c r="U14" s="3"/>
      <c r="V14" s="3"/>
      <c r="W14" s="3"/>
      <c r="X14" s="3"/>
      <c r="Y14" s="3"/>
      <c r="Z14" s="3"/>
      <c r="AA14" s="3"/>
      <c r="AB14" s="3"/>
      <c r="AC14" s="3"/>
      <c r="AD14" s="3"/>
      <c r="AE14" s="3"/>
      <c r="AF14" s="3"/>
      <c r="AG14" s="3"/>
    </row>
    <row r="15" spans="1:33" x14ac:dyDescent="0.3">
      <c r="A15" s="3" t="str">
        <f t="shared" si="0"/>
        <v/>
      </c>
      <c r="B15" s="3"/>
      <c r="C15" s="3"/>
      <c r="D15" s="3"/>
      <c r="E15" s="3" t="s">
        <v>31</v>
      </c>
      <c r="F15" s="3"/>
      <c r="G15" s="3"/>
      <c r="H15" s="3"/>
      <c r="I15" s="3"/>
      <c r="J15" s="3"/>
      <c r="K15" s="3"/>
      <c r="L15" s="3"/>
      <c r="M15" s="3" t="str">
        <f>IF(B15="","","LIST"&amp;"_"&amp;IFERROR(VLOOKUP(B15,LOOKUPS!$K$2:$L$9,2,FALSE),"UNK")&amp;"_"&amp;IFERROR(VLOOKUP(C15,LOOKUPS!$N$2:$O$8,2,FALSE),"UNK")&amp;"_"&amp;UPPER(L15))</f>
        <v/>
      </c>
      <c r="N15" s="3" t="str">
        <f>IF(M15="","",COUNTIF($M$2:M15,M15))</f>
        <v/>
      </c>
      <c r="O15" s="3"/>
      <c r="P15" s="3"/>
      <c r="Q15" s="3"/>
      <c r="R15" s="3"/>
      <c r="S15" s="3"/>
      <c r="T15" s="3"/>
      <c r="U15" s="3"/>
      <c r="V15" s="3"/>
      <c r="W15" s="3"/>
      <c r="X15" s="3"/>
      <c r="Y15" s="3"/>
      <c r="Z15" s="3"/>
      <c r="AA15" s="3"/>
      <c r="AB15" s="3"/>
      <c r="AC15" s="3"/>
      <c r="AD15" s="3"/>
      <c r="AE15" s="3"/>
      <c r="AF15" s="3"/>
      <c r="AG15" s="3"/>
    </row>
    <row r="16" spans="1:33" x14ac:dyDescent="0.3">
      <c r="A16" s="3" t="str">
        <f t="shared" si="0"/>
        <v/>
      </c>
      <c r="B16" s="3"/>
      <c r="C16" s="3"/>
      <c r="D16" s="3"/>
      <c r="E16" s="3" t="s">
        <v>31</v>
      </c>
      <c r="F16" s="3"/>
      <c r="G16" s="3"/>
      <c r="H16" s="3"/>
      <c r="I16" s="3"/>
      <c r="J16" s="3"/>
      <c r="K16" s="3"/>
      <c r="L16" s="3"/>
      <c r="M16" s="3" t="str">
        <f>IF(B16="","","LIST"&amp;"_"&amp;IFERROR(VLOOKUP(B16,LOOKUPS!$K$2:$L$9,2,FALSE),"UNK")&amp;"_"&amp;IFERROR(VLOOKUP(C16,LOOKUPS!$N$2:$O$8,2,FALSE),"UNK")&amp;"_"&amp;UPPER(L16))</f>
        <v/>
      </c>
      <c r="N16" s="3" t="str">
        <f>IF(M16="","",COUNTIF($M$2:M16,M16))</f>
        <v/>
      </c>
      <c r="O16" s="3"/>
      <c r="P16" s="3"/>
      <c r="Q16" s="3"/>
      <c r="R16" s="3"/>
      <c r="S16" s="3"/>
      <c r="T16" s="3"/>
      <c r="U16" s="3"/>
      <c r="V16" s="3"/>
      <c r="W16" s="3"/>
      <c r="X16" s="3"/>
      <c r="Y16" s="3"/>
      <c r="Z16" s="3"/>
      <c r="AA16" s="3"/>
      <c r="AB16" s="3"/>
      <c r="AC16" s="3"/>
      <c r="AD16" s="3"/>
      <c r="AE16" s="3"/>
      <c r="AF16" s="3"/>
      <c r="AG16" s="3"/>
    </row>
    <row r="17" spans="1:33" x14ac:dyDescent="0.3">
      <c r="A17" s="3" t="str">
        <f t="shared" si="0"/>
        <v/>
      </c>
      <c r="B17" s="3"/>
      <c r="C17" s="3"/>
      <c r="D17" s="3"/>
      <c r="E17" s="3" t="s">
        <v>31</v>
      </c>
      <c r="F17" s="3"/>
      <c r="G17" s="3"/>
      <c r="H17" s="3"/>
      <c r="I17" s="3"/>
      <c r="J17" s="3"/>
      <c r="K17" s="3"/>
      <c r="L17" s="3"/>
      <c r="M17" s="3" t="str">
        <f>IF(B17="","","LIST"&amp;"_"&amp;IFERROR(VLOOKUP(B17,LOOKUPS!$K$2:$L$9,2,FALSE),"UNK")&amp;"_"&amp;IFERROR(VLOOKUP(C17,LOOKUPS!$N$2:$O$8,2,FALSE),"UNK")&amp;"_"&amp;UPPER(L17))</f>
        <v/>
      </c>
      <c r="N17" s="3" t="str">
        <f>IF(M17="","",COUNTIF($M$2:M17,M17))</f>
        <v/>
      </c>
      <c r="O17" s="3"/>
      <c r="P17" s="3"/>
      <c r="Q17" s="3"/>
      <c r="R17" s="3"/>
      <c r="S17" s="3"/>
      <c r="T17" s="3"/>
      <c r="U17" s="3"/>
      <c r="V17" s="3"/>
      <c r="W17" s="3"/>
      <c r="X17" s="3"/>
      <c r="Y17" s="3"/>
      <c r="Z17" s="3"/>
      <c r="AA17" s="3"/>
      <c r="AB17" s="3"/>
      <c r="AC17" s="3"/>
      <c r="AD17" s="3"/>
      <c r="AE17" s="3"/>
      <c r="AF17" s="3"/>
      <c r="AG17" s="3"/>
    </row>
    <row r="18" spans="1:33" x14ac:dyDescent="0.3">
      <c r="A18" s="3" t="str">
        <f t="shared" si="0"/>
        <v/>
      </c>
      <c r="B18" s="3"/>
      <c r="C18" s="3"/>
      <c r="D18" s="3"/>
      <c r="E18" s="3" t="s">
        <v>31</v>
      </c>
      <c r="F18" s="3"/>
      <c r="G18" s="3"/>
      <c r="H18" s="3"/>
      <c r="I18" s="3"/>
      <c r="J18" s="3"/>
      <c r="K18" s="3"/>
      <c r="L18" s="3"/>
      <c r="M18" s="3" t="str">
        <f>IF(B18="","","LIST"&amp;"_"&amp;IFERROR(VLOOKUP(B18,LOOKUPS!$K$2:$L$9,2,FALSE),"UNK")&amp;"_"&amp;IFERROR(VLOOKUP(C18,LOOKUPS!$N$2:$O$8,2,FALSE),"UNK")&amp;"_"&amp;UPPER(L18))</f>
        <v/>
      </c>
      <c r="N18" s="3" t="str">
        <f>IF(M18="","",COUNTIF($M$2:M18,M18))</f>
        <v/>
      </c>
      <c r="O18" s="3"/>
      <c r="P18" s="3"/>
      <c r="Q18" s="3"/>
      <c r="R18" s="3"/>
      <c r="S18" s="3"/>
      <c r="T18" s="3"/>
      <c r="U18" s="3"/>
      <c r="V18" s="3"/>
      <c r="W18" s="3"/>
      <c r="X18" s="3"/>
      <c r="Y18" s="3"/>
      <c r="Z18" s="3"/>
      <c r="AA18" s="3"/>
      <c r="AB18" s="3"/>
      <c r="AC18" s="3"/>
      <c r="AD18" s="3"/>
      <c r="AE18" s="3"/>
      <c r="AF18" s="3"/>
      <c r="AG18" s="3"/>
    </row>
    <row r="19" spans="1:33" x14ac:dyDescent="0.3">
      <c r="A19" s="3" t="str">
        <f t="shared" si="0"/>
        <v/>
      </c>
      <c r="B19" s="3"/>
      <c r="C19" s="3"/>
      <c r="D19" s="3"/>
      <c r="E19" s="3" t="s">
        <v>31</v>
      </c>
      <c r="F19" s="3"/>
      <c r="G19" s="3"/>
      <c r="H19" s="3"/>
      <c r="I19" s="3"/>
      <c r="J19" s="3"/>
      <c r="K19" s="3"/>
      <c r="L19" s="3"/>
      <c r="M19" s="3" t="str">
        <f>IF(B19="","","LIST"&amp;"_"&amp;IFERROR(VLOOKUP(B19,LOOKUPS!$K$2:$L$9,2,FALSE),"UNK")&amp;"_"&amp;IFERROR(VLOOKUP(C19,LOOKUPS!$N$2:$O$8,2,FALSE),"UNK")&amp;"_"&amp;UPPER(L19))</f>
        <v/>
      </c>
      <c r="N19" s="3" t="str">
        <f>IF(M19="","",COUNTIF($M$2:M19,M19))</f>
        <v/>
      </c>
      <c r="O19" s="3"/>
      <c r="P19" s="3"/>
      <c r="Q19" s="3"/>
      <c r="R19" s="3"/>
      <c r="S19" s="3"/>
      <c r="T19" s="3"/>
      <c r="U19" s="3"/>
      <c r="V19" s="3"/>
      <c r="W19" s="3"/>
      <c r="X19" s="3"/>
      <c r="Y19" s="3"/>
      <c r="Z19" s="3"/>
      <c r="AA19" s="3"/>
      <c r="AB19" s="3"/>
      <c r="AC19" s="3"/>
      <c r="AD19" s="3"/>
      <c r="AE19" s="3"/>
      <c r="AF19" s="3"/>
      <c r="AG19" s="3"/>
    </row>
    <row r="20" spans="1:33" x14ac:dyDescent="0.3">
      <c r="A20" s="3" t="str">
        <f t="shared" si="0"/>
        <v/>
      </c>
      <c r="B20" s="3"/>
      <c r="C20" s="3"/>
      <c r="D20" s="3"/>
      <c r="E20" s="3" t="s">
        <v>31</v>
      </c>
      <c r="F20" s="3"/>
      <c r="G20" s="3"/>
      <c r="H20" s="3"/>
      <c r="I20" s="3"/>
      <c r="J20" s="3"/>
      <c r="K20" s="3"/>
      <c r="L20" s="3"/>
      <c r="M20" s="3" t="str">
        <f>IF(B20="","","LIST"&amp;"_"&amp;IFERROR(VLOOKUP(B20,LOOKUPS!$K$2:$L$9,2,FALSE),"UNK")&amp;"_"&amp;IFERROR(VLOOKUP(C20,LOOKUPS!$N$2:$O$8,2,FALSE),"UNK")&amp;"_"&amp;UPPER(L20))</f>
        <v/>
      </c>
      <c r="N20" s="3" t="str">
        <f>IF(M20="","",COUNTIF($M$2:M20,M20))</f>
        <v/>
      </c>
      <c r="O20" s="3"/>
      <c r="P20" s="3"/>
      <c r="Q20" s="3"/>
      <c r="R20" s="3"/>
      <c r="S20" s="3"/>
      <c r="T20" s="3"/>
      <c r="U20" s="3"/>
      <c r="V20" s="3"/>
      <c r="W20" s="3"/>
      <c r="X20" s="3"/>
      <c r="Y20" s="3"/>
      <c r="Z20" s="3"/>
      <c r="AA20" s="3"/>
      <c r="AB20" s="3"/>
      <c r="AC20" s="3"/>
      <c r="AD20" s="3"/>
      <c r="AE20" s="3"/>
      <c r="AF20" s="3"/>
      <c r="AG20" s="3"/>
    </row>
    <row r="21" spans="1:33" x14ac:dyDescent="0.3">
      <c r="A21" s="3" t="str">
        <f t="shared" si="0"/>
        <v/>
      </c>
      <c r="B21" s="3"/>
      <c r="C21" s="3"/>
      <c r="D21" s="3"/>
      <c r="E21" s="3" t="s">
        <v>31</v>
      </c>
      <c r="F21" s="3"/>
      <c r="G21" s="3"/>
      <c r="H21" s="3"/>
      <c r="I21" s="3"/>
      <c r="J21" s="3"/>
      <c r="K21" s="3"/>
      <c r="L21" s="3"/>
      <c r="M21" s="3" t="str">
        <f>IF(B21="","","LIST"&amp;"_"&amp;IFERROR(VLOOKUP(B21,LOOKUPS!$K$2:$L$9,2,FALSE),"UNK")&amp;"_"&amp;IFERROR(VLOOKUP(C21,LOOKUPS!$N$2:$O$8,2,FALSE),"UNK")&amp;"_"&amp;UPPER(L21))</f>
        <v/>
      </c>
      <c r="N21" s="3" t="str">
        <f>IF(M21="","",COUNTIF($M$2:M21,M21))</f>
        <v/>
      </c>
      <c r="O21" s="3"/>
      <c r="P21" s="3"/>
      <c r="Q21" s="3"/>
      <c r="R21" s="3"/>
      <c r="S21" s="3"/>
      <c r="T21" s="3"/>
      <c r="U21" s="3"/>
      <c r="V21" s="3"/>
      <c r="W21" s="3"/>
      <c r="X21" s="3"/>
      <c r="Y21" s="3"/>
      <c r="Z21" s="3"/>
      <c r="AA21" s="3"/>
      <c r="AB21" s="3"/>
      <c r="AC21" s="3"/>
      <c r="AD21" s="3"/>
      <c r="AE21" s="3"/>
      <c r="AF21" s="3"/>
      <c r="AG21" s="3"/>
    </row>
    <row r="22" spans="1:33" x14ac:dyDescent="0.3">
      <c r="A22" s="3" t="str">
        <f t="shared" si="0"/>
        <v/>
      </c>
      <c r="B22" s="3"/>
      <c r="C22" s="3"/>
      <c r="D22" s="3"/>
      <c r="E22" s="3" t="s">
        <v>31</v>
      </c>
      <c r="F22" s="3"/>
      <c r="G22" s="3"/>
      <c r="H22" s="3"/>
      <c r="I22" s="3"/>
      <c r="J22" s="3"/>
      <c r="K22" s="3"/>
      <c r="L22" s="3"/>
      <c r="M22" s="3" t="str">
        <f>IF(B22="","","LIST"&amp;"_"&amp;IFERROR(VLOOKUP(B22,LOOKUPS!$K$2:$L$9,2,FALSE),"UNK")&amp;"_"&amp;IFERROR(VLOOKUP(C22,LOOKUPS!$N$2:$O$8,2,FALSE),"UNK")&amp;"_"&amp;UPPER(L22))</f>
        <v/>
      </c>
      <c r="N22" s="3" t="str">
        <f>IF(M22="","",COUNTIF($M$2:M22,M22))</f>
        <v/>
      </c>
      <c r="O22" s="3"/>
      <c r="P22" s="3"/>
      <c r="Q22" s="3"/>
      <c r="R22" s="3"/>
      <c r="S22" s="3"/>
      <c r="T22" s="3"/>
      <c r="U22" s="3"/>
      <c r="V22" s="3"/>
      <c r="W22" s="3"/>
      <c r="X22" s="3"/>
      <c r="Y22" s="3"/>
      <c r="Z22" s="3"/>
      <c r="AA22" s="3"/>
      <c r="AB22" s="3"/>
      <c r="AC22" s="3"/>
      <c r="AD22" s="3"/>
      <c r="AE22" s="3"/>
      <c r="AF22" s="3"/>
      <c r="AG22" s="3"/>
    </row>
    <row r="23" spans="1:33" x14ac:dyDescent="0.3">
      <c r="A23" s="3" t="str">
        <f t="shared" si="0"/>
        <v/>
      </c>
      <c r="B23" s="3"/>
      <c r="C23" s="3"/>
      <c r="D23" s="3"/>
      <c r="E23" s="3" t="s">
        <v>31</v>
      </c>
      <c r="F23" s="3"/>
      <c r="G23" s="3"/>
      <c r="H23" s="3"/>
      <c r="I23" s="3"/>
      <c r="J23" s="3"/>
      <c r="K23" s="3"/>
      <c r="L23" s="3"/>
      <c r="M23" s="3" t="str">
        <f>IF(B23="","","LIST"&amp;"_"&amp;IFERROR(VLOOKUP(B23,LOOKUPS!$K$2:$L$9,2,FALSE),"UNK")&amp;"_"&amp;IFERROR(VLOOKUP(C23,LOOKUPS!$N$2:$O$8,2,FALSE),"UNK")&amp;"_"&amp;UPPER(L23))</f>
        <v/>
      </c>
      <c r="N23" s="3" t="str">
        <f>IF(M23="","",COUNTIF($M$2:M23,M23))</f>
        <v/>
      </c>
      <c r="O23" s="3"/>
      <c r="P23" s="3"/>
      <c r="Q23" s="3"/>
      <c r="R23" s="3"/>
      <c r="S23" s="3"/>
      <c r="T23" s="3"/>
      <c r="U23" s="3"/>
      <c r="V23" s="3"/>
      <c r="W23" s="3"/>
      <c r="X23" s="3"/>
      <c r="Y23" s="3"/>
      <c r="Z23" s="3"/>
      <c r="AA23" s="3"/>
      <c r="AB23" s="3"/>
      <c r="AC23" s="3"/>
      <c r="AD23" s="3"/>
      <c r="AE23" s="3"/>
      <c r="AF23" s="3"/>
      <c r="AG23" s="3"/>
    </row>
    <row r="24" spans="1:33" x14ac:dyDescent="0.3">
      <c r="A24" s="3" t="str">
        <f t="shared" si="0"/>
        <v/>
      </c>
      <c r="B24" s="3"/>
      <c r="C24" s="3"/>
      <c r="D24" s="3"/>
      <c r="E24" s="3" t="s">
        <v>31</v>
      </c>
      <c r="F24" s="3"/>
      <c r="G24" s="3"/>
      <c r="H24" s="3"/>
      <c r="I24" s="3"/>
      <c r="J24" s="3"/>
      <c r="K24" s="3"/>
      <c r="L24" s="3"/>
      <c r="M24" s="3" t="str">
        <f>IF(B24="","","LIST"&amp;"_"&amp;IFERROR(VLOOKUP(B24,LOOKUPS!$K$2:$L$9,2,FALSE),"UNK")&amp;"_"&amp;IFERROR(VLOOKUP(C24,LOOKUPS!$N$2:$O$8,2,FALSE),"UNK")&amp;"_"&amp;UPPER(L24))</f>
        <v/>
      </c>
      <c r="N24" s="3" t="str">
        <f>IF(M24="","",COUNTIF($M$2:M24,M24))</f>
        <v/>
      </c>
      <c r="O24" s="3"/>
      <c r="P24" s="3"/>
      <c r="Q24" s="3"/>
      <c r="R24" s="3"/>
      <c r="S24" s="3"/>
      <c r="T24" s="3"/>
      <c r="U24" s="3"/>
      <c r="V24" s="3"/>
      <c r="W24" s="3"/>
      <c r="X24" s="3"/>
      <c r="Y24" s="3"/>
      <c r="Z24" s="3"/>
      <c r="AA24" s="3"/>
      <c r="AB24" s="3"/>
      <c r="AC24" s="3"/>
      <c r="AD24" s="3"/>
      <c r="AE24" s="3"/>
      <c r="AF24" s="3"/>
      <c r="AG24" s="3"/>
    </row>
    <row r="25" spans="1:33" x14ac:dyDescent="0.3">
      <c r="A25" s="3" t="str">
        <f t="shared" si="0"/>
        <v/>
      </c>
      <c r="B25" s="3"/>
      <c r="C25" s="3"/>
      <c r="D25" s="3"/>
      <c r="E25" s="3" t="s">
        <v>31</v>
      </c>
      <c r="F25" s="3"/>
      <c r="G25" s="3"/>
      <c r="H25" s="3"/>
      <c r="I25" s="3"/>
      <c r="J25" s="3"/>
      <c r="K25" s="3"/>
      <c r="L25" s="3"/>
      <c r="M25" s="3" t="str">
        <f>IF(B25="","","LIST"&amp;"_"&amp;IFERROR(VLOOKUP(B25,LOOKUPS!$K$2:$L$9,2,FALSE),"UNK")&amp;"_"&amp;IFERROR(VLOOKUP(C25,LOOKUPS!$N$2:$O$8,2,FALSE),"UNK")&amp;"_"&amp;UPPER(L25))</f>
        <v/>
      </c>
      <c r="N25" s="3" t="str">
        <f>IF(M25="","",COUNTIF($M$2:M25,M25))</f>
        <v/>
      </c>
      <c r="O25" s="3"/>
      <c r="P25" s="3"/>
      <c r="Q25" s="3"/>
      <c r="R25" s="3"/>
      <c r="S25" s="3"/>
      <c r="T25" s="3"/>
      <c r="U25" s="3"/>
      <c r="V25" s="3"/>
      <c r="W25" s="3"/>
      <c r="X25" s="3"/>
      <c r="Y25" s="3"/>
      <c r="Z25" s="3"/>
      <c r="AA25" s="3"/>
      <c r="AB25" s="3"/>
      <c r="AC25" s="3"/>
      <c r="AD25" s="3"/>
      <c r="AE25" s="3"/>
      <c r="AF25" s="3"/>
      <c r="AG25" s="3"/>
    </row>
    <row r="26" spans="1:33" x14ac:dyDescent="0.3">
      <c r="A26" s="3" t="str">
        <f t="shared" si="0"/>
        <v/>
      </c>
      <c r="B26" s="3"/>
      <c r="C26" s="3"/>
      <c r="D26" s="3"/>
      <c r="E26" s="3" t="s">
        <v>31</v>
      </c>
      <c r="F26" s="3"/>
      <c r="G26" s="3"/>
      <c r="H26" s="3"/>
      <c r="I26" s="3"/>
      <c r="J26" s="3"/>
      <c r="K26" s="3"/>
      <c r="L26" s="3"/>
      <c r="M26" s="3" t="str">
        <f>IF(B26="","","LIST"&amp;"_"&amp;IFERROR(VLOOKUP(B26,LOOKUPS!$K$2:$L$9,2,FALSE),"UNK")&amp;"_"&amp;IFERROR(VLOOKUP(C26,LOOKUPS!$N$2:$O$8,2,FALSE),"UNK")&amp;"_"&amp;UPPER(L26))</f>
        <v/>
      </c>
      <c r="N26" s="3" t="str">
        <f>IF(M26="","",COUNTIF($M$2:M26,M26))</f>
        <v/>
      </c>
      <c r="O26" s="3"/>
      <c r="P26" s="3"/>
      <c r="Q26" s="3"/>
      <c r="R26" s="3"/>
      <c r="S26" s="3"/>
      <c r="T26" s="3"/>
      <c r="U26" s="3"/>
      <c r="V26" s="3"/>
      <c r="W26" s="3"/>
      <c r="X26" s="3"/>
      <c r="Y26" s="3"/>
      <c r="Z26" s="3"/>
      <c r="AA26" s="3"/>
      <c r="AB26" s="3"/>
      <c r="AC26" s="3"/>
      <c r="AD26" s="3"/>
      <c r="AE26" s="3"/>
      <c r="AF26" s="3"/>
      <c r="AG26" s="3"/>
    </row>
    <row r="27" spans="1:33" x14ac:dyDescent="0.3">
      <c r="A27" s="3" t="str">
        <f t="shared" si="0"/>
        <v/>
      </c>
      <c r="B27" s="3"/>
      <c r="C27" s="3"/>
      <c r="D27" s="3"/>
      <c r="E27" s="3" t="s">
        <v>31</v>
      </c>
      <c r="F27" s="3"/>
      <c r="G27" s="3"/>
      <c r="H27" s="3"/>
      <c r="I27" s="3"/>
      <c r="J27" s="3"/>
      <c r="K27" s="3"/>
      <c r="L27" s="3"/>
      <c r="M27" s="3" t="str">
        <f>IF(B27="","","LIST"&amp;"_"&amp;IFERROR(VLOOKUP(B27,LOOKUPS!$K$2:$L$9,2,FALSE),"UNK")&amp;"_"&amp;IFERROR(VLOOKUP(C27,LOOKUPS!$N$2:$O$8,2,FALSE),"UNK")&amp;"_"&amp;UPPER(L27))</f>
        <v/>
      </c>
      <c r="N27" s="3" t="str">
        <f>IF(M27="","",COUNTIF($M$2:M27,M27))</f>
        <v/>
      </c>
      <c r="O27" s="3"/>
      <c r="P27" s="3"/>
      <c r="Q27" s="3"/>
      <c r="R27" s="3"/>
      <c r="S27" s="3"/>
      <c r="T27" s="3"/>
      <c r="U27" s="3"/>
      <c r="V27" s="3"/>
      <c r="W27" s="3"/>
      <c r="X27" s="3"/>
      <c r="Y27" s="3"/>
      <c r="Z27" s="3"/>
      <c r="AA27" s="3"/>
      <c r="AB27" s="3"/>
      <c r="AC27" s="3"/>
      <c r="AD27" s="3"/>
      <c r="AE27" s="3"/>
      <c r="AF27" s="3"/>
      <c r="AG27" s="3"/>
    </row>
    <row r="28" spans="1:33" x14ac:dyDescent="0.3">
      <c r="A28" s="3" t="str">
        <f t="shared" si="0"/>
        <v/>
      </c>
      <c r="B28" s="3"/>
      <c r="C28" s="3"/>
      <c r="D28" s="3"/>
      <c r="E28" s="3" t="s">
        <v>31</v>
      </c>
      <c r="F28" s="3"/>
      <c r="G28" s="3"/>
      <c r="H28" s="3"/>
      <c r="I28" s="3"/>
      <c r="J28" s="3"/>
      <c r="K28" s="3"/>
      <c r="L28" s="3"/>
      <c r="M28" s="3" t="str">
        <f>IF(B28="","","LIST"&amp;"_"&amp;IFERROR(VLOOKUP(B28,LOOKUPS!$K$2:$L$9,2,FALSE),"UNK")&amp;"_"&amp;IFERROR(VLOOKUP(C28,LOOKUPS!$N$2:$O$8,2,FALSE),"UNK")&amp;"_"&amp;UPPER(L28))</f>
        <v/>
      </c>
      <c r="N28" s="3" t="str">
        <f>IF(M28="","",COUNTIF($M$2:M28,M28))</f>
        <v/>
      </c>
      <c r="O28" s="3"/>
      <c r="P28" s="3"/>
      <c r="Q28" s="3"/>
      <c r="R28" s="3"/>
      <c r="S28" s="3"/>
      <c r="T28" s="3"/>
      <c r="U28" s="3"/>
      <c r="V28" s="3"/>
      <c r="W28" s="3"/>
      <c r="X28" s="3"/>
      <c r="Y28" s="3"/>
      <c r="Z28" s="3"/>
      <c r="AA28" s="3"/>
      <c r="AB28" s="3"/>
      <c r="AC28" s="3"/>
      <c r="AD28" s="3"/>
      <c r="AE28" s="3"/>
      <c r="AF28" s="3"/>
      <c r="AG28" s="3"/>
    </row>
    <row r="29" spans="1:33" x14ac:dyDescent="0.3">
      <c r="A29" s="3" t="str">
        <f t="shared" si="0"/>
        <v/>
      </c>
      <c r="B29" s="3"/>
      <c r="C29" s="3"/>
      <c r="D29" s="3"/>
      <c r="E29" s="3" t="s">
        <v>31</v>
      </c>
      <c r="F29" s="3"/>
      <c r="G29" s="3"/>
      <c r="H29" s="3"/>
      <c r="I29" s="3"/>
      <c r="J29" s="3"/>
      <c r="K29" s="3"/>
      <c r="L29" s="3"/>
      <c r="M29" s="3" t="str">
        <f>IF(B29="","","LIST"&amp;"_"&amp;IFERROR(VLOOKUP(B29,LOOKUPS!$K$2:$L$9,2,FALSE),"UNK")&amp;"_"&amp;IFERROR(VLOOKUP(C29,LOOKUPS!$N$2:$O$8,2,FALSE),"UNK")&amp;"_"&amp;UPPER(L29))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t="s">
        <v>31</v>
      </c>
      <c r="F30" s="3"/>
      <c r="G30" s="3"/>
      <c r="H30" s="3"/>
      <c r="I30" s="3"/>
      <c r="J30" s="3"/>
      <c r="K30" s="3"/>
      <c r="L30" s="3"/>
      <c r="M30" s="3" t="str">
        <f>IF(B30="","","LIST"&amp;"_"&amp;IFERROR(VLOOKUP(B30,LOOKUPS!$K$2:$L$9,2,FALSE),"UNK")&amp;"_"&amp;IFERROR(VLOOKUP(C30,LOOKUPS!$N$2:$O$8,2,FALSE),"UNK")&amp;"_"&amp;UPPER(L30))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t="s">
        <v>31</v>
      </c>
      <c r="F31" s="3"/>
      <c r="G31" s="3"/>
      <c r="H31" s="3"/>
      <c r="I31" s="3"/>
      <c r="J31" s="3"/>
      <c r="K31" s="3"/>
      <c r="L31" s="3"/>
      <c r="M31" s="3" t="str">
        <f>IF(B31="","","LIST"&amp;"_"&amp;IFERROR(VLOOKUP(B31,LOOKUPS!$K$2:$L$9,2,FALSE),"UNK")&amp;"_"&amp;IFERROR(VLOOKUP(C31,LOOKUPS!$N$2:$O$8,2,FALSE),"UNK")&amp;"_"&amp;UPPER(L31))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t="s">
        <v>31</v>
      </c>
      <c r="F32" s="3"/>
      <c r="G32" s="3"/>
      <c r="H32" s="3"/>
      <c r="I32" s="3"/>
      <c r="J32" s="3"/>
      <c r="K32" s="3"/>
      <c r="L32" s="3"/>
      <c r="M32" s="3" t="str">
        <f>IF(B32="","","LIST"&amp;"_"&amp;IFERROR(VLOOKUP(B32,LOOKUPS!$K$2:$L$9,2,FALSE),"UNK")&amp;"_"&amp;IFERROR(VLOOKUP(C32,LOOKUPS!$N$2:$O$8,2,FALSE),"UNK")&amp;"_"&amp;UPPER(L32))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t="s">
        <v>31</v>
      </c>
      <c r="F33" s="3"/>
      <c r="G33" s="3"/>
      <c r="H33" s="3"/>
      <c r="I33" s="3"/>
      <c r="J33" s="3"/>
      <c r="K33" s="3"/>
      <c r="L33" s="3"/>
      <c r="M33" s="3" t="str">
        <f>IF(B33="","","LIST"&amp;"_"&amp;IFERROR(VLOOKUP(B33,LOOKUPS!$K$2:$L$9,2,FALSE),"UNK")&amp;"_"&amp;IFERROR(VLOOKUP(C33,LOOKUPS!$N$2:$O$8,2,FALSE),"UNK")&amp;"_"&amp;UPPER(L33))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1">IF(M34="","",M34&amp;"_"&amp;TEXT(N34,"000"))</f>
        <v/>
      </c>
      <c r="B34" s="3"/>
      <c r="C34" s="3"/>
      <c r="D34" s="3"/>
      <c r="E34" s="3" t="s">
        <v>31</v>
      </c>
      <c r="F34" s="3"/>
      <c r="G34" s="3"/>
      <c r="H34" s="3"/>
      <c r="I34" s="3"/>
      <c r="J34" s="3"/>
      <c r="K34" s="3"/>
      <c r="L34" s="3"/>
      <c r="M34" s="3" t="str">
        <f>IF(B34="","","LIST"&amp;"_"&amp;IFERROR(VLOOKUP(B34,LOOKUPS!$K$2:$L$9,2,FALSE),"UNK")&amp;"_"&amp;IFERROR(VLOOKUP(C34,LOOKUPS!$N$2:$O$8,2,FALSE),"UNK")&amp;"_"&amp;UPPER(L34))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1"/>
        <v/>
      </c>
      <c r="B35" s="3"/>
      <c r="C35" s="3"/>
      <c r="D35" s="3"/>
      <c r="E35" s="3" t="s">
        <v>31</v>
      </c>
      <c r="F35" s="3"/>
      <c r="G35" s="3"/>
      <c r="H35" s="3"/>
      <c r="I35" s="3"/>
      <c r="J35" s="3"/>
      <c r="K35" s="3"/>
      <c r="L35" s="3"/>
      <c r="M35" s="3" t="str">
        <f>IF(B35="","","LIST"&amp;"_"&amp;IFERROR(VLOOKUP(B35,LOOKUPS!$K$2:$L$9,2,FALSE),"UNK")&amp;"_"&amp;IFERROR(VLOOKUP(C35,LOOKUPS!$N$2:$O$8,2,FALSE),"UNK")&amp;"_"&amp;UPPER(L35))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1"/>
        <v/>
      </c>
      <c r="B36" s="3"/>
      <c r="C36" s="3"/>
      <c r="D36" s="3"/>
      <c r="E36" s="3" t="s">
        <v>31</v>
      </c>
      <c r="F36" s="3"/>
      <c r="G36" s="3"/>
      <c r="H36" s="3"/>
      <c r="I36" s="3"/>
      <c r="J36" s="3"/>
      <c r="K36" s="3"/>
      <c r="L36" s="3"/>
      <c r="M36" s="3" t="str">
        <f>IF(B36="","","LIST"&amp;"_"&amp;IFERROR(VLOOKUP(B36,LOOKUPS!$K$2:$L$9,2,FALSE),"UNK")&amp;"_"&amp;IFERROR(VLOOKUP(C36,LOOKUPS!$N$2:$O$8,2,FALSE),"UNK")&amp;"_"&amp;UPPER(L36))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1"/>
        <v/>
      </c>
      <c r="B37" s="3"/>
      <c r="C37" s="3"/>
      <c r="D37" s="3"/>
      <c r="E37" s="3" t="s">
        <v>31</v>
      </c>
      <c r="F37" s="3"/>
      <c r="G37" s="3"/>
      <c r="H37" s="3"/>
      <c r="I37" s="3"/>
      <c r="J37" s="3"/>
      <c r="K37" s="3"/>
      <c r="L37" s="3"/>
      <c r="M37" s="3" t="str">
        <f>IF(B37="","","LIST"&amp;"_"&amp;IFERROR(VLOOKUP(B37,LOOKUPS!$K$2:$L$9,2,FALSE),"UNK")&amp;"_"&amp;IFERROR(VLOOKUP(C37,LOOKUPS!$N$2:$O$8,2,FALSE),"UNK")&amp;"_"&amp;UPPER(L37))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1"/>
        <v/>
      </c>
      <c r="B38" s="3"/>
      <c r="C38" s="3"/>
      <c r="D38" s="3"/>
      <c r="E38" s="3" t="s">
        <v>31</v>
      </c>
      <c r="F38" s="3"/>
      <c r="G38" s="3"/>
      <c r="H38" s="3"/>
      <c r="I38" s="3"/>
      <c r="J38" s="3"/>
      <c r="K38" s="3"/>
      <c r="L38" s="3"/>
      <c r="M38" s="3" t="str">
        <f>IF(B38="","","LIST"&amp;"_"&amp;IFERROR(VLOOKUP(B38,LOOKUPS!$K$2:$L$9,2,FALSE),"UNK")&amp;"_"&amp;IFERROR(VLOOKUP(C38,LOOKUPS!$N$2:$O$8,2,FALSE),"UNK")&amp;"_"&amp;UPPER(L38))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1"/>
        <v/>
      </c>
      <c r="B39" s="3"/>
      <c r="C39" s="3"/>
      <c r="D39" s="3"/>
      <c r="E39" s="3" t="s">
        <v>31</v>
      </c>
      <c r="F39" s="3"/>
      <c r="G39" s="3"/>
      <c r="H39" s="3"/>
      <c r="I39" s="3"/>
      <c r="J39" s="3"/>
      <c r="K39" s="3"/>
      <c r="L39" s="3"/>
      <c r="M39" s="3" t="str">
        <f>IF(B39="","","LIST"&amp;"_"&amp;IFERROR(VLOOKUP(B39,LOOKUPS!$K$2:$L$9,2,FALSE),"UNK")&amp;"_"&amp;IFERROR(VLOOKUP(C39,LOOKUPS!$N$2:$O$8,2,FALSE),"UNK")&amp;"_"&amp;UPPER(L39))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1"/>
        <v/>
      </c>
      <c r="B40" s="3"/>
      <c r="C40" s="3"/>
      <c r="D40" s="3"/>
      <c r="E40" s="3" t="s">
        <v>31</v>
      </c>
      <c r="F40" s="3"/>
      <c r="G40" s="3"/>
      <c r="H40" s="3"/>
      <c r="I40" s="3"/>
      <c r="J40" s="3"/>
      <c r="K40" s="3"/>
      <c r="L40" s="3"/>
      <c r="M40" s="3" t="str">
        <f>IF(B40="","","LIST"&amp;"_"&amp;IFERROR(VLOOKUP(B40,LOOKUPS!$K$2:$L$9,2,FALSE),"UNK")&amp;"_"&amp;IFERROR(VLOOKUP(C40,LOOKUPS!$N$2:$O$8,2,FALSE),"UNK")&amp;"_"&amp;UPPER(L40))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1"/>
        <v/>
      </c>
      <c r="B41" s="3"/>
      <c r="C41" s="3"/>
      <c r="D41" s="3"/>
      <c r="E41" s="3" t="s">
        <v>31</v>
      </c>
      <c r="F41" s="3"/>
      <c r="G41" s="3"/>
      <c r="H41" s="3"/>
      <c r="I41" s="3"/>
      <c r="J41" s="3"/>
      <c r="K41" s="3"/>
      <c r="L41" s="3"/>
      <c r="M41" s="3" t="str">
        <f>IF(B41="","","LIST"&amp;"_"&amp;IFERROR(VLOOKUP(B41,LOOKUPS!$K$2:$L$9,2,FALSE),"UNK")&amp;"_"&amp;IFERROR(VLOOKUP(C41,LOOKUPS!$N$2:$O$8,2,FALSE),"UNK")&amp;"_"&amp;UPPER(L41))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1"/>
        <v/>
      </c>
      <c r="B42" s="3"/>
      <c r="C42" s="3"/>
      <c r="D42" s="3"/>
      <c r="E42" s="3" t="s">
        <v>31</v>
      </c>
      <c r="F42" s="3"/>
      <c r="G42" s="3"/>
      <c r="H42" s="3"/>
      <c r="I42" s="3"/>
      <c r="J42" s="3"/>
      <c r="K42" s="3"/>
      <c r="L42" s="3"/>
      <c r="M42" s="3" t="str">
        <f>IF(B42="","","LIST"&amp;"_"&amp;IFERROR(VLOOKUP(B42,LOOKUPS!$K$2:$L$9,2,FALSE),"UNK")&amp;"_"&amp;IFERROR(VLOOKUP(C42,LOOKUPS!$N$2:$O$8,2,FALSE),"UNK")&amp;"_"&amp;UPPER(L42))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1"/>
        <v/>
      </c>
      <c r="B43" s="3"/>
      <c r="C43" s="3"/>
      <c r="D43" s="3"/>
      <c r="E43" s="3" t="s">
        <v>31</v>
      </c>
      <c r="F43" s="3"/>
      <c r="G43" s="3"/>
      <c r="H43" s="3"/>
      <c r="I43" s="3"/>
      <c r="J43" s="3"/>
      <c r="K43" s="3"/>
      <c r="L43" s="3"/>
      <c r="M43" s="3" t="str">
        <f>IF(B43="","","LIST"&amp;"_"&amp;IFERROR(VLOOKUP(B43,LOOKUPS!$K$2:$L$9,2,FALSE),"UNK")&amp;"_"&amp;IFERROR(VLOOKUP(C43,LOOKUPS!$N$2:$O$8,2,FALSE),"UNK")&amp;"_"&amp;UPPER(L43))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1"/>
        <v/>
      </c>
      <c r="B44" s="3"/>
      <c r="C44" s="3"/>
      <c r="D44" s="3"/>
      <c r="E44" s="3" t="s">
        <v>31</v>
      </c>
      <c r="F44" s="3"/>
      <c r="G44" s="3"/>
      <c r="H44" s="3"/>
      <c r="I44" s="3"/>
      <c r="J44" s="3"/>
      <c r="K44" s="3"/>
      <c r="L44" s="3"/>
      <c r="M44" s="3" t="str">
        <f>IF(B44="","","LIST"&amp;"_"&amp;IFERROR(VLOOKUP(B44,LOOKUPS!$K$2:$L$9,2,FALSE),"UNK")&amp;"_"&amp;IFERROR(VLOOKUP(C44,LOOKUPS!$N$2:$O$8,2,FALSE),"UNK")&amp;"_"&amp;UPPER(L44))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1"/>
        <v/>
      </c>
      <c r="B45" s="3"/>
      <c r="C45" s="3"/>
      <c r="D45" s="3"/>
      <c r="E45" s="3" t="s">
        <v>31</v>
      </c>
      <c r="F45" s="3"/>
      <c r="G45" s="3"/>
      <c r="H45" s="3"/>
      <c r="I45" s="3"/>
      <c r="J45" s="3"/>
      <c r="K45" s="3"/>
      <c r="L45" s="3"/>
      <c r="M45" s="3" t="str">
        <f>IF(B45="","","LIST"&amp;"_"&amp;IFERROR(VLOOKUP(B45,LOOKUPS!$K$2:$L$9,2,FALSE),"UNK")&amp;"_"&amp;IFERROR(VLOOKUP(C45,LOOKUPS!$N$2:$O$8,2,FALSE),"UNK")&amp;"_"&amp;UPPER(L45))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1"/>
        <v/>
      </c>
      <c r="B46" s="3"/>
      <c r="C46" s="3"/>
      <c r="D46" s="3"/>
      <c r="E46" s="3" t="s">
        <v>31</v>
      </c>
      <c r="F46" s="3"/>
      <c r="G46" s="3"/>
      <c r="H46" s="3"/>
      <c r="I46" s="3"/>
      <c r="J46" s="3"/>
      <c r="K46" s="3"/>
      <c r="L46" s="3"/>
      <c r="M46" s="3" t="str">
        <f>IF(B46="","","LIST"&amp;"_"&amp;IFERROR(VLOOKUP(B46,LOOKUPS!$K$2:$L$9,2,FALSE),"UNK")&amp;"_"&amp;IFERROR(VLOOKUP(C46,LOOKUPS!$N$2:$O$8,2,FALSE),"UNK")&amp;"_"&amp;UPPER(L46))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1"/>
        <v/>
      </c>
      <c r="B47" s="3"/>
      <c r="C47" s="3"/>
      <c r="D47" s="3"/>
      <c r="E47" s="3" t="s">
        <v>31</v>
      </c>
      <c r="F47" s="3"/>
      <c r="G47" s="3"/>
      <c r="H47" s="3"/>
      <c r="I47" s="3"/>
      <c r="J47" s="3"/>
      <c r="K47" s="3"/>
      <c r="L47" s="3"/>
      <c r="M47" s="3" t="str">
        <f>IF(B47="","","LIST"&amp;"_"&amp;IFERROR(VLOOKUP(B47,LOOKUPS!$K$2:$L$9,2,FALSE),"UNK")&amp;"_"&amp;IFERROR(VLOOKUP(C47,LOOKUPS!$N$2:$O$8,2,FALSE),"UNK")&amp;"_"&amp;UPPER(L47))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1"/>
        <v/>
      </c>
      <c r="B48" s="3"/>
      <c r="C48" s="3"/>
      <c r="D48" s="3"/>
      <c r="E48" s="3" t="s">
        <v>31</v>
      </c>
      <c r="F48" s="3"/>
      <c r="G48" s="3"/>
      <c r="H48" s="3"/>
      <c r="I48" s="3"/>
      <c r="J48" s="3"/>
      <c r="K48" s="3"/>
      <c r="L48" s="3"/>
      <c r="M48" s="3" t="str">
        <f>IF(B48="","","LIST"&amp;"_"&amp;IFERROR(VLOOKUP(B48,LOOKUPS!$K$2:$L$9,2,FALSE),"UNK")&amp;"_"&amp;IFERROR(VLOOKUP(C48,LOOKUPS!$N$2:$O$8,2,FALSE),"UNK")&amp;"_"&amp;UPPER(L48))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1"/>
        <v/>
      </c>
      <c r="B49" s="3"/>
      <c r="C49" s="3"/>
      <c r="D49" s="3"/>
      <c r="E49" s="3" t="s">
        <v>31</v>
      </c>
      <c r="F49" s="3"/>
      <c r="G49" s="3"/>
      <c r="H49" s="3"/>
      <c r="I49" s="3"/>
      <c r="J49" s="3"/>
      <c r="K49" s="3"/>
      <c r="L49" s="3"/>
      <c r="M49" s="3" t="str">
        <f>IF(B49="","","LIST"&amp;"_"&amp;IFERROR(VLOOKUP(B49,LOOKUPS!$K$2:$L$9,2,FALSE),"UNK")&amp;"_"&amp;IFERROR(VLOOKUP(C49,LOOKUPS!$N$2:$O$8,2,FALSE),"UNK")&amp;"_"&amp;UPPER(L49))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1"/>
        <v/>
      </c>
      <c r="B50" s="3"/>
      <c r="C50" s="3"/>
      <c r="D50" s="3"/>
      <c r="E50" s="3" t="s">
        <v>31</v>
      </c>
      <c r="F50" s="3"/>
      <c r="G50" s="3"/>
      <c r="H50" s="3"/>
      <c r="I50" s="3"/>
      <c r="J50" s="3"/>
      <c r="K50" s="3"/>
      <c r="L50" s="3"/>
      <c r="M50" s="3" t="str">
        <f>IF(B50="","","LIST"&amp;"_"&amp;IFERROR(VLOOKUP(B50,LOOKUPS!$K$2:$L$9,2,FALSE),"UNK")&amp;"_"&amp;IFERROR(VLOOKUP(C50,LOOKUPS!$N$2:$O$8,2,FALSE),"UNK")&amp;"_"&amp;UPPER(L50))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1"/>
        <v/>
      </c>
      <c r="B51" s="3"/>
      <c r="C51" s="3"/>
      <c r="D51" s="3"/>
      <c r="E51" s="3" t="s">
        <v>31</v>
      </c>
      <c r="F51" s="3"/>
      <c r="G51" s="3"/>
      <c r="H51" s="3"/>
      <c r="I51" s="3"/>
      <c r="J51" s="3"/>
      <c r="K51" s="3"/>
      <c r="L51" s="3"/>
      <c r="M51" s="3" t="str">
        <f>IF(B51="","","LIST"&amp;"_"&amp;IFERROR(VLOOKUP(B51,LOOKUPS!$K$2:$L$9,2,FALSE),"UNK")&amp;"_"&amp;IFERROR(VLOOKUP(C51,LOOKUPS!$N$2:$O$8,2,FALSE),"UNK")&amp;"_"&amp;UPPER(L51))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1"/>
        <v/>
      </c>
      <c r="B52" s="3"/>
      <c r="C52" s="3"/>
      <c r="D52" s="3"/>
      <c r="E52" s="3" t="s">
        <v>31</v>
      </c>
      <c r="F52" s="3"/>
      <c r="G52" s="3"/>
      <c r="H52" s="3"/>
      <c r="I52" s="3"/>
      <c r="J52" s="3"/>
      <c r="K52" s="3"/>
      <c r="L52" s="3"/>
      <c r="M52" s="3" t="str">
        <f>IF(B52="","","LIST"&amp;"_"&amp;IFERROR(VLOOKUP(B52,LOOKUPS!$K$2:$L$9,2,FALSE),"UNK")&amp;"_"&amp;IFERROR(VLOOKUP(C52,LOOKUPS!$N$2:$O$8,2,FALSE),"UNK")&amp;"_"&amp;UPPER(L52))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1"/>
        <v/>
      </c>
      <c r="B53" s="3"/>
      <c r="C53" s="3"/>
      <c r="D53" s="3"/>
      <c r="E53" s="3" t="s">
        <v>31</v>
      </c>
      <c r="F53" s="3"/>
      <c r="G53" s="3"/>
      <c r="H53" s="3"/>
      <c r="I53" s="3"/>
      <c r="J53" s="3"/>
      <c r="K53" s="3"/>
      <c r="L53" s="3"/>
      <c r="M53" s="3" t="str">
        <f>IF(B53="","","LIST"&amp;"_"&amp;IFERROR(VLOOKUP(B53,LOOKUPS!$K$2:$L$9,2,FALSE),"UNK")&amp;"_"&amp;IFERROR(VLOOKUP(C53,LOOKUPS!$N$2:$O$8,2,FALSE),"UNK")&amp;"_"&amp;UPPER(L53))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1"/>
        <v/>
      </c>
      <c r="B54" s="3"/>
      <c r="C54" s="3"/>
      <c r="D54" s="3"/>
      <c r="E54" s="3" t="s">
        <v>31</v>
      </c>
      <c r="F54" s="3"/>
      <c r="G54" s="3"/>
      <c r="H54" s="3"/>
      <c r="I54" s="3"/>
      <c r="J54" s="3"/>
      <c r="K54" s="3"/>
      <c r="L54" s="3"/>
      <c r="M54" s="3" t="str">
        <f>IF(B54="","","LIST"&amp;"_"&amp;IFERROR(VLOOKUP(B54,LOOKUPS!$K$2:$L$9,2,FALSE),"UNK")&amp;"_"&amp;IFERROR(VLOOKUP(C54,LOOKUPS!$N$2:$O$8,2,FALSE),"UNK")&amp;"_"&amp;UPPER(L54))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1"/>
        <v/>
      </c>
      <c r="B55" s="3"/>
      <c r="C55" s="3"/>
      <c r="D55" s="3"/>
      <c r="E55" s="3" t="s">
        <v>31</v>
      </c>
      <c r="F55" s="3"/>
      <c r="G55" s="3"/>
      <c r="H55" s="3"/>
      <c r="I55" s="3"/>
      <c r="J55" s="3"/>
      <c r="K55" s="3"/>
      <c r="L55" s="3"/>
      <c r="M55" s="3" t="str">
        <f>IF(B55="","","LIST"&amp;"_"&amp;IFERROR(VLOOKUP(B55,LOOKUPS!$K$2:$L$9,2,FALSE),"UNK")&amp;"_"&amp;IFERROR(VLOOKUP(C55,LOOKUPS!$N$2:$O$8,2,FALSE),"UNK")&amp;"_"&amp;UPPER(L55))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1"/>
        <v/>
      </c>
      <c r="B56" s="3"/>
      <c r="C56" s="3"/>
      <c r="D56" s="3"/>
      <c r="E56" s="3" t="s">
        <v>31</v>
      </c>
      <c r="F56" s="3"/>
      <c r="G56" s="3"/>
      <c r="H56" s="3"/>
      <c r="I56" s="3"/>
      <c r="J56" s="3"/>
      <c r="K56" s="3"/>
      <c r="L56" s="3"/>
      <c r="M56" s="3" t="str">
        <f>IF(B56="","","LIST"&amp;"_"&amp;IFERROR(VLOOKUP(B56,LOOKUPS!$K$2:$L$9,2,FALSE),"UNK")&amp;"_"&amp;IFERROR(VLOOKUP(C56,LOOKUPS!$N$2:$O$8,2,FALSE),"UNK")&amp;"_"&amp;UPPER(L56))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1"/>
        <v/>
      </c>
      <c r="B57" s="3"/>
      <c r="C57" s="3"/>
      <c r="D57" s="3"/>
      <c r="E57" s="3" t="s">
        <v>31</v>
      </c>
      <c r="F57" s="3"/>
      <c r="G57" s="3"/>
      <c r="H57" s="3"/>
      <c r="I57" s="3"/>
      <c r="J57" s="3"/>
      <c r="K57" s="3"/>
      <c r="L57" s="3"/>
      <c r="M57" s="3" t="str">
        <f>IF(B57="","","LIST"&amp;"_"&amp;IFERROR(VLOOKUP(B57,LOOKUPS!$K$2:$L$9,2,FALSE),"UNK")&amp;"_"&amp;IFERROR(VLOOKUP(C57,LOOKUPS!$N$2:$O$8,2,FALSE),"UNK")&amp;"_"&amp;UPPER(L57))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1"/>
        <v/>
      </c>
      <c r="B58" s="3"/>
      <c r="C58" s="3"/>
      <c r="D58" s="3"/>
      <c r="E58" s="3" t="s">
        <v>31</v>
      </c>
      <c r="F58" s="3"/>
      <c r="G58" s="3"/>
      <c r="H58" s="3"/>
      <c r="I58" s="3"/>
      <c r="J58" s="3"/>
      <c r="K58" s="3"/>
      <c r="L58" s="3"/>
      <c r="M58" s="3" t="str">
        <f>IF(B58="","","LIST"&amp;"_"&amp;IFERROR(VLOOKUP(B58,LOOKUPS!$K$2:$L$9,2,FALSE),"UNK")&amp;"_"&amp;IFERROR(VLOOKUP(C58,LOOKUPS!$N$2:$O$8,2,FALSE),"UNK")&amp;"_"&amp;UPPER(L58))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1"/>
        <v/>
      </c>
      <c r="B59" s="3"/>
      <c r="C59" s="3"/>
      <c r="D59" s="3"/>
      <c r="E59" s="3" t="s">
        <v>31</v>
      </c>
      <c r="F59" s="3"/>
      <c r="G59" s="3"/>
      <c r="H59" s="3"/>
      <c r="I59" s="3"/>
      <c r="J59" s="3"/>
      <c r="K59" s="3"/>
      <c r="L59" s="3"/>
      <c r="M59" s="3" t="str">
        <f>IF(B59="","","LIST"&amp;"_"&amp;IFERROR(VLOOKUP(B59,LOOKUPS!$K$2:$L$9,2,FALSE),"UNK")&amp;"_"&amp;IFERROR(VLOOKUP(C59,LOOKUPS!$N$2:$O$8,2,FALSE),"UNK")&amp;"_"&amp;UPPER(L59))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1"/>
        <v/>
      </c>
      <c r="B60" s="3"/>
      <c r="C60" s="3"/>
      <c r="D60" s="3"/>
      <c r="E60" s="3" t="s">
        <v>31</v>
      </c>
      <c r="F60" s="3"/>
      <c r="G60" s="3"/>
      <c r="H60" s="3"/>
      <c r="I60" s="3"/>
      <c r="J60" s="3"/>
      <c r="K60" s="3"/>
      <c r="L60" s="3"/>
      <c r="M60" s="3" t="str">
        <f>IF(B60="","","LIST"&amp;"_"&amp;IFERROR(VLOOKUP(B60,LOOKUPS!$K$2:$L$9,2,FALSE),"UNK")&amp;"_"&amp;IFERROR(VLOOKUP(C60,LOOKUPS!$N$2:$O$8,2,FALSE),"UNK")&amp;"_"&amp;UPPER(L60))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1"/>
        <v/>
      </c>
      <c r="B61" s="3"/>
      <c r="C61" s="3"/>
      <c r="D61" s="3"/>
      <c r="E61" s="3" t="s">
        <v>31</v>
      </c>
      <c r="F61" s="3"/>
      <c r="G61" s="3"/>
      <c r="H61" s="3"/>
      <c r="I61" s="3"/>
      <c r="J61" s="3"/>
      <c r="K61" s="3"/>
      <c r="L61" s="3"/>
      <c r="M61" s="3" t="str">
        <f>IF(B61="","","LIST"&amp;"_"&amp;IFERROR(VLOOKUP(B61,LOOKUPS!$K$2:$L$9,2,FALSE),"UNK")&amp;"_"&amp;IFERROR(VLOOKUP(C61,LOOKUPS!$N$2:$O$8,2,FALSE),"UNK")&amp;"_"&amp;UPPER(L61))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1"/>
        <v/>
      </c>
      <c r="B62" s="3"/>
      <c r="C62" s="3"/>
      <c r="D62" s="3"/>
      <c r="E62" s="3" t="s">
        <v>31</v>
      </c>
      <c r="F62" s="3"/>
      <c r="G62" s="3"/>
      <c r="H62" s="3"/>
      <c r="I62" s="3"/>
      <c r="J62" s="3"/>
      <c r="K62" s="3"/>
      <c r="L62" s="3"/>
      <c r="M62" s="3" t="str">
        <f>IF(B62="","","LIST"&amp;"_"&amp;IFERROR(VLOOKUP(B62,LOOKUPS!$K$2:$L$9,2,FALSE),"UNK")&amp;"_"&amp;IFERROR(VLOOKUP(C62,LOOKUPS!$N$2:$O$8,2,FALSE),"UNK")&amp;"_"&amp;UPPER(L62))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1"/>
        <v/>
      </c>
      <c r="B63" s="3"/>
      <c r="C63" s="3"/>
      <c r="D63" s="3"/>
      <c r="E63" s="3" t="s">
        <v>31</v>
      </c>
      <c r="F63" s="3"/>
      <c r="G63" s="3"/>
      <c r="H63" s="3"/>
      <c r="I63" s="3"/>
      <c r="J63" s="3"/>
      <c r="K63" s="3"/>
      <c r="L63" s="3"/>
      <c r="M63" s="3" t="str">
        <f>IF(B63="","","LIST"&amp;"_"&amp;IFERROR(VLOOKUP(B63,LOOKUPS!$K$2:$L$9,2,FALSE),"UNK")&amp;"_"&amp;IFERROR(VLOOKUP(C63,LOOKUPS!$N$2:$O$8,2,FALSE),"UNK")&amp;"_"&amp;UPPER(L63))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1"/>
        <v/>
      </c>
      <c r="B64" s="3"/>
      <c r="C64" s="3"/>
      <c r="D64" s="3"/>
      <c r="E64" s="3" t="s">
        <v>31</v>
      </c>
      <c r="F64" s="3"/>
      <c r="G64" s="3"/>
      <c r="H64" s="3"/>
      <c r="I64" s="3"/>
      <c r="J64" s="3"/>
      <c r="K64" s="3"/>
      <c r="L64" s="3"/>
      <c r="M64" s="3" t="str">
        <f>IF(B64="","","LIST"&amp;"_"&amp;IFERROR(VLOOKUP(B64,LOOKUPS!$K$2:$L$9,2,FALSE),"UNK")&amp;"_"&amp;IFERROR(VLOOKUP(C64,LOOKUPS!$N$2:$O$8,2,FALSE),"UNK")&amp;"_"&amp;UPPER(L64))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1"/>
        <v/>
      </c>
      <c r="B65" s="3"/>
      <c r="C65" s="3"/>
      <c r="D65" s="3"/>
      <c r="E65" s="3" t="s">
        <v>31</v>
      </c>
      <c r="F65" s="3"/>
      <c r="G65" s="3"/>
      <c r="H65" s="3"/>
      <c r="I65" s="3"/>
      <c r="J65" s="3"/>
      <c r="K65" s="3"/>
      <c r="L65" s="3"/>
      <c r="M65" s="3" t="str">
        <f>IF(B65="","","LIST"&amp;"_"&amp;IFERROR(VLOOKUP(B65,LOOKUPS!$K$2:$L$9,2,FALSE),"UNK")&amp;"_"&amp;IFERROR(VLOOKUP(C65,LOOKUPS!$N$2:$O$8,2,FALSE),"UNK")&amp;"_"&amp;UPPER(L65))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1"/>
        <v/>
      </c>
      <c r="B66" s="3"/>
      <c r="C66" s="3"/>
      <c r="D66" s="3"/>
      <c r="E66" s="3" t="s">
        <v>31</v>
      </c>
      <c r="F66" s="3"/>
      <c r="G66" s="3"/>
      <c r="H66" s="3"/>
      <c r="I66" s="3"/>
      <c r="J66" s="3"/>
      <c r="K66" s="3"/>
      <c r="L66" s="3"/>
      <c r="M66" s="3" t="str">
        <f>IF(B66="","","LIST"&amp;"_"&amp;IFERROR(VLOOKUP(B66,LOOKUPS!$K$2:$L$9,2,FALSE),"UNK")&amp;"_"&amp;IFERROR(VLOOKUP(C66,LOOKUPS!$N$2:$O$8,2,FALSE),"UNK")&amp;"_"&amp;UPPER(L66))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2">IF(M67="","",M67&amp;"_"&amp;TEXT(N67,"000"))</f>
        <v/>
      </c>
      <c r="B67" s="3"/>
      <c r="C67" s="3"/>
      <c r="D67" s="3"/>
      <c r="E67" s="3" t="s">
        <v>31</v>
      </c>
      <c r="F67" s="3"/>
      <c r="G67" s="3"/>
      <c r="H67" s="3"/>
      <c r="I67" s="3"/>
      <c r="J67" s="3"/>
      <c r="K67" s="3"/>
      <c r="L67" s="3"/>
      <c r="M67" s="3" t="str">
        <f>IF(B67="","","LIST"&amp;"_"&amp;IFERROR(VLOOKUP(B67,LOOKUPS!$K$2:$L$9,2,FALSE),"UNK")&amp;"_"&amp;IFERROR(VLOOKUP(C67,LOOKUPS!$N$2:$O$8,2,FALSE),"UNK")&amp;"_"&amp;UPPER(L67))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2"/>
        <v/>
      </c>
      <c r="B68" s="3"/>
      <c r="C68" s="3"/>
      <c r="D68" s="3"/>
      <c r="E68" s="3" t="s">
        <v>31</v>
      </c>
      <c r="F68" s="3"/>
      <c r="G68" s="3"/>
      <c r="H68" s="3"/>
      <c r="I68" s="3"/>
      <c r="J68" s="3"/>
      <c r="K68" s="3"/>
      <c r="L68" s="3"/>
      <c r="M68" s="3" t="str">
        <f>IF(B68="","","LIST"&amp;"_"&amp;IFERROR(VLOOKUP(B68,LOOKUPS!$K$2:$L$9,2,FALSE),"UNK")&amp;"_"&amp;IFERROR(VLOOKUP(C68,LOOKUPS!$N$2:$O$8,2,FALSE),"UNK")&amp;"_"&amp;UPPER(L68))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2"/>
        <v/>
      </c>
      <c r="B69" s="3"/>
      <c r="C69" s="3"/>
      <c r="D69" s="3"/>
      <c r="E69" s="3" t="s">
        <v>31</v>
      </c>
      <c r="F69" s="3"/>
      <c r="G69" s="3"/>
      <c r="H69" s="3"/>
      <c r="I69" s="3"/>
      <c r="J69" s="3"/>
      <c r="K69" s="3"/>
      <c r="L69" s="3"/>
      <c r="M69" s="3" t="str">
        <f>IF(B69="","","LIST"&amp;"_"&amp;IFERROR(VLOOKUP(B69,LOOKUPS!$K$2:$L$9,2,FALSE),"UNK")&amp;"_"&amp;IFERROR(VLOOKUP(C69,LOOKUPS!$N$2:$O$8,2,FALSE),"UNK")&amp;"_"&amp;UPPER(L69))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2"/>
        <v/>
      </c>
      <c r="B70" s="3"/>
      <c r="C70" s="3"/>
      <c r="D70" s="3"/>
      <c r="E70" s="3" t="s">
        <v>31</v>
      </c>
      <c r="F70" s="3"/>
      <c r="G70" s="3"/>
      <c r="H70" s="3"/>
      <c r="I70" s="3"/>
      <c r="J70" s="3"/>
      <c r="K70" s="3"/>
      <c r="L70" s="3"/>
      <c r="M70" s="3" t="str">
        <f>IF(B70="","","LIST"&amp;"_"&amp;IFERROR(VLOOKUP(B70,LOOKUPS!$K$2:$L$9,2,FALSE),"UNK")&amp;"_"&amp;IFERROR(VLOOKUP(C70,LOOKUPS!$N$2:$O$8,2,FALSE),"UNK")&amp;"_"&amp;UPPER(L70))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2"/>
        <v/>
      </c>
      <c r="B71" s="3"/>
      <c r="C71" s="3"/>
      <c r="D71" s="3"/>
      <c r="E71" s="3" t="s">
        <v>31</v>
      </c>
      <c r="F71" s="3"/>
      <c r="G71" s="3"/>
      <c r="H71" s="3"/>
      <c r="I71" s="3"/>
      <c r="J71" s="3"/>
      <c r="K71" s="3"/>
      <c r="L71" s="3"/>
      <c r="M71" s="3" t="str">
        <f>IF(B71="","","LIST"&amp;"_"&amp;IFERROR(VLOOKUP(B71,LOOKUPS!$K$2:$L$9,2,FALSE),"UNK")&amp;"_"&amp;IFERROR(VLOOKUP(C71,LOOKUPS!$N$2:$O$8,2,FALSE),"UNK")&amp;"_"&amp;UPPER(L71))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2"/>
        <v/>
      </c>
      <c r="B72" s="3"/>
      <c r="C72" s="3"/>
      <c r="D72" s="3"/>
      <c r="E72" s="3" t="s">
        <v>31</v>
      </c>
      <c r="F72" s="3"/>
      <c r="G72" s="3"/>
      <c r="H72" s="3"/>
      <c r="I72" s="3"/>
      <c r="J72" s="3"/>
      <c r="K72" s="3"/>
      <c r="L72" s="3"/>
      <c r="M72" s="3" t="str">
        <f>IF(B72="","","LIST"&amp;"_"&amp;IFERROR(VLOOKUP(B72,LOOKUPS!$K$2:$L$9,2,FALSE),"UNK")&amp;"_"&amp;IFERROR(VLOOKUP(C72,LOOKUPS!$N$2:$O$8,2,FALSE),"UNK")&amp;"_"&amp;UPPER(L72))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2"/>
        <v/>
      </c>
      <c r="B73" s="3"/>
      <c r="C73" s="3"/>
      <c r="D73" s="3"/>
      <c r="E73" s="3" t="s">
        <v>31</v>
      </c>
      <c r="F73" s="3"/>
      <c r="G73" s="3"/>
      <c r="H73" s="3"/>
      <c r="I73" s="3"/>
      <c r="J73" s="3"/>
      <c r="K73" s="3"/>
      <c r="L73" s="3"/>
      <c r="M73" s="3" t="str">
        <f>IF(B73="","","LIST"&amp;"_"&amp;IFERROR(VLOOKUP(B73,LOOKUPS!$K$2:$L$9,2,FALSE),"UNK")&amp;"_"&amp;IFERROR(VLOOKUP(C73,LOOKUPS!$N$2:$O$8,2,FALSE),"UNK")&amp;"_"&amp;UPPER(L73))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2"/>
        <v/>
      </c>
      <c r="B74" s="3"/>
      <c r="C74" s="3"/>
      <c r="D74" s="3"/>
      <c r="E74" s="3" t="s">
        <v>31</v>
      </c>
      <c r="F74" s="3"/>
      <c r="G74" s="3"/>
      <c r="H74" s="3"/>
      <c r="I74" s="3"/>
      <c r="J74" s="3"/>
      <c r="K74" s="3"/>
      <c r="L74" s="3"/>
      <c r="M74" s="3" t="str">
        <f>IF(B74="","","LIST"&amp;"_"&amp;IFERROR(VLOOKUP(B74,LOOKUPS!$K$2:$L$9,2,FALSE),"UNK")&amp;"_"&amp;IFERROR(VLOOKUP(C74,LOOKUPS!$N$2:$O$8,2,FALSE),"UNK")&amp;"_"&amp;UPPER(L74))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2"/>
        <v/>
      </c>
      <c r="B75" s="3"/>
      <c r="C75" s="3"/>
      <c r="D75" s="3"/>
      <c r="E75" s="3" t="s">
        <v>31</v>
      </c>
      <c r="F75" s="3"/>
      <c r="G75" s="3"/>
      <c r="H75" s="3"/>
      <c r="I75" s="3"/>
      <c r="J75" s="3"/>
      <c r="K75" s="3"/>
      <c r="L75" s="3"/>
      <c r="M75" s="3" t="str">
        <f>IF(B75="","","LIST"&amp;"_"&amp;IFERROR(VLOOKUP(B75,LOOKUPS!$K$2:$L$9,2,FALSE),"UNK")&amp;"_"&amp;IFERROR(VLOOKUP(C75,LOOKUPS!$N$2:$O$8,2,FALSE),"UNK")&amp;"_"&amp;UPPER(L75))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2"/>
        <v/>
      </c>
      <c r="B76" s="3"/>
      <c r="C76" s="3"/>
      <c r="D76" s="3"/>
      <c r="E76" s="3" t="s">
        <v>31</v>
      </c>
      <c r="F76" s="3"/>
      <c r="G76" s="3"/>
      <c r="H76" s="3"/>
      <c r="I76" s="3"/>
      <c r="J76" s="3"/>
      <c r="K76" s="3"/>
      <c r="L76" s="3"/>
      <c r="M76" s="3" t="str">
        <f>IF(B76="","","LIST"&amp;"_"&amp;IFERROR(VLOOKUP(B76,LOOKUPS!$K$2:$L$9,2,FALSE),"UNK")&amp;"_"&amp;IFERROR(VLOOKUP(C76,LOOKUPS!$N$2:$O$8,2,FALSE),"UNK")&amp;"_"&amp;UPPER(L76))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2"/>
        <v/>
      </c>
      <c r="B77" s="3"/>
      <c r="C77" s="3"/>
      <c r="D77" s="3"/>
      <c r="E77" s="3" t="s">
        <v>31</v>
      </c>
      <c r="F77" s="3"/>
      <c r="G77" s="3"/>
      <c r="H77" s="3"/>
      <c r="I77" s="3"/>
      <c r="J77" s="3"/>
      <c r="K77" s="3"/>
      <c r="L77" s="3"/>
      <c r="M77" s="3" t="str">
        <f>IF(B77="","","LIST"&amp;"_"&amp;IFERROR(VLOOKUP(B77,LOOKUPS!$K$2:$L$9,2,FALSE),"UNK")&amp;"_"&amp;IFERROR(VLOOKUP(C77,LOOKUPS!$N$2:$O$8,2,FALSE),"UNK")&amp;"_"&amp;UPPER(L77))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2"/>
        <v/>
      </c>
      <c r="B78" s="3"/>
      <c r="C78" s="3"/>
      <c r="D78" s="3"/>
      <c r="E78" s="3" t="s">
        <v>31</v>
      </c>
      <c r="F78" s="3"/>
      <c r="G78" s="3"/>
      <c r="H78" s="3"/>
      <c r="I78" s="3"/>
      <c r="J78" s="3"/>
      <c r="K78" s="3"/>
      <c r="L78" s="3"/>
      <c r="M78" s="3" t="str">
        <f>IF(B78="","","LIST"&amp;"_"&amp;IFERROR(VLOOKUP(B78,LOOKUPS!$K$2:$L$9,2,FALSE),"UNK")&amp;"_"&amp;IFERROR(VLOOKUP(C78,LOOKUPS!$N$2:$O$8,2,FALSE),"UNK")&amp;"_"&amp;UPPER(L78))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2"/>
        <v/>
      </c>
      <c r="B79" s="3"/>
      <c r="C79" s="3"/>
      <c r="D79" s="3"/>
      <c r="E79" s="3" t="s">
        <v>31</v>
      </c>
      <c r="F79" s="3"/>
      <c r="G79" s="3"/>
      <c r="H79" s="3"/>
      <c r="I79" s="3"/>
      <c r="J79" s="3"/>
      <c r="K79" s="3"/>
      <c r="L79" s="3"/>
      <c r="M79" s="3" t="str">
        <f>IF(B79="","","LIST"&amp;"_"&amp;IFERROR(VLOOKUP(B79,LOOKUPS!$K$2:$L$9,2,FALSE),"UNK")&amp;"_"&amp;IFERROR(VLOOKUP(C79,LOOKUPS!$N$2:$O$8,2,FALSE),"UNK")&amp;"_"&amp;UPPER(L79))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2"/>
        <v/>
      </c>
      <c r="B80" s="3"/>
      <c r="C80" s="3"/>
      <c r="D80" s="3"/>
      <c r="E80" s="3" t="s">
        <v>31</v>
      </c>
      <c r="F80" s="3"/>
      <c r="G80" s="3"/>
      <c r="H80" s="3"/>
      <c r="I80" s="3"/>
      <c r="J80" s="3"/>
      <c r="K80" s="3"/>
      <c r="L80" s="3"/>
      <c r="M80" s="3" t="str">
        <f>IF(B80="","","LIST"&amp;"_"&amp;IFERROR(VLOOKUP(B80,LOOKUPS!$K$2:$L$9,2,FALSE),"UNK")&amp;"_"&amp;IFERROR(VLOOKUP(C80,LOOKUPS!$N$2:$O$8,2,FALSE),"UNK")&amp;"_"&amp;UPPER(L80))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2"/>
        <v/>
      </c>
      <c r="B81" s="3"/>
      <c r="C81" s="3"/>
      <c r="D81" s="3"/>
      <c r="E81" s="3" t="s">
        <v>31</v>
      </c>
      <c r="F81" s="3"/>
      <c r="G81" s="3"/>
      <c r="H81" s="3"/>
      <c r="I81" s="3"/>
      <c r="J81" s="3"/>
      <c r="K81" s="3"/>
      <c r="L81" s="3"/>
      <c r="M81" s="3" t="str">
        <f>IF(B81="","","LIST"&amp;"_"&amp;IFERROR(VLOOKUP(B81,LOOKUPS!$K$2:$L$9,2,FALSE),"UNK")&amp;"_"&amp;IFERROR(VLOOKUP(C81,LOOKUPS!$N$2:$O$8,2,FALSE),"UNK")&amp;"_"&amp;UPPER(L81))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2"/>
        <v/>
      </c>
      <c r="B82" s="3"/>
      <c r="C82" s="3"/>
      <c r="D82" s="3"/>
      <c r="E82" s="3" t="s">
        <v>31</v>
      </c>
      <c r="F82" s="3"/>
      <c r="G82" s="3"/>
      <c r="H82" s="3"/>
      <c r="I82" s="3"/>
      <c r="J82" s="3"/>
      <c r="K82" s="3"/>
      <c r="L82" s="3"/>
      <c r="M82" s="3" t="str">
        <f>IF(B82="","","LIST"&amp;"_"&amp;IFERROR(VLOOKUP(B82,LOOKUPS!$K$2:$L$9,2,FALSE),"UNK")&amp;"_"&amp;IFERROR(VLOOKUP(C82,LOOKUPS!$N$2:$O$8,2,FALSE),"UNK")&amp;"_"&amp;UPPER(L82))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2"/>
        <v/>
      </c>
      <c r="B83" s="3"/>
      <c r="C83" s="3"/>
      <c r="D83" s="3"/>
      <c r="E83" s="3" t="s">
        <v>31</v>
      </c>
      <c r="F83" s="3"/>
      <c r="G83" s="3"/>
      <c r="H83" s="3"/>
      <c r="I83" s="3"/>
      <c r="J83" s="3"/>
      <c r="K83" s="3"/>
      <c r="L83" s="3"/>
      <c r="M83" s="3" t="str">
        <f>IF(B83="","","LIST"&amp;"_"&amp;IFERROR(VLOOKUP(B83,LOOKUPS!$K$2:$L$9,2,FALSE),"UNK")&amp;"_"&amp;IFERROR(VLOOKUP(C83,LOOKUPS!$N$2:$O$8,2,FALSE),"UNK")&amp;"_"&amp;UPPER(L83))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2"/>
        <v/>
      </c>
      <c r="B84" s="3"/>
      <c r="C84" s="3"/>
      <c r="D84" s="3"/>
      <c r="E84" s="3" t="s">
        <v>31</v>
      </c>
      <c r="F84" s="3"/>
      <c r="G84" s="3"/>
      <c r="H84" s="3"/>
      <c r="I84" s="3"/>
      <c r="J84" s="3"/>
      <c r="K84" s="3"/>
      <c r="L84" s="3"/>
      <c r="M84" s="3" t="str">
        <f>IF(B84="","","LIST"&amp;"_"&amp;IFERROR(VLOOKUP(B84,LOOKUPS!$K$2:$L$9,2,FALSE),"UNK")&amp;"_"&amp;IFERROR(VLOOKUP(C84,LOOKUPS!$N$2:$O$8,2,FALSE),"UNK")&amp;"_"&amp;UPPER(L84))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2"/>
        <v/>
      </c>
      <c r="B85" s="3"/>
      <c r="C85" s="3"/>
      <c r="D85" s="3"/>
      <c r="E85" s="3" t="s">
        <v>31</v>
      </c>
      <c r="F85" s="3"/>
      <c r="G85" s="3"/>
      <c r="H85" s="3"/>
      <c r="I85" s="3"/>
      <c r="J85" s="3"/>
      <c r="K85" s="3"/>
      <c r="L85" s="3"/>
      <c r="M85" s="3" t="str">
        <f>IF(B85="","","LIST"&amp;"_"&amp;IFERROR(VLOOKUP(B85,LOOKUPS!$K$2:$L$9,2,FALSE),"UNK")&amp;"_"&amp;IFERROR(VLOOKUP(C85,LOOKUPS!$N$2:$O$8,2,FALSE),"UNK")&amp;"_"&amp;UPPER(L85))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2"/>
        <v/>
      </c>
      <c r="B86" s="3"/>
      <c r="C86" s="3"/>
      <c r="D86" s="3"/>
      <c r="E86" s="3" t="s">
        <v>31</v>
      </c>
      <c r="F86" s="3"/>
      <c r="G86" s="3"/>
      <c r="H86" s="3"/>
      <c r="I86" s="3"/>
      <c r="J86" s="3"/>
      <c r="K86" s="3"/>
      <c r="L86" s="3"/>
      <c r="M86" s="3" t="str">
        <f>IF(B86="","","LIST"&amp;"_"&amp;IFERROR(VLOOKUP(B86,LOOKUPS!$K$2:$L$9,2,FALSE),"UNK")&amp;"_"&amp;IFERROR(VLOOKUP(C86,LOOKUPS!$N$2:$O$8,2,FALSE),"UNK")&amp;"_"&amp;UPPER(L86))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2"/>
        <v/>
      </c>
      <c r="B87" s="3"/>
      <c r="C87" s="3"/>
      <c r="D87" s="3"/>
      <c r="E87" s="3" t="s">
        <v>31</v>
      </c>
      <c r="F87" s="3"/>
      <c r="G87" s="3"/>
      <c r="H87" s="3"/>
      <c r="I87" s="3"/>
      <c r="J87" s="3"/>
      <c r="K87" s="3"/>
      <c r="L87" s="3"/>
      <c r="M87" s="3" t="str">
        <f>IF(B87="","","LIST"&amp;"_"&amp;IFERROR(VLOOKUP(B87,LOOKUPS!$K$2:$L$9,2,FALSE),"UNK")&amp;"_"&amp;IFERROR(VLOOKUP(C87,LOOKUPS!$N$2:$O$8,2,FALSE),"UNK")&amp;"_"&amp;UPPER(L87))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2"/>
        <v/>
      </c>
      <c r="B88" s="3"/>
      <c r="C88" s="3"/>
      <c r="D88" s="3"/>
      <c r="E88" s="3" t="s">
        <v>31</v>
      </c>
      <c r="F88" s="3"/>
      <c r="G88" s="3"/>
      <c r="H88" s="3"/>
      <c r="I88" s="3"/>
      <c r="J88" s="3"/>
      <c r="K88" s="3"/>
      <c r="L88" s="3"/>
      <c r="M88" s="3" t="str">
        <f>IF(B88="","","LIST"&amp;"_"&amp;IFERROR(VLOOKUP(B88,LOOKUPS!$K$2:$L$9,2,FALSE),"UNK")&amp;"_"&amp;IFERROR(VLOOKUP(C88,LOOKUPS!$N$2:$O$8,2,FALSE),"UNK")&amp;"_"&amp;UPPER(L88))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2"/>
        <v/>
      </c>
      <c r="B89" s="3"/>
      <c r="C89" s="3"/>
      <c r="D89" s="3"/>
      <c r="E89" s="3" t="s">
        <v>31</v>
      </c>
      <c r="F89" s="3"/>
      <c r="G89" s="3"/>
      <c r="H89" s="3"/>
      <c r="I89" s="3"/>
      <c r="J89" s="3"/>
      <c r="K89" s="3"/>
      <c r="L89" s="3"/>
      <c r="M89" s="3" t="str">
        <f>IF(B89="","","LIST"&amp;"_"&amp;IFERROR(VLOOKUP(B89,LOOKUPS!$K$2:$L$9,2,FALSE),"UNK")&amp;"_"&amp;IFERROR(VLOOKUP(C89,LOOKUPS!$N$2:$O$8,2,FALSE),"UNK")&amp;"_"&amp;UPPER(L89))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2"/>
        <v/>
      </c>
      <c r="B90" s="3"/>
      <c r="C90" s="3"/>
      <c r="D90" s="3"/>
      <c r="E90" s="3" t="s">
        <v>31</v>
      </c>
      <c r="F90" s="3"/>
      <c r="G90" s="3"/>
      <c r="H90" s="3"/>
      <c r="I90" s="3"/>
      <c r="J90" s="3"/>
      <c r="K90" s="3"/>
      <c r="L90" s="3"/>
      <c r="M90" s="3" t="str">
        <f>IF(B90="","","LIST"&amp;"_"&amp;IFERROR(VLOOKUP(B90,LOOKUPS!$K$2:$L$9,2,FALSE),"UNK")&amp;"_"&amp;IFERROR(VLOOKUP(C90,LOOKUPS!$N$2:$O$8,2,FALSE),"UNK")&amp;"_"&amp;UPPER(L90))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2"/>
        <v/>
      </c>
      <c r="B91" s="3"/>
      <c r="C91" s="3"/>
      <c r="D91" s="3"/>
      <c r="E91" s="3" t="s">
        <v>31</v>
      </c>
      <c r="F91" s="3"/>
      <c r="G91" s="3"/>
      <c r="H91" s="3"/>
      <c r="I91" s="3"/>
      <c r="J91" s="3"/>
      <c r="K91" s="3"/>
      <c r="L91" s="3"/>
      <c r="M91" s="3" t="str">
        <f>IF(B91="","","LIST"&amp;"_"&amp;IFERROR(VLOOKUP(B91,LOOKUPS!$K$2:$L$9,2,FALSE),"UNK")&amp;"_"&amp;IFERROR(VLOOKUP(C91,LOOKUPS!$N$2:$O$8,2,FALSE),"UNK")&amp;"_"&amp;UPPER(L91))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2"/>
        <v/>
      </c>
      <c r="B92" s="3"/>
      <c r="C92" s="3"/>
      <c r="D92" s="3"/>
      <c r="E92" s="3" t="s">
        <v>31</v>
      </c>
      <c r="F92" s="3"/>
      <c r="G92" s="3"/>
      <c r="H92" s="3"/>
      <c r="I92" s="3"/>
      <c r="J92" s="3"/>
      <c r="K92" s="3"/>
      <c r="L92" s="3"/>
      <c r="M92" s="3" t="str">
        <f>IF(B92="","","LIST"&amp;"_"&amp;IFERROR(VLOOKUP(B92,LOOKUPS!$K$2:$L$9,2,FALSE),"UNK")&amp;"_"&amp;IFERROR(VLOOKUP(C92,LOOKUPS!$N$2:$O$8,2,FALSE),"UNK")&amp;"_"&amp;UPPER(L92))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2"/>
        <v/>
      </c>
      <c r="B93" s="3"/>
      <c r="C93" s="3"/>
      <c r="D93" s="3"/>
      <c r="E93" s="3" t="s">
        <v>31</v>
      </c>
      <c r="F93" s="3"/>
      <c r="G93" s="3"/>
      <c r="H93" s="3"/>
      <c r="I93" s="3"/>
      <c r="J93" s="3"/>
      <c r="K93" s="3"/>
      <c r="L93" s="3"/>
      <c r="M93" s="3" t="str">
        <f>IF(B93="","","LIST"&amp;"_"&amp;IFERROR(VLOOKUP(B93,LOOKUPS!$K$2:$L$9,2,FALSE),"UNK")&amp;"_"&amp;IFERROR(VLOOKUP(C93,LOOKUPS!$N$2:$O$8,2,FALSE),"UNK")&amp;"_"&amp;UPPER(L93))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2"/>
        <v/>
      </c>
      <c r="B94" s="3"/>
      <c r="C94" s="3"/>
      <c r="D94" s="3"/>
      <c r="E94" s="3" t="s">
        <v>31</v>
      </c>
      <c r="F94" s="3"/>
      <c r="G94" s="3"/>
      <c r="H94" s="3"/>
      <c r="I94" s="3"/>
      <c r="J94" s="3"/>
      <c r="K94" s="3"/>
      <c r="L94" s="3"/>
      <c r="M94" s="3" t="str">
        <f>IF(B94="","","LIST"&amp;"_"&amp;IFERROR(VLOOKUP(B94,LOOKUPS!$K$2:$L$9,2,FALSE),"UNK")&amp;"_"&amp;IFERROR(VLOOKUP(C94,LOOKUPS!$N$2:$O$8,2,FALSE),"UNK")&amp;"_"&amp;UPPER(L94))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2"/>
        <v/>
      </c>
      <c r="B95" s="3"/>
      <c r="C95" s="3"/>
      <c r="D95" s="3"/>
      <c r="E95" s="3" t="s">
        <v>31</v>
      </c>
      <c r="F95" s="3"/>
      <c r="G95" s="3"/>
      <c r="H95" s="3"/>
      <c r="I95" s="3"/>
      <c r="J95" s="3"/>
      <c r="K95" s="3"/>
      <c r="L95" s="3"/>
      <c r="M95" s="3" t="str">
        <f>IF(B95="","","LIST"&amp;"_"&amp;IFERROR(VLOOKUP(B95,LOOKUPS!$K$2:$L$9,2,FALSE),"UNK")&amp;"_"&amp;IFERROR(VLOOKUP(C95,LOOKUPS!$N$2:$O$8,2,FALSE),"UNK")&amp;"_"&amp;UPPER(L95))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2"/>
        <v/>
      </c>
      <c r="B96" s="3"/>
      <c r="C96" s="3"/>
      <c r="D96" s="3"/>
      <c r="E96" s="3" t="s">
        <v>31</v>
      </c>
      <c r="F96" s="3"/>
      <c r="G96" s="3"/>
      <c r="H96" s="3"/>
      <c r="I96" s="3"/>
      <c r="J96" s="3"/>
      <c r="K96" s="3"/>
      <c r="L96" s="3"/>
      <c r="M96" s="3" t="str">
        <f>IF(B96="","","LIST"&amp;"_"&amp;IFERROR(VLOOKUP(B96,LOOKUPS!$K$2:$L$9,2,FALSE),"UNK")&amp;"_"&amp;IFERROR(VLOOKUP(C96,LOOKUPS!$N$2:$O$8,2,FALSE),"UNK")&amp;"_"&amp;UPPER(L96))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2"/>
        <v/>
      </c>
      <c r="B97" s="3"/>
      <c r="C97" s="3"/>
      <c r="D97" s="3"/>
      <c r="E97" s="3" t="s">
        <v>31</v>
      </c>
      <c r="F97" s="3"/>
      <c r="G97" s="3"/>
      <c r="H97" s="3"/>
      <c r="I97" s="3"/>
      <c r="J97" s="3"/>
      <c r="K97" s="3"/>
      <c r="L97" s="3"/>
      <c r="M97" s="3" t="str">
        <f>IF(B97="","","LIST"&amp;"_"&amp;IFERROR(VLOOKUP(B97,LOOKUPS!$K$2:$L$9,2,FALSE),"UNK")&amp;"_"&amp;IFERROR(VLOOKUP(C97,LOOKUPS!$N$2:$O$8,2,FALSE),"UNK")&amp;"_"&amp;UPPER(L97))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2"/>
        <v/>
      </c>
      <c r="B98" s="3"/>
      <c r="C98" s="3"/>
      <c r="D98" s="3"/>
      <c r="E98" s="3" t="s">
        <v>31</v>
      </c>
      <c r="F98" s="3"/>
      <c r="G98" s="3"/>
      <c r="H98" s="3"/>
      <c r="I98" s="3"/>
      <c r="J98" s="3"/>
      <c r="K98" s="3"/>
      <c r="L98" s="3"/>
      <c r="M98" s="3" t="str">
        <f>IF(B98="","","LIST"&amp;"_"&amp;IFERROR(VLOOKUP(B98,LOOKUPS!$K$2:$L$9,2,FALSE),"UNK")&amp;"_"&amp;IFERROR(VLOOKUP(C98,LOOKUPS!$N$2:$O$8,2,FALSE),"UNK")&amp;"_"&amp;UPPER(L98))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2"/>
        <v/>
      </c>
      <c r="B99" s="3"/>
      <c r="C99" s="3"/>
      <c r="D99" s="3"/>
      <c r="E99" s="3" t="s">
        <v>31</v>
      </c>
      <c r="F99" s="3"/>
      <c r="G99" s="3"/>
      <c r="H99" s="3"/>
      <c r="I99" s="3"/>
      <c r="J99" s="3"/>
      <c r="K99" s="3"/>
      <c r="L99" s="3"/>
      <c r="M99" s="3" t="str">
        <f>IF(B99="","","LIST"&amp;"_"&amp;IFERROR(VLOOKUP(B99,LOOKUPS!$K$2:$L$9,2,FALSE),"UNK")&amp;"_"&amp;IFERROR(VLOOKUP(C99,LOOKUPS!$N$2:$O$8,2,FALSE),"UNK")&amp;"_"&amp;UPPER(L99))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2"/>
        <v/>
      </c>
      <c r="B100" s="3"/>
      <c r="C100" s="3"/>
      <c r="D100" s="3"/>
      <c r="E100" s="3" t="s">
        <v>31</v>
      </c>
      <c r="F100" s="3"/>
      <c r="G100" s="3"/>
      <c r="H100" s="3"/>
      <c r="I100" s="3"/>
      <c r="J100" s="3"/>
      <c r="K100" s="3"/>
      <c r="L100" s="3"/>
      <c r="M100" s="3" t="str">
        <f>IF(B100="","","LIST"&amp;"_"&amp;IFERROR(VLOOKUP(B100,LOOKUPS!$K$2:$L$9,2,FALSE),"UNK")&amp;"_"&amp;IFERROR(VLOOKUP(C100,LOOKUPS!$N$2:$O$8,2,FALSE),"UNK")&amp;"_"&amp;UPPER(L100))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2"/>
        <v/>
      </c>
      <c r="B101" s="3"/>
      <c r="C101" s="3"/>
      <c r="D101" s="3"/>
      <c r="E101" s="3" t="s">
        <v>31</v>
      </c>
      <c r="F101" s="3"/>
      <c r="G101" s="3"/>
      <c r="H101" s="3"/>
      <c r="I101" s="3"/>
      <c r="J101" s="3"/>
      <c r="K101" s="3"/>
      <c r="L101" s="3"/>
      <c r="M101" s="3" t="str">
        <f>IF(B101="","","LIST"&amp;"_"&amp;IFERROR(VLOOKUP(B101,LOOKUPS!$K$2:$L$9,2,FALSE),"UNK")&amp;"_"&amp;IFERROR(VLOOKUP(C101,LOOKUPS!$N$2:$O$8,2,FALSE),"UNK")&amp;"_"&amp;UPPER(L101))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2"/>
        <v/>
      </c>
      <c r="B102" s="3"/>
      <c r="C102" s="3"/>
      <c r="D102" s="3"/>
      <c r="E102" s="3" t="s">
        <v>31</v>
      </c>
      <c r="F102" s="3"/>
      <c r="G102" s="3"/>
      <c r="H102" s="3"/>
      <c r="I102" s="3"/>
      <c r="J102" s="3"/>
      <c r="K102" s="3"/>
      <c r="L102" s="3"/>
      <c r="M102" s="3" t="str">
        <f>IF(B102="","","LIST"&amp;"_"&amp;IFERROR(VLOOKUP(B102,LOOKUPS!$K$2:$L$9,2,FALSE),"UNK")&amp;"_"&amp;IFERROR(VLOOKUP(C102,LOOKUPS!$N$2:$O$8,2,FALSE),"UNK")&amp;"_"&amp;UPPER(L102))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2"/>
        <v/>
      </c>
      <c r="B103" s="3"/>
      <c r="C103" s="3"/>
      <c r="D103" s="3"/>
      <c r="E103" s="3" t="s">
        <v>31</v>
      </c>
      <c r="F103" s="3"/>
      <c r="G103" s="3"/>
      <c r="H103" s="3"/>
      <c r="I103" s="3"/>
      <c r="J103" s="3"/>
      <c r="K103" s="3"/>
      <c r="L103" s="3"/>
      <c r="M103" s="3" t="str">
        <f>IF(B103="","","LIST"&amp;"_"&amp;IFERROR(VLOOKUP(B103,LOOKUPS!$K$2:$L$9,2,FALSE),"UNK")&amp;"_"&amp;IFERROR(VLOOKUP(C103,LOOKUPS!$N$2:$O$8,2,FALSE),"UNK")&amp;"_"&amp;UPPER(L103))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2"/>
        <v/>
      </c>
      <c r="B104" s="3"/>
      <c r="C104" s="3"/>
      <c r="D104" s="3"/>
      <c r="E104" s="3" t="s">
        <v>31</v>
      </c>
      <c r="F104" s="3"/>
      <c r="G104" s="3"/>
      <c r="H104" s="3"/>
      <c r="I104" s="3"/>
      <c r="J104" s="3"/>
      <c r="K104" s="3"/>
      <c r="L104" s="3"/>
      <c r="M104" s="3" t="str">
        <f>IF(B104="","","LIST"&amp;"_"&amp;IFERROR(VLOOKUP(B104,LOOKUPS!$K$2:$L$9,2,FALSE),"UNK")&amp;"_"&amp;IFERROR(VLOOKUP(C104,LOOKUPS!$N$2:$O$8,2,FALSE),"UNK")&amp;"_"&amp;UPPER(L104))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2"/>
        <v/>
      </c>
      <c r="B105" s="3"/>
      <c r="C105" s="3"/>
      <c r="D105" s="3"/>
      <c r="E105" s="3" t="s">
        <v>31</v>
      </c>
      <c r="F105" s="3"/>
      <c r="G105" s="3"/>
      <c r="H105" s="3"/>
      <c r="I105" s="3"/>
      <c r="J105" s="3"/>
      <c r="K105" s="3"/>
      <c r="L105" s="3"/>
      <c r="M105" s="3" t="str">
        <f>IF(B105="","","LIST"&amp;"_"&amp;IFERROR(VLOOKUP(B105,LOOKUPS!$K$2:$L$9,2,FALSE),"UNK")&amp;"_"&amp;IFERROR(VLOOKUP(C105,LOOKUPS!$N$2:$O$8,2,FALSE),"UNK")&amp;"_"&amp;UPPER(L105))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2"/>
        <v/>
      </c>
      <c r="B106" s="3"/>
      <c r="C106" s="3"/>
      <c r="D106" s="3"/>
      <c r="E106" s="3" t="s">
        <v>31</v>
      </c>
      <c r="F106" s="3"/>
      <c r="G106" s="3"/>
      <c r="H106" s="3"/>
      <c r="I106" s="3"/>
      <c r="J106" s="3"/>
      <c r="K106" s="3"/>
      <c r="L106" s="3"/>
      <c r="M106" s="3" t="str">
        <f>IF(B106="","","LIST"&amp;"_"&amp;IFERROR(VLOOKUP(B106,LOOKUPS!$K$2:$L$9,2,FALSE),"UNK")&amp;"_"&amp;IFERROR(VLOOKUP(C106,LOOKUPS!$N$2:$O$8,2,FALSE),"UNK")&amp;"_"&amp;UPPER(L106))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2"/>
        <v/>
      </c>
      <c r="B107" s="3"/>
      <c r="C107" s="3"/>
      <c r="D107" s="3"/>
      <c r="E107" s="3" t="s">
        <v>31</v>
      </c>
      <c r="F107" s="3"/>
      <c r="G107" s="3"/>
      <c r="H107" s="3"/>
      <c r="I107" s="3"/>
      <c r="J107" s="3"/>
      <c r="K107" s="3"/>
      <c r="L107" s="3"/>
      <c r="M107" s="3" t="str">
        <f>IF(B107="","","LIST"&amp;"_"&amp;IFERROR(VLOOKUP(B107,LOOKUPS!$K$2:$L$9,2,FALSE),"UNK")&amp;"_"&amp;IFERROR(VLOOKUP(C107,LOOKUPS!$N$2:$O$8,2,FALSE),"UNK")&amp;"_"&amp;UPPER(L107))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2"/>
        <v/>
      </c>
      <c r="B108" s="3"/>
      <c r="C108" s="3"/>
      <c r="D108" s="3"/>
      <c r="E108" s="3" t="s">
        <v>31</v>
      </c>
      <c r="F108" s="3"/>
      <c r="G108" s="3"/>
      <c r="H108" s="3"/>
      <c r="I108" s="3"/>
      <c r="J108" s="3"/>
      <c r="K108" s="3"/>
      <c r="L108" s="3"/>
      <c r="M108" s="3" t="str">
        <f>IF(B108="","","LIST"&amp;"_"&amp;IFERROR(VLOOKUP(B108,LOOKUPS!$K$2:$L$9,2,FALSE),"UNK")&amp;"_"&amp;IFERROR(VLOOKUP(C108,LOOKUPS!$N$2:$O$8,2,FALSE),"UNK")&amp;"_"&amp;UPPER(L108))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2"/>
        <v/>
      </c>
      <c r="B109" s="3"/>
      <c r="C109" s="3"/>
      <c r="D109" s="3"/>
      <c r="E109" s="3" t="s">
        <v>31</v>
      </c>
      <c r="F109" s="3"/>
      <c r="G109" s="3"/>
      <c r="H109" s="3"/>
      <c r="I109" s="3"/>
      <c r="J109" s="3"/>
      <c r="K109" s="3"/>
      <c r="L109" s="3"/>
      <c r="M109" s="3" t="str">
        <f>IF(B109="","","LIST"&amp;"_"&amp;IFERROR(VLOOKUP(B109,LOOKUPS!$K$2:$L$9,2,FALSE),"UNK")&amp;"_"&amp;IFERROR(VLOOKUP(C109,LOOKUPS!$N$2:$O$8,2,FALSE),"UNK")&amp;"_"&amp;UPPER(L109))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2"/>
        <v/>
      </c>
      <c r="B110" s="3"/>
      <c r="C110" s="3"/>
      <c r="D110" s="3"/>
      <c r="E110" s="3" t="s">
        <v>31</v>
      </c>
      <c r="F110" s="3"/>
      <c r="G110" s="3"/>
      <c r="H110" s="3"/>
      <c r="I110" s="3"/>
      <c r="J110" s="3"/>
      <c r="K110" s="3"/>
      <c r="L110" s="3"/>
      <c r="M110" s="3" t="str">
        <f>IF(B110="","","LIST"&amp;"_"&amp;IFERROR(VLOOKUP(B110,LOOKUPS!$K$2:$L$9,2,FALSE),"UNK")&amp;"_"&amp;IFERROR(VLOOKUP(C110,LOOKUPS!$N$2:$O$8,2,FALSE),"UNK")&amp;"_"&amp;UPPER(L110))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2"/>
        <v/>
      </c>
      <c r="B111" s="3"/>
      <c r="C111" s="3"/>
      <c r="D111" s="3"/>
      <c r="E111" s="3" t="s">
        <v>31</v>
      </c>
      <c r="F111" s="3"/>
      <c r="G111" s="3"/>
      <c r="H111" s="3"/>
      <c r="I111" s="3"/>
      <c r="J111" s="3"/>
      <c r="K111" s="3"/>
      <c r="L111" s="3"/>
      <c r="M111" s="3" t="str">
        <f>IF(B111="","","LIST"&amp;"_"&amp;IFERROR(VLOOKUP(B111,LOOKUPS!$K$2:$L$9,2,FALSE),"UNK")&amp;"_"&amp;IFERROR(VLOOKUP(C111,LOOKUPS!$N$2:$O$8,2,FALSE),"UNK")&amp;"_"&amp;UPPER(L111))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2"/>
        <v/>
      </c>
      <c r="B112" s="3"/>
      <c r="C112" s="3"/>
      <c r="D112" s="3"/>
      <c r="E112" s="3" t="s">
        <v>31</v>
      </c>
      <c r="F112" s="3"/>
      <c r="G112" s="3"/>
      <c r="H112" s="3"/>
      <c r="I112" s="3"/>
      <c r="J112" s="3"/>
      <c r="K112" s="3"/>
      <c r="L112" s="3"/>
      <c r="M112" s="3" t="str">
        <f>IF(B112="","","LIST"&amp;"_"&amp;IFERROR(VLOOKUP(B112,LOOKUPS!$K$2:$L$9,2,FALSE),"UNK")&amp;"_"&amp;IFERROR(VLOOKUP(C112,LOOKUPS!$N$2:$O$8,2,FALSE),"UNK")&amp;"_"&amp;UPPER(L112))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2"/>
        <v/>
      </c>
      <c r="B113" s="3"/>
      <c r="C113" s="3"/>
      <c r="D113" s="3"/>
      <c r="E113" s="3" t="s">
        <v>31</v>
      </c>
      <c r="F113" s="3"/>
      <c r="G113" s="3"/>
      <c r="H113" s="3"/>
      <c r="I113" s="3"/>
      <c r="J113" s="3"/>
      <c r="K113" s="3"/>
      <c r="L113" s="3"/>
      <c r="M113" s="3" t="str">
        <f>IF(B113="","","LIST"&amp;"_"&amp;IFERROR(VLOOKUP(B113,LOOKUPS!$K$2:$L$9,2,FALSE),"UNK")&amp;"_"&amp;IFERROR(VLOOKUP(C113,LOOKUPS!$N$2:$O$8,2,FALSE),"UNK")&amp;"_"&amp;UPPER(L113))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2"/>
        <v/>
      </c>
      <c r="B114" s="3"/>
      <c r="C114" s="3"/>
      <c r="D114" s="3"/>
      <c r="E114" s="3" t="s">
        <v>31</v>
      </c>
      <c r="F114" s="3"/>
      <c r="G114" s="3"/>
      <c r="H114" s="3"/>
      <c r="I114" s="3"/>
      <c r="J114" s="3"/>
      <c r="K114" s="3"/>
      <c r="L114" s="3"/>
      <c r="M114" s="3" t="str">
        <f>IF(B114="","","LIST"&amp;"_"&amp;IFERROR(VLOOKUP(B114,LOOKUPS!$K$2:$L$9,2,FALSE),"UNK")&amp;"_"&amp;IFERROR(VLOOKUP(C114,LOOKUPS!$N$2:$O$8,2,FALSE),"UNK")&amp;"_"&amp;UPPER(L114))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2"/>
        <v/>
      </c>
      <c r="B115" s="3"/>
      <c r="C115" s="3"/>
      <c r="D115" s="3"/>
      <c r="E115" s="3" t="s">
        <v>31</v>
      </c>
      <c r="F115" s="3"/>
      <c r="G115" s="3"/>
      <c r="H115" s="3"/>
      <c r="I115" s="3"/>
      <c r="J115" s="3"/>
      <c r="K115" s="3"/>
      <c r="L115" s="3"/>
      <c r="M115" s="3" t="str">
        <f>IF(B115="","","LIST"&amp;"_"&amp;IFERROR(VLOOKUP(B115,LOOKUPS!$K$2:$L$9,2,FALSE),"UNK")&amp;"_"&amp;IFERROR(VLOOKUP(C115,LOOKUPS!$N$2:$O$8,2,FALSE),"UNK")&amp;"_"&amp;UPPER(L115))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2"/>
        <v/>
      </c>
      <c r="B116" s="3"/>
      <c r="C116" s="3"/>
      <c r="D116" s="3"/>
      <c r="E116" s="3" t="s">
        <v>31</v>
      </c>
      <c r="F116" s="3"/>
      <c r="G116" s="3"/>
      <c r="H116" s="3"/>
      <c r="I116" s="3"/>
      <c r="J116" s="3"/>
      <c r="K116" s="3"/>
      <c r="L116" s="3"/>
      <c r="M116" s="3" t="str">
        <f>IF(B116="","","LIST"&amp;"_"&amp;IFERROR(VLOOKUP(B116,LOOKUPS!$K$2:$L$9,2,FALSE),"UNK")&amp;"_"&amp;IFERROR(VLOOKUP(C116,LOOKUPS!$N$2:$O$8,2,FALSE),"UNK")&amp;"_"&amp;UPPER(L116))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2"/>
        <v/>
      </c>
      <c r="B117" s="3"/>
      <c r="C117" s="3"/>
      <c r="D117" s="3"/>
      <c r="E117" s="3" t="s">
        <v>31</v>
      </c>
      <c r="F117" s="3"/>
      <c r="G117" s="3"/>
      <c r="H117" s="3"/>
      <c r="I117" s="3"/>
      <c r="J117" s="3"/>
      <c r="K117" s="3"/>
      <c r="L117" s="3"/>
      <c r="M117" s="3" t="str">
        <f>IF(B117="","","LIST"&amp;"_"&amp;IFERROR(VLOOKUP(B117,LOOKUPS!$K$2:$L$9,2,FALSE),"UNK")&amp;"_"&amp;IFERROR(VLOOKUP(C117,LOOKUPS!$N$2:$O$8,2,FALSE),"UNK")&amp;"_"&amp;UPPER(L117))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2"/>
        <v/>
      </c>
      <c r="B118" s="3"/>
      <c r="C118" s="3"/>
      <c r="D118" s="3"/>
      <c r="E118" s="3" t="s">
        <v>31</v>
      </c>
      <c r="F118" s="3"/>
      <c r="G118" s="3"/>
      <c r="H118" s="3"/>
      <c r="I118" s="3"/>
      <c r="J118" s="3"/>
      <c r="K118" s="3"/>
      <c r="L118" s="3"/>
      <c r="M118" s="3" t="str">
        <f>IF(B118="","","LIST"&amp;"_"&amp;IFERROR(VLOOKUP(B118,LOOKUPS!$K$2:$L$9,2,FALSE),"UNK")&amp;"_"&amp;IFERROR(VLOOKUP(C118,LOOKUPS!$N$2:$O$8,2,FALSE),"UNK")&amp;"_"&amp;UPPER(L118))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2"/>
        <v/>
      </c>
      <c r="B119" s="3"/>
      <c r="C119" s="3"/>
      <c r="D119" s="3"/>
      <c r="E119" s="3" t="s">
        <v>31</v>
      </c>
      <c r="F119" s="3"/>
      <c r="G119" s="3"/>
      <c r="H119" s="3"/>
      <c r="I119" s="3"/>
      <c r="J119" s="3"/>
      <c r="K119" s="3"/>
      <c r="L119" s="3"/>
      <c r="M119" s="3" t="str">
        <f>IF(B119="","","LIST"&amp;"_"&amp;IFERROR(VLOOKUP(B119,LOOKUPS!$K$2:$L$9,2,FALSE),"UNK")&amp;"_"&amp;IFERROR(VLOOKUP(C119,LOOKUPS!$N$2:$O$8,2,FALSE),"UNK")&amp;"_"&amp;UPPER(L119))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2"/>
        <v/>
      </c>
      <c r="B120" s="3"/>
      <c r="C120" s="3"/>
      <c r="D120" s="3"/>
      <c r="E120" s="3" t="s">
        <v>31</v>
      </c>
      <c r="F120" s="3"/>
      <c r="G120" s="3"/>
      <c r="H120" s="3"/>
      <c r="I120" s="3"/>
      <c r="J120" s="3"/>
      <c r="K120" s="3"/>
      <c r="L120" s="3"/>
      <c r="M120" s="3" t="str">
        <f>IF(B120="","","LIST"&amp;"_"&amp;IFERROR(VLOOKUP(B120,LOOKUPS!$K$2:$L$9,2,FALSE),"UNK")&amp;"_"&amp;IFERROR(VLOOKUP(C120,LOOKUPS!$N$2:$O$8,2,FALSE),"UNK")&amp;"_"&amp;UPPER(L120))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2"/>
        <v/>
      </c>
      <c r="B121" s="3"/>
      <c r="C121" s="3"/>
      <c r="D121" s="3"/>
      <c r="E121" s="3" t="s">
        <v>31</v>
      </c>
      <c r="F121" s="3"/>
      <c r="G121" s="3"/>
      <c r="H121" s="3"/>
      <c r="I121" s="3"/>
      <c r="J121" s="3"/>
      <c r="K121" s="3"/>
      <c r="L121" s="3"/>
      <c r="M121" s="3" t="str">
        <f>IF(B121="","","LIST"&amp;"_"&amp;IFERROR(VLOOKUP(B121,LOOKUPS!$K$2:$L$9,2,FALSE),"UNK")&amp;"_"&amp;IFERROR(VLOOKUP(C121,LOOKUPS!$N$2:$O$8,2,FALSE),"UNK")&amp;"_"&amp;UPPER(L121))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2"/>
        <v/>
      </c>
      <c r="B122" s="3"/>
      <c r="C122" s="3"/>
      <c r="D122" s="3"/>
      <c r="E122" s="3" t="s">
        <v>31</v>
      </c>
      <c r="F122" s="3"/>
      <c r="G122" s="3"/>
      <c r="H122" s="3"/>
      <c r="I122" s="3"/>
      <c r="J122" s="3"/>
      <c r="K122" s="3"/>
      <c r="L122" s="3"/>
      <c r="M122" s="3" t="str">
        <f>IF(B122="","","LIST"&amp;"_"&amp;IFERROR(VLOOKUP(B122,LOOKUPS!$K$2:$L$9,2,FALSE),"UNK")&amp;"_"&amp;IFERROR(VLOOKUP(C122,LOOKUPS!$N$2:$O$8,2,FALSE),"UNK")&amp;"_"&amp;UPPER(L122))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2"/>
        <v/>
      </c>
      <c r="B123" s="3"/>
      <c r="C123" s="3"/>
      <c r="D123" s="3"/>
      <c r="E123" s="3" t="s">
        <v>31</v>
      </c>
      <c r="F123" s="3"/>
      <c r="G123" s="3"/>
      <c r="H123" s="3"/>
      <c r="I123" s="3"/>
      <c r="J123" s="3"/>
      <c r="K123" s="3"/>
      <c r="L123" s="3"/>
      <c r="M123" s="3" t="str">
        <f>IF(B123="","","LIST"&amp;"_"&amp;IFERROR(VLOOKUP(B123,LOOKUPS!$K$2:$L$9,2,FALSE),"UNK")&amp;"_"&amp;IFERROR(VLOOKUP(C123,LOOKUPS!$N$2:$O$8,2,FALSE),"UNK")&amp;"_"&amp;UPPER(L123))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2"/>
        <v/>
      </c>
      <c r="B124" s="3"/>
      <c r="C124" s="3"/>
      <c r="D124" s="3"/>
      <c r="E124" s="3" t="s">
        <v>31</v>
      </c>
      <c r="F124" s="3"/>
      <c r="G124" s="3"/>
      <c r="H124" s="3"/>
      <c r="I124" s="3"/>
      <c r="J124" s="3"/>
      <c r="K124" s="3"/>
      <c r="L124" s="3"/>
      <c r="M124" s="3" t="str">
        <f>IF(B124="","","LIST"&amp;"_"&amp;IFERROR(VLOOKUP(B124,LOOKUPS!$K$2:$L$9,2,FALSE),"UNK")&amp;"_"&amp;IFERROR(VLOOKUP(C124,LOOKUPS!$N$2:$O$8,2,FALSE),"UNK")&amp;"_"&amp;UPPER(L124))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2"/>
        <v/>
      </c>
      <c r="B125" s="3"/>
      <c r="C125" s="3"/>
      <c r="D125" s="3"/>
      <c r="E125" s="3" t="s">
        <v>31</v>
      </c>
      <c r="F125" s="3"/>
      <c r="G125" s="3"/>
      <c r="H125" s="3"/>
      <c r="I125" s="3"/>
      <c r="J125" s="3"/>
      <c r="K125" s="3"/>
      <c r="L125" s="3"/>
      <c r="M125" s="3" t="str">
        <f>IF(B125="","","LIST"&amp;"_"&amp;IFERROR(VLOOKUP(B125,LOOKUPS!$K$2:$L$9,2,FALSE),"UNK")&amp;"_"&amp;IFERROR(VLOOKUP(C125,LOOKUPS!$N$2:$O$8,2,FALSE),"UNK")&amp;"_"&amp;UPPER(L125))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2"/>
        <v/>
      </c>
      <c r="B126" s="3"/>
      <c r="C126" s="3"/>
      <c r="D126" s="3"/>
      <c r="E126" s="3" t="s">
        <v>31</v>
      </c>
      <c r="F126" s="3"/>
      <c r="G126" s="3"/>
      <c r="H126" s="3"/>
      <c r="I126" s="3"/>
      <c r="J126" s="3"/>
      <c r="K126" s="3"/>
      <c r="L126" s="3"/>
      <c r="M126" s="3" t="str">
        <f>IF(B126="","","LIST"&amp;"_"&amp;IFERROR(VLOOKUP(B126,LOOKUPS!$K$2:$L$9,2,FALSE),"UNK")&amp;"_"&amp;IFERROR(VLOOKUP(C126,LOOKUPS!$N$2:$O$8,2,FALSE),"UNK")&amp;"_"&amp;UPPER(L126))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2"/>
        <v/>
      </c>
      <c r="B127" s="3"/>
      <c r="C127" s="3"/>
      <c r="D127" s="3"/>
      <c r="E127" s="3" t="s">
        <v>31</v>
      </c>
      <c r="F127" s="3"/>
      <c r="G127" s="3"/>
      <c r="H127" s="3"/>
      <c r="I127" s="3"/>
      <c r="J127" s="3"/>
      <c r="K127" s="3"/>
      <c r="L127" s="3"/>
      <c r="M127" s="3" t="str">
        <f>IF(B127="","","LIST"&amp;"_"&amp;IFERROR(VLOOKUP(B127,LOOKUPS!$K$2:$L$9,2,FALSE),"UNK")&amp;"_"&amp;IFERROR(VLOOKUP(C127,LOOKUPS!$N$2:$O$8,2,FALSE),"UNK")&amp;"_"&amp;UPPER(L127))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2"/>
        <v/>
      </c>
      <c r="B128" s="3"/>
      <c r="C128" s="3"/>
      <c r="D128" s="3"/>
      <c r="E128" s="3" t="s">
        <v>31</v>
      </c>
      <c r="F128" s="3"/>
      <c r="G128" s="3"/>
      <c r="H128" s="3"/>
      <c r="I128" s="3"/>
      <c r="J128" s="3"/>
      <c r="K128" s="3"/>
      <c r="L128" s="3"/>
      <c r="M128" s="3" t="str">
        <f>IF(B128="","","LIST"&amp;"_"&amp;IFERROR(VLOOKUP(B128,LOOKUPS!$K$2:$L$9,2,FALSE),"UNK")&amp;"_"&amp;IFERROR(VLOOKUP(C128,LOOKUPS!$N$2:$O$8,2,FALSE),"UNK")&amp;"_"&amp;UPPER(L128))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2"/>
        <v/>
      </c>
      <c r="B129" s="3"/>
      <c r="C129" s="3"/>
      <c r="D129" s="3"/>
      <c r="E129" s="3" t="s">
        <v>31</v>
      </c>
      <c r="F129" s="3"/>
      <c r="G129" s="3"/>
      <c r="H129" s="3"/>
      <c r="I129" s="3"/>
      <c r="J129" s="3"/>
      <c r="K129" s="3"/>
      <c r="L129" s="3"/>
      <c r="M129" s="3" t="str">
        <f>IF(B129="","","LIST"&amp;"_"&amp;IFERROR(VLOOKUP(B129,LOOKUPS!$K$2:$L$9,2,FALSE),"UNK")&amp;"_"&amp;IFERROR(VLOOKUP(C129,LOOKUPS!$N$2:$O$8,2,FALSE),"UNK")&amp;"_"&amp;UPPER(L129))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2"/>
        <v/>
      </c>
      <c r="B130" s="3"/>
      <c r="C130" s="3"/>
      <c r="D130" s="3"/>
      <c r="E130" s="3" t="s">
        <v>31</v>
      </c>
      <c r="F130" s="3"/>
      <c r="G130" s="3"/>
      <c r="H130" s="3"/>
      <c r="I130" s="3"/>
      <c r="J130" s="3"/>
      <c r="K130" s="3"/>
      <c r="L130" s="3"/>
      <c r="M130" s="3" t="str">
        <f>IF(B130="","","LIST"&amp;"_"&amp;IFERROR(VLOOKUP(B130,LOOKUPS!$K$2:$L$9,2,FALSE),"UNK")&amp;"_"&amp;IFERROR(VLOOKUP(C130,LOOKUPS!$N$2:$O$8,2,FALSE),"UNK")&amp;"_"&amp;UPPER(L130))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3">IF(M131="","",M131&amp;"_"&amp;TEXT(N131,"000"))</f>
        <v/>
      </c>
      <c r="B131" s="3"/>
      <c r="C131" s="3"/>
      <c r="D131" s="3"/>
      <c r="E131" s="3" t="s">
        <v>31</v>
      </c>
      <c r="F131" s="3"/>
      <c r="G131" s="3"/>
      <c r="H131" s="3"/>
      <c r="I131" s="3"/>
      <c r="J131" s="3"/>
      <c r="K131" s="3"/>
      <c r="L131" s="3"/>
      <c r="M131" s="3" t="str">
        <f>IF(B131="","","LIST"&amp;"_"&amp;IFERROR(VLOOKUP(B131,LOOKUPS!$K$2:$L$9,2,FALSE),"UNK")&amp;"_"&amp;IFERROR(VLOOKUP(C131,LOOKUPS!$N$2:$O$8,2,FALSE),"UNK")&amp;"_"&amp;UPPER(L131))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3"/>
        <v/>
      </c>
      <c r="B132" s="3"/>
      <c r="C132" s="3"/>
      <c r="D132" s="3"/>
      <c r="E132" s="3" t="s">
        <v>31</v>
      </c>
      <c r="F132" s="3"/>
      <c r="G132" s="3"/>
      <c r="H132" s="3"/>
      <c r="I132" s="3"/>
      <c r="J132" s="3"/>
      <c r="K132" s="3"/>
      <c r="L132" s="3"/>
      <c r="M132" s="3" t="str">
        <f>IF(B132="","","LIST"&amp;"_"&amp;IFERROR(VLOOKUP(B132,LOOKUPS!$K$2:$L$9,2,FALSE),"UNK")&amp;"_"&amp;IFERROR(VLOOKUP(C132,LOOKUPS!$N$2:$O$8,2,FALSE),"UNK")&amp;"_"&amp;UPPER(L132))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3"/>
        <v/>
      </c>
      <c r="B133" s="3"/>
      <c r="C133" s="3"/>
      <c r="D133" s="3"/>
      <c r="E133" s="3" t="s">
        <v>31</v>
      </c>
      <c r="F133" s="3"/>
      <c r="G133" s="3"/>
      <c r="H133" s="3"/>
      <c r="I133" s="3"/>
      <c r="J133" s="3"/>
      <c r="K133" s="3"/>
      <c r="L133" s="3"/>
      <c r="M133" s="3" t="str">
        <f>IF(B133="","","LIST"&amp;"_"&amp;IFERROR(VLOOKUP(B133,LOOKUPS!$K$2:$L$9,2,FALSE),"UNK")&amp;"_"&amp;IFERROR(VLOOKUP(C133,LOOKUPS!$N$2:$O$8,2,FALSE),"UNK")&amp;"_"&amp;UPPER(L133))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3"/>
        <v/>
      </c>
      <c r="B134" s="3"/>
      <c r="C134" s="3"/>
      <c r="D134" s="3"/>
      <c r="E134" s="3" t="s">
        <v>31</v>
      </c>
      <c r="F134" s="3"/>
      <c r="G134" s="3"/>
      <c r="H134" s="3"/>
      <c r="I134" s="3"/>
      <c r="J134" s="3"/>
      <c r="K134" s="3"/>
      <c r="L134" s="3"/>
      <c r="M134" s="3" t="str">
        <f>IF(B134="","","LIST"&amp;"_"&amp;IFERROR(VLOOKUP(B134,LOOKUPS!$K$2:$L$9,2,FALSE),"UNK")&amp;"_"&amp;IFERROR(VLOOKUP(C134,LOOKUPS!$N$2:$O$8,2,FALSE),"UNK")&amp;"_"&amp;UPPER(L134))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3"/>
        <v/>
      </c>
      <c r="B135" s="3"/>
      <c r="C135" s="3"/>
      <c r="D135" s="3"/>
      <c r="E135" s="3" t="s">
        <v>31</v>
      </c>
      <c r="F135" s="3"/>
      <c r="G135" s="3"/>
      <c r="H135" s="3"/>
      <c r="I135" s="3"/>
      <c r="J135" s="3"/>
      <c r="K135" s="3"/>
      <c r="L135" s="3"/>
      <c r="M135" s="3" t="str">
        <f>IF(B135="","","LIST"&amp;"_"&amp;IFERROR(VLOOKUP(B135,LOOKUPS!$K$2:$L$9,2,FALSE),"UNK")&amp;"_"&amp;IFERROR(VLOOKUP(C135,LOOKUPS!$N$2:$O$8,2,FALSE),"UNK")&amp;"_"&amp;UPPER(L135))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3"/>
        <v/>
      </c>
      <c r="B136" s="3"/>
      <c r="C136" s="3"/>
      <c r="D136" s="3"/>
      <c r="E136" s="3" t="s">
        <v>31</v>
      </c>
      <c r="F136" s="3"/>
      <c r="G136" s="3"/>
      <c r="H136" s="3"/>
      <c r="I136" s="3"/>
      <c r="J136" s="3"/>
      <c r="K136" s="3"/>
      <c r="L136" s="3"/>
      <c r="M136" s="3" t="str">
        <f>IF(B136="","","LIST"&amp;"_"&amp;IFERROR(VLOOKUP(B136,LOOKUPS!$K$2:$L$9,2,FALSE),"UNK")&amp;"_"&amp;IFERROR(VLOOKUP(C136,LOOKUPS!$N$2:$O$8,2,FALSE),"UNK")&amp;"_"&amp;UPPER(L136))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3"/>
        <v/>
      </c>
      <c r="B137" s="3"/>
      <c r="C137" s="3"/>
      <c r="D137" s="3"/>
      <c r="E137" s="3" t="s">
        <v>31</v>
      </c>
      <c r="F137" s="3"/>
      <c r="G137" s="3"/>
      <c r="H137" s="3"/>
      <c r="I137" s="3"/>
      <c r="J137" s="3"/>
      <c r="K137" s="3"/>
      <c r="L137" s="3"/>
      <c r="M137" s="3" t="str">
        <f>IF(B137="","","LIST"&amp;"_"&amp;IFERROR(VLOOKUP(B137,LOOKUPS!$K$2:$L$9,2,FALSE),"UNK")&amp;"_"&amp;IFERROR(VLOOKUP(C137,LOOKUPS!$N$2:$O$8,2,FALSE),"UNK")&amp;"_"&amp;UPPER(L137))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3"/>
        <v/>
      </c>
      <c r="B138" s="3"/>
      <c r="C138" s="3"/>
      <c r="D138" s="3"/>
      <c r="E138" s="3" t="s">
        <v>31</v>
      </c>
      <c r="F138" s="3"/>
      <c r="G138" s="3"/>
      <c r="H138" s="3"/>
      <c r="I138" s="3"/>
      <c r="J138" s="3"/>
      <c r="K138" s="3"/>
      <c r="L138" s="3"/>
      <c r="M138" s="3" t="str">
        <f>IF(B138="","","LIST"&amp;"_"&amp;IFERROR(VLOOKUP(B138,LOOKUPS!$K$2:$L$9,2,FALSE),"UNK")&amp;"_"&amp;IFERROR(VLOOKUP(C138,LOOKUPS!$N$2:$O$8,2,FALSE),"UNK")&amp;"_"&amp;UPPER(L138))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3"/>
        <v/>
      </c>
      <c r="B139" s="3"/>
      <c r="C139" s="3"/>
      <c r="D139" s="3"/>
      <c r="E139" s="3" t="s">
        <v>31</v>
      </c>
      <c r="F139" s="3"/>
      <c r="G139" s="3"/>
      <c r="H139" s="3"/>
      <c r="I139" s="3"/>
      <c r="J139" s="3"/>
      <c r="K139" s="3"/>
      <c r="L139" s="3"/>
      <c r="M139" s="3" t="str">
        <f>IF(B139="","","LIST"&amp;"_"&amp;IFERROR(VLOOKUP(B139,LOOKUPS!$K$2:$L$9,2,FALSE),"UNK")&amp;"_"&amp;IFERROR(VLOOKUP(C139,LOOKUPS!$N$2:$O$8,2,FALSE),"UNK")&amp;"_"&amp;UPPER(L139))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3"/>
        <v/>
      </c>
      <c r="B140" s="3"/>
      <c r="C140" s="3"/>
      <c r="D140" s="3"/>
      <c r="E140" s="3" t="s">
        <v>31</v>
      </c>
      <c r="F140" s="3"/>
      <c r="G140" s="3"/>
      <c r="H140" s="3"/>
      <c r="I140" s="3"/>
      <c r="J140" s="3"/>
      <c r="K140" s="3"/>
      <c r="L140" s="3"/>
      <c r="M140" s="3" t="str">
        <f>IF(B140="","","LIST"&amp;"_"&amp;IFERROR(VLOOKUP(B140,LOOKUPS!$K$2:$L$9,2,FALSE),"UNK")&amp;"_"&amp;IFERROR(VLOOKUP(C140,LOOKUPS!$N$2:$O$8,2,FALSE),"UNK")&amp;"_"&amp;UPPER(L140))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3"/>
        <v/>
      </c>
      <c r="B141" s="3"/>
      <c r="C141" s="3"/>
      <c r="D141" s="3"/>
      <c r="E141" s="3" t="s">
        <v>31</v>
      </c>
      <c r="F141" s="3"/>
      <c r="G141" s="3"/>
      <c r="H141" s="3"/>
      <c r="I141" s="3"/>
      <c r="J141" s="3"/>
      <c r="K141" s="3"/>
      <c r="L141" s="3"/>
      <c r="M141" s="3" t="str">
        <f>IF(B141="","","LIST"&amp;"_"&amp;IFERROR(VLOOKUP(B141,LOOKUPS!$K$2:$L$9,2,FALSE),"UNK")&amp;"_"&amp;IFERROR(VLOOKUP(C141,LOOKUPS!$N$2:$O$8,2,FALSE),"UNK")&amp;"_"&amp;UPPER(L141))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3"/>
        <v/>
      </c>
      <c r="B142" s="3"/>
      <c r="C142" s="3"/>
      <c r="D142" s="3"/>
      <c r="E142" s="3" t="s">
        <v>31</v>
      </c>
      <c r="F142" s="3"/>
      <c r="G142" s="3"/>
      <c r="H142" s="3"/>
      <c r="I142" s="3"/>
      <c r="J142" s="3"/>
      <c r="K142" s="3"/>
      <c r="L142" s="3"/>
      <c r="M142" s="3" t="str">
        <f>IF(B142="","","LIST"&amp;"_"&amp;IFERROR(VLOOKUP(B142,LOOKUPS!$K$2:$L$9,2,FALSE),"UNK")&amp;"_"&amp;IFERROR(VLOOKUP(C142,LOOKUPS!$N$2:$O$8,2,FALSE),"UNK")&amp;"_"&amp;UPPER(L142))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3"/>
        <v/>
      </c>
      <c r="B143" s="3"/>
      <c r="C143" s="3"/>
      <c r="D143" s="3"/>
      <c r="E143" s="3" t="s">
        <v>31</v>
      </c>
      <c r="F143" s="3"/>
      <c r="G143" s="3"/>
      <c r="H143" s="3"/>
      <c r="I143" s="3"/>
      <c r="J143" s="3"/>
      <c r="K143" s="3"/>
      <c r="L143" s="3"/>
      <c r="M143" s="3" t="str">
        <f>IF(B143="","","LIST"&amp;"_"&amp;IFERROR(VLOOKUP(B143,LOOKUPS!$K$2:$L$9,2,FALSE),"UNK")&amp;"_"&amp;IFERROR(VLOOKUP(C143,LOOKUPS!$N$2:$O$8,2,FALSE),"UNK")&amp;"_"&amp;UPPER(L143))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3"/>
        <v/>
      </c>
      <c r="B144" s="3"/>
      <c r="C144" s="3"/>
      <c r="D144" s="3"/>
      <c r="E144" s="3" t="s">
        <v>31</v>
      </c>
      <c r="F144" s="3"/>
      <c r="G144" s="3"/>
      <c r="H144" s="3"/>
      <c r="I144" s="3"/>
      <c r="J144" s="3"/>
      <c r="K144" s="3"/>
      <c r="L144" s="3"/>
      <c r="M144" s="3" t="str">
        <f>IF(B144="","","LIST"&amp;"_"&amp;IFERROR(VLOOKUP(B144,LOOKUPS!$K$2:$L$9,2,FALSE),"UNK")&amp;"_"&amp;IFERROR(VLOOKUP(C144,LOOKUPS!$N$2:$O$8,2,FALSE),"UNK")&amp;"_"&amp;UPPER(L144))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3"/>
        <v/>
      </c>
      <c r="B145" s="3"/>
      <c r="C145" s="3"/>
      <c r="D145" s="3"/>
      <c r="E145" s="3" t="s">
        <v>31</v>
      </c>
      <c r="F145" s="3"/>
      <c r="G145" s="3"/>
      <c r="H145" s="3"/>
      <c r="I145" s="3"/>
      <c r="J145" s="3"/>
      <c r="K145" s="3"/>
      <c r="L145" s="3"/>
      <c r="M145" s="3" t="str">
        <f>IF(B145="","","LIST"&amp;"_"&amp;IFERROR(VLOOKUP(B145,LOOKUPS!$K$2:$L$9,2,FALSE),"UNK")&amp;"_"&amp;IFERROR(VLOOKUP(C145,LOOKUPS!$N$2:$O$8,2,FALSE),"UNK")&amp;"_"&amp;UPPER(L145))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3"/>
        <v/>
      </c>
      <c r="B146" s="3"/>
      <c r="C146" s="3"/>
      <c r="D146" s="3"/>
      <c r="E146" s="3" t="s">
        <v>31</v>
      </c>
      <c r="F146" s="3"/>
      <c r="G146" s="3"/>
      <c r="H146" s="3"/>
      <c r="I146" s="3"/>
      <c r="J146" s="3"/>
      <c r="K146" s="3"/>
      <c r="L146" s="3"/>
      <c r="M146" s="3" t="str">
        <f>IF(B146="","","LIST"&amp;"_"&amp;IFERROR(VLOOKUP(B146,LOOKUPS!$K$2:$L$9,2,FALSE),"UNK")&amp;"_"&amp;IFERROR(VLOOKUP(C146,LOOKUPS!$N$2:$O$8,2,FALSE),"UNK")&amp;"_"&amp;UPPER(L146))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3"/>
        <v/>
      </c>
      <c r="B147" s="3"/>
      <c r="C147" s="3"/>
      <c r="D147" s="3"/>
      <c r="E147" s="3" t="s">
        <v>31</v>
      </c>
      <c r="F147" s="3"/>
      <c r="G147" s="3"/>
      <c r="H147" s="3"/>
      <c r="I147" s="3"/>
      <c r="J147" s="3"/>
      <c r="K147" s="3"/>
      <c r="L147" s="3"/>
      <c r="M147" s="3" t="str">
        <f>IF(B147="","","LIST"&amp;"_"&amp;IFERROR(VLOOKUP(B147,LOOKUPS!$K$2:$L$9,2,FALSE),"UNK")&amp;"_"&amp;IFERROR(VLOOKUP(C147,LOOKUPS!$N$2:$O$8,2,FALSE),"UNK")&amp;"_"&amp;UPPER(L147))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3"/>
        <v/>
      </c>
      <c r="B148" s="3"/>
      <c r="C148" s="3"/>
      <c r="D148" s="3"/>
      <c r="E148" s="3" t="s">
        <v>31</v>
      </c>
      <c r="F148" s="3"/>
      <c r="G148" s="3"/>
      <c r="H148" s="3"/>
      <c r="I148" s="3"/>
      <c r="J148" s="3"/>
      <c r="K148" s="3"/>
      <c r="L148" s="3"/>
      <c r="M148" s="3" t="str">
        <f>IF(B148="","","LIST"&amp;"_"&amp;IFERROR(VLOOKUP(B148,LOOKUPS!$K$2:$L$9,2,FALSE),"UNK")&amp;"_"&amp;IFERROR(VLOOKUP(C148,LOOKUPS!$N$2:$O$8,2,FALSE),"UNK")&amp;"_"&amp;UPPER(L148))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3"/>
        <v/>
      </c>
      <c r="B149" s="3"/>
      <c r="C149" s="3"/>
      <c r="D149" s="3"/>
      <c r="E149" s="3" t="s">
        <v>31</v>
      </c>
      <c r="F149" s="3"/>
      <c r="G149" s="3"/>
      <c r="H149" s="3"/>
      <c r="I149" s="3"/>
      <c r="J149" s="3"/>
      <c r="K149" s="3"/>
      <c r="L149" s="3"/>
      <c r="M149" s="3" t="str">
        <f>IF(B149="","","LIST"&amp;"_"&amp;IFERROR(VLOOKUP(B149,LOOKUPS!$K$2:$L$9,2,FALSE),"UNK")&amp;"_"&amp;IFERROR(VLOOKUP(C149,LOOKUPS!$N$2:$O$8,2,FALSE),"UNK")&amp;"_"&amp;UPPER(L149))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3"/>
        <v/>
      </c>
      <c r="B150" s="3"/>
      <c r="C150" s="3"/>
      <c r="D150" s="3"/>
      <c r="E150" s="3" t="s">
        <v>31</v>
      </c>
      <c r="F150" s="3"/>
      <c r="G150" s="3"/>
      <c r="H150" s="3"/>
      <c r="I150" s="3"/>
      <c r="J150" s="3"/>
      <c r="K150" s="3"/>
      <c r="L150" s="3"/>
      <c r="M150" s="3" t="str">
        <f>IF(B150="","","LIST"&amp;"_"&amp;IFERROR(VLOOKUP(B150,LOOKUPS!$K$2:$L$9,2,FALSE),"UNK")&amp;"_"&amp;IFERROR(VLOOKUP(C150,LOOKUPS!$N$2:$O$8,2,FALSE),"UNK")&amp;"_"&amp;UPPER(L150))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3"/>
        <v/>
      </c>
      <c r="B151" s="3"/>
      <c r="C151" s="3"/>
      <c r="D151" s="3"/>
      <c r="E151" s="3" t="s">
        <v>31</v>
      </c>
      <c r="F151" s="3"/>
      <c r="G151" s="3"/>
      <c r="H151" s="3"/>
      <c r="I151" s="3"/>
      <c r="J151" s="3"/>
      <c r="K151" s="3"/>
      <c r="L151" s="3"/>
      <c r="M151" s="3" t="str">
        <f>IF(B151="","","LIST"&amp;"_"&amp;IFERROR(VLOOKUP(B151,LOOKUPS!$K$2:$L$9,2,FALSE),"UNK")&amp;"_"&amp;IFERROR(VLOOKUP(C151,LOOKUPS!$N$2:$O$8,2,FALSE),"UNK")&amp;"_"&amp;UPPER(L151))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3"/>
        <v/>
      </c>
      <c r="B152" s="3"/>
      <c r="C152" s="3"/>
      <c r="D152" s="3"/>
      <c r="E152" s="3" t="s">
        <v>31</v>
      </c>
      <c r="F152" s="3"/>
      <c r="G152" s="3"/>
      <c r="H152" s="3"/>
      <c r="I152" s="3"/>
      <c r="J152" s="3"/>
      <c r="K152" s="3"/>
      <c r="L152" s="3"/>
      <c r="M152" s="3" t="str">
        <f>IF(B152="","","LIST"&amp;"_"&amp;IFERROR(VLOOKUP(B152,LOOKUPS!$K$2:$L$9,2,FALSE),"UNK")&amp;"_"&amp;IFERROR(VLOOKUP(C152,LOOKUPS!$N$2:$O$8,2,FALSE),"UNK")&amp;"_"&amp;UPPER(L152))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3"/>
        <v/>
      </c>
      <c r="B153" s="3"/>
      <c r="C153" s="3"/>
      <c r="D153" s="3"/>
      <c r="E153" s="3" t="s">
        <v>31</v>
      </c>
      <c r="F153" s="3"/>
      <c r="G153" s="3"/>
      <c r="H153" s="3"/>
      <c r="I153" s="3"/>
      <c r="J153" s="3"/>
      <c r="K153" s="3"/>
      <c r="L153" s="3"/>
      <c r="M153" s="3" t="str">
        <f>IF(B153="","","LIST"&amp;"_"&amp;IFERROR(VLOOKUP(B153,LOOKUPS!$K$2:$L$9,2,FALSE),"UNK")&amp;"_"&amp;IFERROR(VLOOKUP(C153,LOOKUPS!$N$2:$O$8,2,FALSE),"UNK")&amp;"_"&amp;UPPER(L153))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3"/>
        <v/>
      </c>
      <c r="B154" s="3"/>
      <c r="C154" s="3"/>
      <c r="D154" s="3"/>
      <c r="E154" s="3" t="s">
        <v>31</v>
      </c>
      <c r="F154" s="3"/>
      <c r="G154" s="3"/>
      <c r="H154" s="3"/>
      <c r="I154" s="3"/>
      <c r="J154" s="3"/>
      <c r="K154" s="3"/>
      <c r="L154" s="3"/>
      <c r="M154" s="3" t="str">
        <f>IF(B154="","","LIST"&amp;"_"&amp;IFERROR(VLOOKUP(B154,LOOKUPS!$K$2:$L$9,2,FALSE),"UNK")&amp;"_"&amp;IFERROR(VLOOKUP(C154,LOOKUPS!$N$2:$O$8,2,FALSE),"UNK")&amp;"_"&amp;UPPER(L154))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3"/>
        <v/>
      </c>
      <c r="B155" s="3"/>
      <c r="C155" s="3"/>
      <c r="D155" s="3"/>
      <c r="E155" s="3" t="s">
        <v>31</v>
      </c>
      <c r="F155" s="3"/>
      <c r="G155" s="3"/>
      <c r="H155" s="3"/>
      <c r="I155" s="3"/>
      <c r="J155" s="3"/>
      <c r="K155" s="3"/>
      <c r="L155" s="3"/>
      <c r="M155" s="3" t="str">
        <f>IF(B155="","","LIST"&amp;"_"&amp;IFERROR(VLOOKUP(B155,LOOKUPS!$K$2:$L$9,2,FALSE),"UNK")&amp;"_"&amp;IFERROR(VLOOKUP(C155,LOOKUPS!$N$2:$O$8,2,FALSE),"UNK")&amp;"_"&amp;UPPER(L155))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3"/>
        <v/>
      </c>
      <c r="B156" s="3"/>
      <c r="C156" s="3"/>
      <c r="D156" s="3"/>
      <c r="E156" s="3" t="s">
        <v>31</v>
      </c>
      <c r="F156" s="3"/>
      <c r="G156" s="3"/>
      <c r="H156" s="3"/>
      <c r="I156" s="3"/>
      <c r="J156" s="3"/>
      <c r="K156" s="3"/>
      <c r="L156" s="3"/>
      <c r="M156" s="3" t="str">
        <f>IF(B156="","","LIST"&amp;"_"&amp;IFERROR(VLOOKUP(B156,LOOKUPS!$K$2:$L$9,2,FALSE),"UNK")&amp;"_"&amp;IFERROR(VLOOKUP(C156,LOOKUPS!$N$2:$O$8,2,FALSE),"UNK")&amp;"_"&amp;UPPER(L156))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3"/>
        <v/>
      </c>
      <c r="B157" s="3"/>
      <c r="C157" s="3"/>
      <c r="D157" s="3"/>
      <c r="E157" s="3" t="s">
        <v>31</v>
      </c>
      <c r="F157" s="3"/>
      <c r="G157" s="3"/>
      <c r="H157" s="3"/>
      <c r="I157" s="3"/>
      <c r="J157" s="3"/>
      <c r="K157" s="3"/>
      <c r="L157" s="3"/>
      <c r="M157" s="3" t="str">
        <f>IF(B157="","","LIST"&amp;"_"&amp;IFERROR(VLOOKUP(B157,LOOKUPS!$K$2:$L$9,2,FALSE),"UNK")&amp;"_"&amp;IFERROR(VLOOKUP(C157,LOOKUPS!$N$2:$O$8,2,FALSE),"UNK")&amp;"_"&amp;UPPER(L157))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3"/>
        <v/>
      </c>
      <c r="B158" s="3"/>
      <c r="C158" s="3"/>
      <c r="D158" s="3"/>
      <c r="E158" s="3" t="s">
        <v>31</v>
      </c>
      <c r="F158" s="3"/>
      <c r="G158" s="3"/>
      <c r="H158" s="3"/>
      <c r="I158" s="3"/>
      <c r="J158" s="3"/>
      <c r="K158" s="3"/>
      <c r="L158" s="3"/>
      <c r="M158" s="3" t="str">
        <f>IF(B158="","","LIST"&amp;"_"&amp;IFERROR(VLOOKUP(B158,LOOKUPS!$K$2:$L$9,2,FALSE),"UNK")&amp;"_"&amp;IFERROR(VLOOKUP(C158,LOOKUPS!$N$2:$O$8,2,FALSE),"UNK")&amp;"_"&amp;UPPER(L158))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3"/>
        <v/>
      </c>
      <c r="B159" s="3"/>
      <c r="C159" s="3"/>
      <c r="D159" s="3"/>
      <c r="E159" s="3" t="s">
        <v>31</v>
      </c>
      <c r="F159" s="3"/>
      <c r="G159" s="3"/>
      <c r="H159" s="3"/>
      <c r="I159" s="3"/>
      <c r="J159" s="3"/>
      <c r="K159" s="3"/>
      <c r="L159" s="3"/>
      <c r="M159" s="3" t="str">
        <f>IF(B159="","","LIST"&amp;"_"&amp;IFERROR(VLOOKUP(B159,LOOKUPS!$K$2:$L$9,2,FALSE),"UNK")&amp;"_"&amp;IFERROR(VLOOKUP(C159,LOOKUPS!$N$2:$O$8,2,FALSE),"UNK")&amp;"_"&amp;UPPER(L159))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3"/>
        <v/>
      </c>
      <c r="B160" s="3"/>
      <c r="C160" s="3"/>
      <c r="D160" s="3"/>
      <c r="E160" s="3" t="s">
        <v>31</v>
      </c>
      <c r="F160" s="3"/>
      <c r="G160" s="3"/>
      <c r="H160" s="3"/>
      <c r="I160" s="3"/>
      <c r="J160" s="3"/>
      <c r="K160" s="3"/>
      <c r="L160" s="3"/>
      <c r="M160" s="3" t="str">
        <f>IF(B160="","","LIST"&amp;"_"&amp;IFERROR(VLOOKUP(B160,LOOKUPS!$K$2:$L$9,2,FALSE),"UNK")&amp;"_"&amp;IFERROR(VLOOKUP(C160,LOOKUPS!$N$2:$O$8,2,FALSE),"UNK")&amp;"_"&amp;UPPER(L160))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3"/>
        <v/>
      </c>
      <c r="B161" s="3"/>
      <c r="C161" s="3"/>
      <c r="D161" s="3"/>
      <c r="E161" s="3" t="s">
        <v>31</v>
      </c>
      <c r="F161" s="3"/>
      <c r="G161" s="3"/>
      <c r="H161" s="3"/>
      <c r="I161" s="3"/>
      <c r="J161" s="3"/>
      <c r="K161" s="3"/>
      <c r="L161" s="3"/>
      <c r="M161" s="3" t="str">
        <f>IF(B161="","","LIST"&amp;"_"&amp;IFERROR(VLOOKUP(B161,LOOKUPS!$K$2:$L$9,2,FALSE),"UNK")&amp;"_"&amp;IFERROR(VLOOKUP(C161,LOOKUPS!$N$2:$O$8,2,FALSE),"UNK")&amp;"_"&amp;UPPER(L161))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3"/>
        <v/>
      </c>
      <c r="B162" s="3"/>
      <c r="C162" s="3"/>
      <c r="D162" s="3"/>
      <c r="E162" s="3" t="s">
        <v>31</v>
      </c>
      <c r="F162" s="3"/>
      <c r="G162" s="3"/>
      <c r="H162" s="3"/>
      <c r="I162" s="3"/>
      <c r="J162" s="3"/>
      <c r="K162" s="3"/>
      <c r="L162" s="3"/>
      <c r="M162" s="3" t="str">
        <f>IF(B162="","","LIST"&amp;"_"&amp;IFERROR(VLOOKUP(B162,LOOKUPS!$K$2:$L$9,2,FALSE),"UNK")&amp;"_"&amp;IFERROR(VLOOKUP(C162,LOOKUPS!$N$2:$O$8,2,FALSE),"UNK")&amp;"_"&amp;UPPER(L162))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3"/>
        <v/>
      </c>
      <c r="B163" s="3"/>
      <c r="C163" s="3"/>
      <c r="D163" s="3"/>
      <c r="E163" s="3" t="s">
        <v>31</v>
      </c>
      <c r="F163" s="3"/>
      <c r="G163" s="3"/>
      <c r="H163" s="3"/>
      <c r="I163" s="3"/>
      <c r="J163" s="3"/>
      <c r="K163" s="3"/>
      <c r="L163" s="3"/>
      <c r="M163" s="3" t="str">
        <f>IF(B163="","","LIST"&amp;"_"&amp;IFERROR(VLOOKUP(B163,LOOKUPS!$K$2:$L$9,2,FALSE),"UNK")&amp;"_"&amp;IFERROR(VLOOKUP(C163,LOOKUPS!$N$2:$O$8,2,FALSE),"UNK")&amp;"_"&amp;UPPER(L163))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3"/>
        <v/>
      </c>
      <c r="B164" s="3"/>
      <c r="C164" s="3"/>
      <c r="D164" s="3"/>
      <c r="E164" s="3" t="s">
        <v>31</v>
      </c>
      <c r="F164" s="3"/>
      <c r="G164" s="3"/>
      <c r="H164" s="3"/>
      <c r="I164" s="3"/>
      <c r="J164" s="3"/>
      <c r="K164" s="3"/>
      <c r="L164" s="3"/>
      <c r="M164" s="3" t="str">
        <f>IF(B164="","","LIST"&amp;"_"&amp;IFERROR(VLOOKUP(B164,LOOKUPS!$K$2:$L$9,2,FALSE),"UNK")&amp;"_"&amp;IFERROR(VLOOKUP(C164,LOOKUPS!$N$2:$O$8,2,FALSE),"UNK")&amp;"_"&amp;UPPER(L164))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3"/>
        <v/>
      </c>
      <c r="B165" s="3"/>
      <c r="C165" s="3"/>
      <c r="D165" s="3"/>
      <c r="E165" s="3" t="s">
        <v>31</v>
      </c>
      <c r="F165" s="3"/>
      <c r="G165" s="3"/>
      <c r="H165" s="3"/>
      <c r="I165" s="3"/>
      <c r="J165" s="3"/>
      <c r="K165" s="3"/>
      <c r="L165" s="3"/>
      <c r="M165" s="3" t="str">
        <f>IF(B165="","","LIST"&amp;"_"&amp;IFERROR(VLOOKUP(B165,LOOKUPS!$K$2:$L$9,2,FALSE),"UNK")&amp;"_"&amp;IFERROR(VLOOKUP(C165,LOOKUPS!$N$2:$O$8,2,FALSE),"UNK")&amp;"_"&amp;UPPER(L165))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3"/>
        <v/>
      </c>
      <c r="B166" s="3"/>
      <c r="C166" s="3"/>
      <c r="D166" s="3"/>
      <c r="E166" s="3" t="s">
        <v>31</v>
      </c>
      <c r="F166" s="3"/>
      <c r="G166" s="3"/>
      <c r="H166" s="3"/>
      <c r="I166" s="3"/>
      <c r="J166" s="3"/>
      <c r="K166" s="3"/>
      <c r="L166" s="3"/>
      <c r="M166" s="3" t="str">
        <f>IF(B166="","","LIST"&amp;"_"&amp;IFERROR(VLOOKUP(B166,LOOKUPS!$K$2:$L$9,2,FALSE),"UNK")&amp;"_"&amp;IFERROR(VLOOKUP(C166,LOOKUPS!$N$2:$O$8,2,FALSE),"UNK")&amp;"_"&amp;UPPER(L166))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3"/>
        <v/>
      </c>
      <c r="B167" s="3"/>
      <c r="C167" s="3"/>
      <c r="D167" s="3"/>
      <c r="E167" s="3" t="s">
        <v>31</v>
      </c>
      <c r="F167" s="3"/>
      <c r="G167" s="3"/>
      <c r="H167" s="3"/>
      <c r="I167" s="3"/>
      <c r="J167" s="3"/>
      <c r="K167" s="3"/>
      <c r="L167" s="3"/>
      <c r="M167" s="3" t="str">
        <f>IF(B167="","","LIST"&amp;"_"&amp;IFERROR(VLOOKUP(B167,LOOKUPS!$K$2:$L$9,2,FALSE),"UNK")&amp;"_"&amp;IFERROR(VLOOKUP(C167,LOOKUPS!$N$2:$O$8,2,FALSE),"UNK")&amp;"_"&amp;UPPER(L167))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3"/>
        <v/>
      </c>
      <c r="B168" s="3"/>
      <c r="C168" s="3"/>
      <c r="D168" s="3"/>
      <c r="E168" s="3" t="s">
        <v>31</v>
      </c>
      <c r="F168" s="3"/>
      <c r="G168" s="3"/>
      <c r="H168" s="3"/>
      <c r="I168" s="3"/>
      <c r="J168" s="3"/>
      <c r="K168" s="3"/>
      <c r="L168" s="3"/>
      <c r="M168" s="3" t="str">
        <f>IF(B168="","","LIST"&amp;"_"&amp;IFERROR(VLOOKUP(B168,LOOKUPS!$K$2:$L$9,2,FALSE),"UNK")&amp;"_"&amp;IFERROR(VLOOKUP(C168,LOOKUPS!$N$2:$O$8,2,FALSE),"UNK")&amp;"_"&amp;UPPER(L168))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3"/>
        <v/>
      </c>
      <c r="B169" s="3"/>
      <c r="C169" s="3"/>
      <c r="D169" s="3"/>
      <c r="E169" s="3" t="s">
        <v>31</v>
      </c>
      <c r="F169" s="3"/>
      <c r="G169" s="3"/>
      <c r="H169" s="3"/>
      <c r="I169" s="3"/>
      <c r="J169" s="3"/>
      <c r="K169" s="3"/>
      <c r="L169" s="3"/>
      <c r="M169" s="3" t="str">
        <f>IF(B169="","","LIST"&amp;"_"&amp;IFERROR(VLOOKUP(B169,LOOKUPS!$K$2:$L$9,2,FALSE),"UNK")&amp;"_"&amp;IFERROR(VLOOKUP(C169,LOOKUPS!$N$2:$O$8,2,FALSE),"UNK")&amp;"_"&amp;UPPER(L169))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3"/>
        <v/>
      </c>
      <c r="B170" s="3"/>
      <c r="C170" s="3"/>
      <c r="D170" s="3"/>
      <c r="E170" s="3" t="s">
        <v>31</v>
      </c>
      <c r="F170" s="3"/>
      <c r="G170" s="3"/>
      <c r="H170" s="3"/>
      <c r="I170" s="3"/>
      <c r="J170" s="3"/>
      <c r="K170" s="3"/>
      <c r="L170" s="3"/>
      <c r="M170" s="3" t="str">
        <f>IF(B170="","","LIST"&amp;"_"&amp;IFERROR(VLOOKUP(B170,LOOKUPS!$K$2:$L$9,2,FALSE),"UNK")&amp;"_"&amp;IFERROR(VLOOKUP(C170,LOOKUPS!$N$2:$O$8,2,FALSE),"UNK")&amp;"_"&amp;UPPER(L170))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3"/>
        <v/>
      </c>
      <c r="B171" s="3"/>
      <c r="C171" s="3"/>
      <c r="D171" s="3"/>
      <c r="E171" s="3" t="s">
        <v>31</v>
      </c>
      <c r="F171" s="3"/>
      <c r="G171" s="3"/>
      <c r="H171" s="3"/>
      <c r="I171" s="3"/>
      <c r="J171" s="3"/>
      <c r="K171" s="3"/>
      <c r="L171" s="3"/>
      <c r="M171" s="3" t="str">
        <f>IF(B171="","","LIST"&amp;"_"&amp;IFERROR(VLOOKUP(B171,LOOKUPS!$K$2:$L$9,2,FALSE),"UNK")&amp;"_"&amp;IFERROR(VLOOKUP(C171,LOOKUPS!$N$2:$O$8,2,FALSE),"UNK")&amp;"_"&amp;UPPER(L171))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3"/>
        <v/>
      </c>
      <c r="B172" s="3"/>
      <c r="C172" s="3"/>
      <c r="D172" s="3"/>
      <c r="E172" s="3" t="s">
        <v>31</v>
      </c>
      <c r="F172" s="3"/>
      <c r="G172" s="3"/>
      <c r="H172" s="3"/>
      <c r="I172" s="3"/>
      <c r="J172" s="3"/>
      <c r="K172" s="3"/>
      <c r="L172" s="3"/>
      <c r="M172" s="3" t="str">
        <f>IF(B172="","","LIST"&amp;"_"&amp;IFERROR(VLOOKUP(B172,LOOKUPS!$K$2:$L$9,2,FALSE),"UNK")&amp;"_"&amp;IFERROR(VLOOKUP(C172,LOOKUPS!$N$2:$O$8,2,FALSE),"UNK")&amp;"_"&amp;UPPER(L172))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3"/>
        <v/>
      </c>
      <c r="B173" s="3"/>
      <c r="C173" s="3"/>
      <c r="D173" s="3"/>
      <c r="E173" s="3" t="s">
        <v>31</v>
      </c>
      <c r="F173" s="3"/>
      <c r="G173" s="3"/>
      <c r="H173" s="3"/>
      <c r="I173" s="3"/>
      <c r="J173" s="3"/>
      <c r="K173" s="3"/>
      <c r="L173" s="3"/>
      <c r="M173" s="3" t="str">
        <f>IF(B173="","","LIST"&amp;"_"&amp;IFERROR(VLOOKUP(B173,LOOKUPS!$K$2:$L$9,2,FALSE),"UNK")&amp;"_"&amp;IFERROR(VLOOKUP(C173,LOOKUPS!$N$2:$O$8,2,FALSE),"UNK")&amp;"_"&amp;UPPER(L173))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3"/>
        <v/>
      </c>
      <c r="B174" s="3"/>
      <c r="C174" s="3"/>
      <c r="D174" s="3"/>
      <c r="E174" s="3" t="s">
        <v>31</v>
      </c>
      <c r="F174" s="3"/>
      <c r="G174" s="3"/>
      <c r="H174" s="3"/>
      <c r="I174" s="3"/>
      <c r="J174" s="3"/>
      <c r="K174" s="3"/>
      <c r="L174" s="3"/>
      <c r="M174" s="3" t="str">
        <f>IF(B174="","","LIST"&amp;"_"&amp;IFERROR(VLOOKUP(B174,LOOKUPS!$K$2:$L$9,2,FALSE),"UNK")&amp;"_"&amp;IFERROR(VLOOKUP(C174,LOOKUPS!$N$2:$O$8,2,FALSE),"UNK")&amp;"_"&amp;UPPER(L174))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3"/>
        <v/>
      </c>
      <c r="B175" s="3"/>
      <c r="C175" s="3"/>
      <c r="D175" s="3"/>
      <c r="E175" s="3" t="s">
        <v>31</v>
      </c>
      <c r="F175" s="3"/>
      <c r="G175" s="3"/>
      <c r="H175" s="3"/>
      <c r="I175" s="3"/>
      <c r="J175" s="3"/>
      <c r="K175" s="3"/>
      <c r="L175" s="3"/>
      <c r="M175" s="3" t="str">
        <f>IF(B175="","","LIST"&amp;"_"&amp;IFERROR(VLOOKUP(B175,LOOKUPS!$K$2:$L$9,2,FALSE),"UNK")&amp;"_"&amp;IFERROR(VLOOKUP(C175,LOOKUPS!$N$2:$O$8,2,FALSE),"UNK")&amp;"_"&amp;UPPER(L175))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3"/>
        <v/>
      </c>
      <c r="B176" s="3"/>
      <c r="C176" s="3"/>
      <c r="D176" s="3"/>
      <c r="E176" s="3" t="s">
        <v>31</v>
      </c>
      <c r="F176" s="3"/>
      <c r="G176" s="3"/>
      <c r="H176" s="3"/>
      <c r="I176" s="3"/>
      <c r="J176" s="3"/>
      <c r="K176" s="3"/>
      <c r="L176" s="3"/>
      <c r="M176" s="3" t="str">
        <f>IF(B176="","","LIST"&amp;"_"&amp;IFERROR(VLOOKUP(B176,LOOKUPS!$K$2:$L$9,2,FALSE),"UNK")&amp;"_"&amp;IFERROR(VLOOKUP(C176,LOOKUPS!$N$2:$O$8,2,FALSE),"UNK")&amp;"_"&amp;UPPER(L176))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3"/>
        <v/>
      </c>
      <c r="B177" s="3"/>
      <c r="C177" s="3"/>
      <c r="D177" s="3"/>
      <c r="E177" s="3" t="s">
        <v>31</v>
      </c>
      <c r="F177" s="3"/>
      <c r="G177" s="3"/>
      <c r="H177" s="3"/>
      <c r="I177" s="3"/>
      <c r="J177" s="3"/>
      <c r="K177" s="3"/>
      <c r="L177" s="3"/>
      <c r="M177" s="3" t="str">
        <f>IF(B177="","","LIST"&amp;"_"&amp;IFERROR(VLOOKUP(B177,LOOKUPS!$K$2:$L$9,2,FALSE),"UNK")&amp;"_"&amp;IFERROR(VLOOKUP(C177,LOOKUPS!$N$2:$O$8,2,FALSE),"UNK")&amp;"_"&amp;UPPER(L177))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3"/>
        <v/>
      </c>
      <c r="B178" s="3"/>
      <c r="C178" s="3"/>
      <c r="D178" s="3"/>
      <c r="E178" s="3" t="s">
        <v>31</v>
      </c>
      <c r="F178" s="3"/>
      <c r="G178" s="3"/>
      <c r="H178" s="3"/>
      <c r="I178" s="3"/>
      <c r="J178" s="3"/>
      <c r="K178" s="3"/>
      <c r="L178" s="3"/>
      <c r="M178" s="3" t="str">
        <f>IF(B178="","","LIST"&amp;"_"&amp;IFERROR(VLOOKUP(B178,LOOKUPS!$K$2:$L$9,2,FALSE),"UNK")&amp;"_"&amp;IFERROR(VLOOKUP(C178,LOOKUPS!$N$2:$O$8,2,FALSE),"UNK")&amp;"_"&amp;UPPER(L178))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3"/>
        <v/>
      </c>
      <c r="B179" s="3"/>
      <c r="C179" s="3"/>
      <c r="D179" s="3"/>
      <c r="E179" s="3" t="s">
        <v>31</v>
      </c>
      <c r="F179" s="3"/>
      <c r="G179" s="3"/>
      <c r="H179" s="3"/>
      <c r="I179" s="3"/>
      <c r="J179" s="3"/>
      <c r="K179" s="3"/>
      <c r="L179" s="3"/>
      <c r="M179" s="3" t="str">
        <f>IF(B179="","","LIST"&amp;"_"&amp;IFERROR(VLOOKUP(B179,LOOKUPS!$K$2:$L$9,2,FALSE),"UNK")&amp;"_"&amp;IFERROR(VLOOKUP(C179,LOOKUPS!$N$2:$O$8,2,FALSE),"UNK")&amp;"_"&amp;UPPER(L179))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3"/>
        <v/>
      </c>
      <c r="B180" s="3"/>
      <c r="C180" s="3"/>
      <c r="D180" s="3"/>
      <c r="E180" s="3" t="s">
        <v>31</v>
      </c>
      <c r="F180" s="3"/>
      <c r="G180" s="3"/>
      <c r="H180" s="3"/>
      <c r="I180" s="3"/>
      <c r="J180" s="3"/>
      <c r="K180" s="3"/>
      <c r="L180" s="3"/>
      <c r="M180" s="3" t="str">
        <f>IF(B180="","","LIST"&amp;"_"&amp;IFERROR(VLOOKUP(B180,LOOKUPS!$K$2:$L$9,2,FALSE),"UNK")&amp;"_"&amp;IFERROR(VLOOKUP(C180,LOOKUPS!$N$2:$O$8,2,FALSE),"UNK")&amp;"_"&amp;UPPER(L180))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3"/>
        <v/>
      </c>
      <c r="B181" s="3"/>
      <c r="C181" s="3"/>
      <c r="D181" s="3"/>
      <c r="E181" s="3" t="s">
        <v>31</v>
      </c>
      <c r="F181" s="3"/>
      <c r="G181" s="3"/>
      <c r="H181" s="3"/>
      <c r="I181" s="3"/>
      <c r="J181" s="3"/>
      <c r="K181" s="3"/>
      <c r="L181" s="3"/>
      <c r="M181" s="3" t="str">
        <f>IF(B181="","","LIST"&amp;"_"&amp;IFERROR(VLOOKUP(B181,LOOKUPS!$K$2:$L$9,2,FALSE),"UNK")&amp;"_"&amp;IFERROR(VLOOKUP(C181,LOOKUPS!$N$2:$O$8,2,FALSE),"UNK")&amp;"_"&amp;UPPER(L181))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3"/>
        <v/>
      </c>
      <c r="B182" s="3"/>
      <c r="C182" s="3"/>
      <c r="D182" s="3"/>
      <c r="E182" s="3" t="s">
        <v>31</v>
      </c>
      <c r="F182" s="3"/>
      <c r="G182" s="3"/>
      <c r="H182" s="3"/>
      <c r="I182" s="3"/>
      <c r="J182" s="3"/>
      <c r="K182" s="3"/>
      <c r="L182" s="3"/>
      <c r="M182" s="3" t="str">
        <f>IF(B182="","","LIST"&amp;"_"&amp;IFERROR(VLOOKUP(B182,LOOKUPS!$K$2:$L$9,2,FALSE),"UNK")&amp;"_"&amp;IFERROR(VLOOKUP(C182,LOOKUPS!$N$2:$O$8,2,FALSE),"UNK")&amp;"_"&amp;UPPER(L182))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3"/>
        <v/>
      </c>
      <c r="B183" s="3"/>
      <c r="C183" s="3"/>
      <c r="D183" s="3"/>
      <c r="E183" s="3" t="s">
        <v>31</v>
      </c>
      <c r="F183" s="3"/>
      <c r="G183" s="3"/>
      <c r="H183" s="3"/>
      <c r="I183" s="3"/>
      <c r="J183" s="3"/>
      <c r="K183" s="3"/>
      <c r="L183" s="3"/>
      <c r="M183" s="3" t="str">
        <f>IF(B183="","","LIST"&amp;"_"&amp;IFERROR(VLOOKUP(B183,LOOKUPS!$K$2:$L$9,2,FALSE),"UNK")&amp;"_"&amp;IFERROR(VLOOKUP(C183,LOOKUPS!$N$2:$O$8,2,FALSE),"UNK")&amp;"_"&amp;UPPER(L183))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3"/>
        <v/>
      </c>
      <c r="B184" s="3"/>
      <c r="C184" s="3"/>
      <c r="D184" s="3"/>
      <c r="E184" s="3" t="s">
        <v>31</v>
      </c>
      <c r="F184" s="3"/>
      <c r="G184" s="3"/>
      <c r="H184" s="3"/>
      <c r="I184" s="3"/>
      <c r="J184" s="3"/>
      <c r="K184" s="3"/>
      <c r="L184" s="3"/>
      <c r="M184" s="3" t="str">
        <f>IF(B184="","","LIST"&amp;"_"&amp;IFERROR(VLOOKUP(B184,LOOKUPS!$K$2:$L$9,2,FALSE),"UNK")&amp;"_"&amp;IFERROR(VLOOKUP(C184,LOOKUPS!$N$2:$O$8,2,FALSE),"UNK")&amp;"_"&amp;UPPER(L184))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3"/>
        <v/>
      </c>
      <c r="B185" s="3"/>
      <c r="C185" s="3"/>
      <c r="D185" s="3"/>
      <c r="E185" s="3" t="s">
        <v>31</v>
      </c>
      <c r="F185" s="3"/>
      <c r="G185" s="3"/>
      <c r="H185" s="3"/>
      <c r="I185" s="3"/>
      <c r="J185" s="3"/>
      <c r="K185" s="3"/>
      <c r="L185" s="3"/>
      <c r="M185" s="3" t="str">
        <f>IF(B185="","","LIST"&amp;"_"&amp;IFERROR(VLOOKUP(B185,LOOKUPS!$K$2:$L$9,2,FALSE),"UNK")&amp;"_"&amp;IFERROR(VLOOKUP(C185,LOOKUPS!$N$2:$O$8,2,FALSE),"UNK")&amp;"_"&amp;UPPER(L185))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3"/>
        <v/>
      </c>
      <c r="B186" s="3"/>
      <c r="C186" s="3"/>
      <c r="D186" s="3"/>
      <c r="E186" s="3" t="s">
        <v>31</v>
      </c>
      <c r="F186" s="3"/>
      <c r="G186" s="3"/>
      <c r="H186" s="3"/>
      <c r="I186" s="3"/>
      <c r="J186" s="3"/>
      <c r="K186" s="3"/>
      <c r="L186" s="3"/>
      <c r="M186" s="3" t="str">
        <f>IF(B186="","","LIST"&amp;"_"&amp;IFERROR(VLOOKUP(B186,LOOKUPS!$K$2:$L$9,2,FALSE),"UNK")&amp;"_"&amp;IFERROR(VLOOKUP(C186,LOOKUPS!$N$2:$O$8,2,FALSE),"UNK")&amp;"_"&amp;UPPER(L186))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3"/>
        <v/>
      </c>
      <c r="B187" s="3"/>
      <c r="C187" s="3"/>
      <c r="D187" s="3"/>
      <c r="E187" s="3" t="s">
        <v>31</v>
      </c>
      <c r="F187" s="3"/>
      <c r="G187" s="3"/>
      <c r="H187" s="3"/>
      <c r="I187" s="3"/>
      <c r="J187" s="3"/>
      <c r="K187" s="3"/>
      <c r="L187" s="3"/>
      <c r="M187" s="3" t="str">
        <f>IF(B187="","","LIST"&amp;"_"&amp;IFERROR(VLOOKUP(B187,LOOKUPS!$K$2:$L$9,2,FALSE),"UNK")&amp;"_"&amp;IFERROR(VLOOKUP(C187,LOOKUPS!$N$2:$O$8,2,FALSE),"UNK")&amp;"_"&amp;UPPER(L187))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3"/>
        <v/>
      </c>
      <c r="B188" s="3"/>
      <c r="C188" s="3"/>
      <c r="D188" s="3"/>
      <c r="E188" s="3" t="s">
        <v>31</v>
      </c>
      <c r="F188" s="3"/>
      <c r="G188" s="3"/>
      <c r="H188" s="3"/>
      <c r="I188" s="3"/>
      <c r="J188" s="3"/>
      <c r="K188" s="3"/>
      <c r="L188" s="3"/>
      <c r="M188" s="3" t="str">
        <f>IF(B188="","","LIST"&amp;"_"&amp;IFERROR(VLOOKUP(B188,LOOKUPS!$K$2:$L$9,2,FALSE),"UNK")&amp;"_"&amp;IFERROR(VLOOKUP(C188,LOOKUPS!$N$2:$O$8,2,FALSE),"UNK")&amp;"_"&amp;UPPER(L188))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3"/>
        <v/>
      </c>
      <c r="B189" s="3"/>
      <c r="C189" s="3"/>
      <c r="D189" s="3"/>
      <c r="E189" s="3" t="s">
        <v>31</v>
      </c>
      <c r="F189" s="3"/>
      <c r="G189" s="3"/>
      <c r="H189" s="3"/>
      <c r="I189" s="3"/>
      <c r="J189" s="3"/>
      <c r="K189" s="3"/>
      <c r="L189" s="3"/>
      <c r="M189" s="3" t="str">
        <f>IF(B189="","","LIST"&amp;"_"&amp;IFERROR(VLOOKUP(B189,LOOKUPS!$K$2:$L$9,2,FALSE),"UNK")&amp;"_"&amp;IFERROR(VLOOKUP(C189,LOOKUPS!$N$2:$O$8,2,FALSE),"UNK")&amp;"_"&amp;UPPER(L189))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3"/>
        <v/>
      </c>
      <c r="B190" s="3"/>
      <c r="C190" s="3"/>
      <c r="D190" s="3"/>
      <c r="E190" s="3" t="s">
        <v>31</v>
      </c>
      <c r="F190" s="3"/>
      <c r="G190" s="3"/>
      <c r="H190" s="3"/>
      <c r="I190" s="3"/>
      <c r="J190" s="3"/>
      <c r="K190" s="3"/>
      <c r="L190" s="3"/>
      <c r="M190" s="3" t="str">
        <f>IF(B190="","","LIST"&amp;"_"&amp;IFERROR(VLOOKUP(B190,LOOKUPS!$K$2:$L$9,2,FALSE),"UNK")&amp;"_"&amp;IFERROR(VLOOKUP(C190,LOOKUPS!$N$2:$O$8,2,FALSE),"UNK")&amp;"_"&amp;UPPER(L190))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3"/>
        <v/>
      </c>
      <c r="B191" s="3"/>
      <c r="C191" s="3"/>
      <c r="D191" s="3"/>
      <c r="E191" s="3" t="s">
        <v>31</v>
      </c>
      <c r="F191" s="3"/>
      <c r="G191" s="3"/>
      <c r="H191" s="3"/>
      <c r="I191" s="3"/>
      <c r="J191" s="3"/>
      <c r="K191" s="3"/>
      <c r="L191" s="3"/>
      <c r="M191" s="3" t="str">
        <f>IF(B191="","","LIST"&amp;"_"&amp;IFERROR(VLOOKUP(B191,LOOKUPS!$K$2:$L$9,2,FALSE),"UNK")&amp;"_"&amp;IFERROR(VLOOKUP(C191,LOOKUPS!$N$2:$O$8,2,FALSE),"UNK")&amp;"_"&amp;UPPER(L191))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3"/>
        <v/>
      </c>
      <c r="B192" s="3"/>
      <c r="C192" s="3"/>
      <c r="D192" s="3"/>
      <c r="E192" s="3" t="s">
        <v>31</v>
      </c>
      <c r="F192" s="3"/>
      <c r="G192" s="3"/>
      <c r="H192" s="3"/>
      <c r="I192" s="3"/>
      <c r="J192" s="3"/>
      <c r="K192" s="3"/>
      <c r="L192" s="3"/>
      <c r="M192" s="3" t="str">
        <f>IF(B192="","","LIST"&amp;"_"&amp;IFERROR(VLOOKUP(B192,LOOKUPS!$K$2:$L$9,2,FALSE),"UNK")&amp;"_"&amp;IFERROR(VLOOKUP(C192,LOOKUPS!$N$2:$O$8,2,FALSE),"UNK")&amp;"_"&amp;UPPER(L192))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3"/>
        <v/>
      </c>
      <c r="B193" s="3"/>
      <c r="C193" s="3"/>
      <c r="D193" s="3"/>
      <c r="E193" s="3" t="s">
        <v>31</v>
      </c>
      <c r="F193" s="3"/>
      <c r="G193" s="3"/>
      <c r="H193" s="3"/>
      <c r="I193" s="3"/>
      <c r="J193" s="3"/>
      <c r="K193" s="3"/>
      <c r="L193" s="3"/>
      <c r="M193" s="3" t="str">
        <f>IF(B193="","","LIST"&amp;"_"&amp;IFERROR(VLOOKUP(B193,LOOKUPS!$K$2:$L$9,2,FALSE),"UNK")&amp;"_"&amp;IFERROR(VLOOKUP(C193,LOOKUPS!$N$2:$O$8,2,FALSE),"UNK")&amp;"_"&amp;UPPER(L193))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3"/>
        <v/>
      </c>
      <c r="B194" s="3"/>
      <c r="C194" s="3"/>
      <c r="D194" s="3"/>
      <c r="E194" s="3" t="s">
        <v>31</v>
      </c>
      <c r="F194" s="3"/>
      <c r="G194" s="3"/>
      <c r="H194" s="3"/>
      <c r="I194" s="3"/>
      <c r="J194" s="3"/>
      <c r="K194" s="3"/>
      <c r="L194" s="3"/>
      <c r="M194" s="3" t="str">
        <f>IF(B194="","","LIST"&amp;"_"&amp;IFERROR(VLOOKUP(B194,LOOKUPS!$K$2:$L$9,2,FALSE),"UNK")&amp;"_"&amp;IFERROR(VLOOKUP(C194,LOOKUPS!$N$2:$O$8,2,FALSE),"UNK")&amp;"_"&amp;UPPER(L194))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4">IF(M195="","",M195&amp;"_"&amp;TEXT(N195,"000"))</f>
        <v/>
      </c>
      <c r="B195" s="3"/>
      <c r="C195" s="3"/>
      <c r="D195" s="3"/>
      <c r="E195" s="3" t="s">
        <v>31</v>
      </c>
      <c r="F195" s="3"/>
      <c r="G195" s="3"/>
      <c r="H195" s="3"/>
      <c r="I195" s="3"/>
      <c r="J195" s="3"/>
      <c r="K195" s="3"/>
      <c r="L195" s="3"/>
      <c r="M195" s="3" t="str">
        <f>IF(B195="","","LIST"&amp;"_"&amp;IFERROR(VLOOKUP(B195,LOOKUPS!$K$2:$L$9,2,FALSE),"UNK")&amp;"_"&amp;IFERROR(VLOOKUP(C195,LOOKUPS!$N$2:$O$8,2,FALSE),"UNK")&amp;"_"&amp;UPPER(L195))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4"/>
        <v/>
      </c>
      <c r="B196" s="3"/>
      <c r="C196" s="3"/>
      <c r="D196" s="3"/>
      <c r="E196" s="3" t="s">
        <v>31</v>
      </c>
      <c r="F196" s="3"/>
      <c r="G196" s="3"/>
      <c r="H196" s="3"/>
      <c r="I196" s="3"/>
      <c r="J196" s="3"/>
      <c r="K196" s="3"/>
      <c r="L196" s="3"/>
      <c r="M196" s="3" t="str">
        <f>IF(B196="","","LIST"&amp;"_"&amp;IFERROR(VLOOKUP(B196,LOOKUPS!$K$2:$L$9,2,FALSE),"UNK")&amp;"_"&amp;IFERROR(VLOOKUP(C196,LOOKUPS!$N$2:$O$8,2,FALSE),"UNK")&amp;"_"&amp;UPPER(L196))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4"/>
        <v/>
      </c>
      <c r="B197" s="3"/>
      <c r="C197" s="3"/>
      <c r="D197" s="3"/>
      <c r="E197" s="3" t="s">
        <v>31</v>
      </c>
      <c r="F197" s="3"/>
      <c r="G197" s="3"/>
      <c r="H197" s="3"/>
      <c r="I197" s="3"/>
      <c r="J197" s="3"/>
      <c r="K197" s="3"/>
      <c r="L197" s="3"/>
      <c r="M197" s="3" t="str">
        <f>IF(B197="","","LIST"&amp;"_"&amp;IFERROR(VLOOKUP(B197,LOOKUPS!$K$2:$L$9,2,FALSE),"UNK")&amp;"_"&amp;IFERROR(VLOOKUP(C197,LOOKUPS!$N$2:$O$8,2,FALSE),"UNK")&amp;"_"&amp;UPPER(L197))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4"/>
        <v/>
      </c>
      <c r="B198" s="3"/>
      <c r="C198" s="3"/>
      <c r="D198" s="3"/>
      <c r="E198" s="3" t="s">
        <v>31</v>
      </c>
      <c r="F198" s="3"/>
      <c r="G198" s="3"/>
      <c r="H198" s="3"/>
      <c r="I198" s="3"/>
      <c r="J198" s="3"/>
      <c r="K198" s="3"/>
      <c r="L198" s="3"/>
      <c r="M198" s="3" t="str">
        <f>IF(B198="","","LIST"&amp;"_"&amp;IFERROR(VLOOKUP(B198,LOOKUPS!$K$2:$L$9,2,FALSE),"UNK")&amp;"_"&amp;IFERROR(VLOOKUP(C198,LOOKUPS!$N$2:$O$8,2,FALSE),"UNK")&amp;"_"&amp;UPPER(L198))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4"/>
        <v/>
      </c>
      <c r="B199" s="3"/>
      <c r="C199" s="3"/>
      <c r="D199" s="3"/>
      <c r="E199" s="3" t="s">
        <v>31</v>
      </c>
      <c r="F199" s="3"/>
      <c r="G199" s="3"/>
      <c r="H199" s="3"/>
      <c r="I199" s="3"/>
      <c r="J199" s="3"/>
      <c r="K199" s="3"/>
      <c r="L199" s="3"/>
      <c r="M199" s="3" t="str">
        <f>IF(B199="","","LIST"&amp;"_"&amp;IFERROR(VLOOKUP(B199,LOOKUPS!$K$2:$L$9,2,FALSE),"UNK")&amp;"_"&amp;IFERROR(VLOOKUP(C199,LOOKUPS!$N$2:$O$8,2,FALSE),"UNK")&amp;"_"&amp;UPPER(L199))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4"/>
        <v/>
      </c>
      <c r="B200" s="3"/>
      <c r="C200" s="3"/>
      <c r="D200" s="3"/>
      <c r="E200" s="3" t="s">
        <v>31</v>
      </c>
      <c r="F200" s="3"/>
      <c r="G200" s="3"/>
      <c r="H200" s="3"/>
      <c r="I200" s="3"/>
      <c r="J200" s="3"/>
      <c r="K200" s="3"/>
      <c r="L200" s="3"/>
      <c r="M200" s="3" t="str">
        <f>IF(B200="","","LIST"&amp;"_"&amp;IFERROR(VLOOKUP(B200,LOOKUPS!$K$2:$L$9,2,FALSE),"UNK")&amp;"_"&amp;IFERROR(VLOOKUP(C200,LOOKUPS!$N$2:$O$8,2,FALSE),"UNK")&amp;"_"&amp;UPPER(L200))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1000000}">
          <x14:formula1>
            <xm:f>LOOKUPS!$C$2:$C$8</xm:f>
          </x14:formula1>
          <xm:sqref>C201:C1000</xm:sqref>
        </x14:dataValidation>
        <x14:dataValidation type="list" allowBlank="1" showDropDown="1" xr:uid="{00000000-0002-0000-0400-000002000000}">
          <x14:formula1>
            <xm:f>LOOKUPS!$E$2:$E$4</xm:f>
          </x14:formula1>
          <xm:sqref>G201:G1000</xm:sqref>
        </x14:dataValidation>
        <x14:dataValidation type="list" allowBlank="1" xr:uid="{00000000-0002-0000-0400-000000000000}">
          <x14:formula1>
            <xm:f>LOOKUPS!$A$2:$A$9</xm:f>
          </x14:formula1>
          <xm:sqref>B2:B5 B7:B1000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4DB459AB-DEEE-424A-BFDE-70D3C9FA60C5}">
          <x14:formula1>
            <xm:f>LOOKUPS!$C$2:$C$8</xm:f>
          </x14:formula1>
          <xm:sqref>C2:C5 C7:C200</xm:sqref>
        </x14:dataValidation>
        <x14:dataValidation type="list" allowBlank="1" xr:uid="{361395C3-3CC4-4CFD-8009-1A70A6383484}">
          <x14:formula1>
            <xm:f>LOOKUPS!$E$2:$E$4</xm:f>
          </x14:formula1>
          <xm:sqref>G2:G5 G7:G200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abSelected="1" topLeftCell="N1" workbookViewId="0">
      <pane ySplit="1" topLeftCell="A7" activePane="bottomLeft" state="frozen"/>
      <selection pane="bottomLeft" activeCell="S7" sqref="S7"/>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PF_ETH_REQ__001</v>
      </c>
      <c r="B2" s="3" t="s">
        <v>14</v>
      </c>
      <c r="C2" s="3" t="s">
        <v>22</v>
      </c>
      <c r="D2" s="3" t="s">
        <v>114</v>
      </c>
      <c r="E2" s="3" t="s">
        <v>36</v>
      </c>
      <c r="F2" s="3">
        <v>3</v>
      </c>
      <c r="H2" s="3" t="s">
        <v>17</v>
      </c>
      <c r="M2" s="3" t="str">
        <f>IF(B2="","","PF"&amp;"_"&amp;IFERROR(VLOOKUP(B2,LOOKUPS!$K$2:$L$9,2,FALSE),"UNK")&amp;"_"&amp;IFERROR(VLOOKUP(C2,LOOKUPS!$N$2:$O$8,2,FALSE),"UNK")&amp;"_"&amp;UPPER(L2))</f>
        <v>PF_ETH_REQ_</v>
      </c>
      <c r="N2" s="3">
        <f>IF(M2="","",COUNTIF($M$2:M2,M2))</f>
        <v>1</v>
      </c>
      <c r="O2" s="3" t="s">
        <v>114</v>
      </c>
      <c r="P2" s="3" t="s">
        <v>169</v>
      </c>
      <c r="Q2" s="3" t="s">
        <v>115</v>
      </c>
      <c r="R2" s="3" t="s">
        <v>116</v>
      </c>
      <c r="S2" s="3" t="s">
        <v>117</v>
      </c>
    </row>
    <row r="3" spans="1:32" ht="302.39999999999998" x14ac:dyDescent="0.3">
      <c r="A3" s="3" t="str">
        <f t="shared" ref="A3:A66" si="0">IF(M3="","",M3&amp;"_"&amp;TEXT(N3,"000"))</f>
        <v>PF_ITNIC_PF_IR35_001</v>
      </c>
      <c r="B3" s="3" t="s">
        <v>21</v>
      </c>
      <c r="C3" s="3" t="s">
        <v>35</v>
      </c>
      <c r="D3" s="3" t="s">
        <v>119</v>
      </c>
      <c r="E3" s="3" t="s">
        <v>36</v>
      </c>
      <c r="F3" s="3">
        <v>3</v>
      </c>
      <c r="G3" s="3" t="s">
        <v>16</v>
      </c>
      <c r="H3" s="3" t="str">
        <f>IF(LEN(TRIM(B3))&gt;0,"Y","")</f>
        <v>Y</v>
      </c>
      <c r="I3" s="3" t="s">
        <v>121</v>
      </c>
      <c r="J3" s="3" t="s">
        <v>122</v>
      </c>
      <c r="K3" s="3">
        <v>1</v>
      </c>
      <c r="L3" s="3" t="s">
        <v>123</v>
      </c>
      <c r="M3" s="3" t="str">
        <f>IF(B3="","","PF"&amp;"_"&amp;IFERROR(VLOOKUP(B3,LOOKUPS!$K$2:$L$9,2,FALSE),"UNK")&amp;"_"&amp;IFERROR(VLOOKUP(C3,LOOKUPS!$N$2:$O$8,2,FALSE),"UNK")&amp;"_"&amp;UPPER(L3))</f>
        <v>PF_ITNIC_PF_IR35</v>
      </c>
      <c r="N3" s="3">
        <f>IF(M3="","",COUNTIF($M$2:M3,M3))</f>
        <v>1</v>
      </c>
      <c r="O3" s="3" t="s">
        <v>264</v>
      </c>
      <c r="P3" s="3" t="s">
        <v>265</v>
      </c>
      <c r="Q3" s="3" t="s">
        <v>124</v>
      </c>
      <c r="R3" s="3" t="s">
        <v>125</v>
      </c>
      <c r="S3" s="3" t="s">
        <v>126</v>
      </c>
      <c r="T3" s="3" t="s">
        <v>127</v>
      </c>
    </row>
    <row r="4" spans="1:32" ht="374.4" x14ac:dyDescent="0.3">
      <c r="A4" s="3" t="str">
        <f t="shared" si="0"/>
        <v>PF_ITNIC_REQ_EIS_001</v>
      </c>
      <c r="B4" s="3" t="s">
        <v>21</v>
      </c>
      <c r="C4" s="3" t="s">
        <v>22</v>
      </c>
      <c r="D4" s="3" t="s">
        <v>118</v>
      </c>
      <c r="E4" s="3" t="s">
        <v>36</v>
      </c>
      <c r="F4" s="3">
        <v>3</v>
      </c>
      <c r="G4" s="3" t="s">
        <v>16</v>
      </c>
      <c r="H4" s="3" t="s">
        <v>17</v>
      </c>
      <c r="I4" s="3" t="s">
        <v>128</v>
      </c>
      <c r="J4" s="3" t="s">
        <v>129</v>
      </c>
      <c r="K4" s="3">
        <v>1</v>
      </c>
      <c r="L4" s="3" t="s">
        <v>130</v>
      </c>
      <c r="M4" s="3" t="str">
        <f>IF(B4="","","PF"&amp;"_"&amp;IFERROR(VLOOKUP(B4,LOOKUPS!$K$2:$L$9,2,FALSE),"UNK")&amp;"_"&amp;IFERROR(VLOOKUP(C4,LOOKUPS!$N$2:$O$8,2,FALSE),"UNK")&amp;"_"&amp;UPPER(L4))</f>
        <v>PF_ITNIC_REQ_EIS</v>
      </c>
      <c r="N4" s="3">
        <f>IF(M4="","",COUNTIF($M$2:M4,M4))</f>
        <v>1</v>
      </c>
      <c r="O4" s="3" t="s">
        <v>163</v>
      </c>
      <c r="P4" s="3" t="s">
        <v>164</v>
      </c>
      <c r="Q4" s="3" t="s">
        <v>165</v>
      </c>
      <c r="R4" s="3" t="s">
        <v>166</v>
      </c>
      <c r="S4" s="3" t="s">
        <v>167</v>
      </c>
      <c r="T4" s="3" t="s">
        <v>168</v>
      </c>
    </row>
    <row r="5" spans="1:32" ht="345.6" x14ac:dyDescent="0.3">
      <c r="A5" s="3" t="str">
        <f t="shared" si="0"/>
        <v>PF_ITNIC_REQ_PSC_001</v>
      </c>
      <c r="B5" s="3" t="s">
        <v>21</v>
      </c>
      <c r="C5" s="3" t="s">
        <v>22</v>
      </c>
      <c r="D5" s="3" t="s">
        <v>170</v>
      </c>
      <c r="E5" s="3" t="s">
        <v>36</v>
      </c>
      <c r="F5" s="3">
        <v>3</v>
      </c>
      <c r="G5" s="3" t="s">
        <v>16</v>
      </c>
      <c r="H5" s="3" t="s">
        <v>17</v>
      </c>
      <c r="I5" s="3" t="s">
        <v>214</v>
      </c>
      <c r="J5" s="3" t="s">
        <v>129</v>
      </c>
      <c r="K5" s="3">
        <v>1</v>
      </c>
      <c r="L5" s="3" t="s">
        <v>172</v>
      </c>
      <c r="M5" s="3" t="str">
        <f>IF(B5="","","PF"&amp;"_"&amp;IFERROR(VLOOKUP(B5,LOOKUPS!$K$2:$L$9,2,FALSE),"UNK")&amp;"_"&amp;IFERROR(VLOOKUP(C5,LOOKUPS!$N$2:$O$8,2,FALSE),"UNK")&amp;"_"&amp;UPPER(L5))</f>
        <v>PF_ITNIC_REQ_PSC</v>
      </c>
      <c r="N5" s="3">
        <f>IF(M5="","",COUNTIF($M$2:M5,M5))</f>
        <v>1</v>
      </c>
      <c r="O5" s="3" t="s">
        <v>215</v>
      </c>
      <c r="P5" s="3" t="s">
        <v>216</v>
      </c>
      <c r="Q5" s="3" t="s">
        <v>217</v>
      </c>
      <c r="R5" s="3" t="s">
        <v>218</v>
      </c>
      <c r="S5" s="3" t="s">
        <v>219</v>
      </c>
      <c r="T5" s="3" t="s">
        <v>220</v>
      </c>
      <c r="AF5" s="3" t="s">
        <v>17</v>
      </c>
    </row>
    <row r="6" spans="1:32" ht="158.4" x14ac:dyDescent="0.3">
      <c r="A6" s="3" t="str">
        <f t="shared" si="0"/>
        <v>PF_ITNIC_REQ_PSC_002</v>
      </c>
      <c r="B6" s="3" t="s">
        <v>21</v>
      </c>
      <c r="C6" s="3" t="s">
        <v>22</v>
      </c>
      <c r="D6" s="3" t="s">
        <v>170</v>
      </c>
      <c r="E6" s="3" t="s">
        <v>36</v>
      </c>
      <c r="F6" s="3">
        <v>3</v>
      </c>
      <c r="G6" s="3" t="s">
        <v>16</v>
      </c>
      <c r="H6" s="3" t="s">
        <v>17</v>
      </c>
      <c r="I6" s="3" t="s">
        <v>214</v>
      </c>
      <c r="J6" s="3" t="s">
        <v>129</v>
      </c>
      <c r="K6" s="3">
        <v>1</v>
      </c>
      <c r="L6" s="3" t="s">
        <v>172</v>
      </c>
      <c r="M6" s="3" t="str">
        <f>IF(B6="","","PF"&amp;"_"&amp;IFERROR(VLOOKUP(B6,LOOKUPS!$K$2:$L$9,2,FALSE),"UNK")&amp;"_"&amp;IFERROR(VLOOKUP(C6,LOOKUPS!$N$2:$O$8,2,FALSE),"UNK")&amp;"_"&amp;UPPER(L6))</f>
        <v>PF_ITNIC_REQ_PSC</v>
      </c>
      <c r="N6" s="3">
        <f>IF(M6="","",COUNTIF($M$2:M6,M6))</f>
        <v>2</v>
      </c>
      <c r="O6" s="3" t="s">
        <v>215</v>
      </c>
      <c r="P6" s="3" t="s">
        <v>266</v>
      </c>
      <c r="Q6" s="3" t="s">
        <v>267</v>
      </c>
      <c r="R6" s="3" t="s">
        <v>268</v>
      </c>
      <c r="S6" s="3" t="s">
        <v>269</v>
      </c>
      <c r="T6" s="3" t="s">
        <v>270</v>
      </c>
    </row>
    <row r="7" spans="1:32" ht="409.6" x14ac:dyDescent="0.3">
      <c r="A7" s="3" t="str">
        <f t="shared" si="0"/>
        <v>PF_ITNIC_PF_ITCOMP_001</v>
      </c>
      <c r="B7" s="3" t="s">
        <v>21</v>
      </c>
      <c r="C7" s="3" t="s">
        <v>35</v>
      </c>
      <c r="D7" s="3" t="s">
        <v>385</v>
      </c>
      <c r="E7" s="3" t="s">
        <v>36</v>
      </c>
      <c r="F7" s="3">
        <v>3</v>
      </c>
      <c r="G7" s="3" t="s">
        <v>16</v>
      </c>
      <c r="H7" s="3" t="s">
        <v>17</v>
      </c>
      <c r="I7" s="3" t="s">
        <v>386</v>
      </c>
      <c r="J7" s="3" t="s">
        <v>387</v>
      </c>
      <c r="K7" s="3">
        <v>1</v>
      </c>
      <c r="L7" s="3" t="s">
        <v>388</v>
      </c>
      <c r="M7" s="3" t="str">
        <f>IF(B7="","","PF"&amp;"_"&amp;IFERROR(VLOOKUP(B7,LOOKUPS!$K$2:$L$9,2,FALSE),"UNK")&amp;"_"&amp;IFERROR(VLOOKUP(C7,LOOKUPS!$N$2:$O$8,2,FALSE),"UNK")&amp;"_"&amp;UPPER(L7))</f>
        <v>PF_ITNIC_PF_ITCOMP</v>
      </c>
      <c r="N7" s="3">
        <f>IF(M7="","",COUNTIF($M$2:M7,M7))</f>
        <v>1</v>
      </c>
      <c r="O7" s="3" t="s">
        <v>385</v>
      </c>
      <c r="P7" s="3" t="s">
        <v>389</v>
      </c>
      <c r="Q7" s="3" t="s">
        <v>392</v>
      </c>
      <c r="R7" s="3" t="s">
        <v>393</v>
      </c>
      <c r="S7" s="3" t="s">
        <v>394</v>
      </c>
      <c r="T7" s="3" t="s">
        <v>391</v>
      </c>
    </row>
    <row r="8" spans="1:32" x14ac:dyDescent="0.3">
      <c r="A8" s="3" t="str">
        <f t="shared" si="0"/>
        <v/>
      </c>
      <c r="E8" s="3" t="s">
        <v>36</v>
      </c>
      <c r="M8" s="3" t="str">
        <f>IF(B8="","","PF"&amp;"_"&amp;IFERROR(VLOOKUP(B8,LOOKUPS!$K$2:$L$9,2,FALSE),"UNK")&amp;"_"&amp;IFERROR(VLOOKUP(C8,LOOKUPS!$N$2:$O$8,2,FALSE),"UNK")&amp;"_"&amp;UPPER(L8))</f>
        <v/>
      </c>
      <c r="N8" s="3" t="str">
        <f>IF(M8="","",COUNTIF($M$2:M8,M8))</f>
        <v/>
      </c>
    </row>
    <row r="9" spans="1:32" x14ac:dyDescent="0.3">
      <c r="A9" s="3" t="str">
        <f t="shared" si="0"/>
        <v/>
      </c>
      <c r="E9" s="3" t="s">
        <v>36</v>
      </c>
      <c r="M9" s="3" t="str">
        <f>IF(B9="","","PF"&amp;"_"&amp;IFERROR(VLOOKUP(B9,LOOKUPS!$K$2:$L$9,2,FALSE),"UNK")&amp;"_"&amp;IFERROR(VLOOKUP(C9,LOOKUPS!$N$2:$O$8,2,FALSE),"UNK")&amp;"_"&amp;UPPER(L9))</f>
        <v/>
      </c>
      <c r="N9" s="3" t="str">
        <f>IF(M9="","",COUNTIF($M$2:M9,M9))</f>
        <v/>
      </c>
    </row>
    <row r="10" spans="1:32" x14ac:dyDescent="0.3">
      <c r="A10" s="3" t="str">
        <f t="shared" si="0"/>
        <v/>
      </c>
      <c r="E10" s="3" t="s">
        <v>36</v>
      </c>
      <c r="M10" s="3" t="str">
        <f>IF(B10="","","PF"&amp;"_"&amp;IFERROR(VLOOKUP(B10,LOOKUPS!$K$2:$L$9,2,FALSE),"UNK")&amp;"_"&amp;IFERROR(VLOOKUP(C10,LOOKUPS!$N$2:$O$8,2,FALSE),"UNK")&amp;"_"&amp;UPPER(L10))</f>
        <v/>
      </c>
      <c r="N10" s="3" t="str">
        <f>IF(M10="","",COUNTIF($M$2:M10,M10))</f>
        <v/>
      </c>
    </row>
    <row r="11" spans="1:32" x14ac:dyDescent="0.3">
      <c r="A11" s="3" t="str">
        <f t="shared" si="0"/>
        <v/>
      </c>
      <c r="E11" s="3" t="s">
        <v>36</v>
      </c>
      <c r="M11" s="3" t="str">
        <f>IF(B11="","","PF"&amp;"_"&amp;IFERROR(VLOOKUP(B11,LOOKUPS!$K$2:$L$9,2,FALSE),"UNK")&amp;"_"&amp;IFERROR(VLOOKUP(C11,LOOKUPS!$N$2:$O$8,2,FALSE),"UNK")&amp;"_"&amp;UPPER(L11))</f>
        <v/>
      </c>
      <c r="N11" s="3" t="str">
        <f>IF(M11="","",COUNTIF($M$2:M11,M11))</f>
        <v/>
      </c>
    </row>
    <row r="12" spans="1:32" x14ac:dyDescent="0.3">
      <c r="A12" s="3" t="str">
        <f t="shared" si="0"/>
        <v/>
      </c>
      <c r="E12" s="3" t="s">
        <v>36</v>
      </c>
      <c r="M12" s="3" t="str">
        <f>IF(B12="","","PF"&amp;"_"&amp;IFERROR(VLOOKUP(B12,LOOKUPS!$K$2:$L$9,2,FALSE),"UNK")&amp;"_"&amp;IFERROR(VLOOKUP(C12,LOOKUPS!$N$2:$O$8,2,FALSE),"UNK")&amp;"_"&amp;UPPER(L12))</f>
        <v/>
      </c>
      <c r="N12" s="3" t="str">
        <f>IF(M12="","",COUNTIF($M$2:M12,M12))</f>
        <v/>
      </c>
    </row>
    <row r="13" spans="1:32" x14ac:dyDescent="0.3">
      <c r="A13" s="3" t="str">
        <f t="shared" si="0"/>
        <v/>
      </c>
      <c r="E13" s="3" t="s">
        <v>36</v>
      </c>
      <c r="M13" s="3" t="str">
        <f>IF(B13="","","PF"&amp;"_"&amp;IFERROR(VLOOKUP(B13,LOOKUPS!$K$2:$L$9,2,FALSE),"UNK")&amp;"_"&amp;IFERROR(VLOOKUP(C13,LOOKUPS!$N$2:$O$8,2,FALSE),"UNK")&amp;"_"&amp;UPPER(L13))</f>
        <v/>
      </c>
      <c r="N13" s="3" t="str">
        <f>IF(M13="","",COUNTIF($M$2:M13,M13))</f>
        <v/>
      </c>
    </row>
    <row r="14" spans="1:32" x14ac:dyDescent="0.3">
      <c r="A14" s="3" t="str">
        <f t="shared" si="0"/>
        <v/>
      </c>
      <c r="E14" s="3" t="s">
        <v>36</v>
      </c>
      <c r="M14" s="3" t="str">
        <f>IF(B14="","","PF"&amp;"_"&amp;IFERROR(VLOOKUP(B14,LOOKUPS!$K$2:$L$9,2,FALSE),"UNK")&amp;"_"&amp;IFERROR(VLOOKUP(C14,LOOKUPS!$N$2:$O$8,2,FALSE),"UNK")&amp;"_"&amp;UPPER(L14))</f>
        <v/>
      </c>
      <c r="N14" s="3" t="str">
        <f>IF(M14="","",COUNTIF($M$2:M14,M14))</f>
        <v/>
      </c>
    </row>
    <row r="15" spans="1:32" x14ac:dyDescent="0.3">
      <c r="A15" s="3" t="str">
        <f t="shared" si="0"/>
        <v/>
      </c>
      <c r="E15" s="3" t="s">
        <v>36</v>
      </c>
      <c r="M15" s="3" t="str">
        <f>IF(B15="","","PF"&amp;"_"&amp;IFERROR(VLOOKUP(B15,LOOKUPS!$K$2:$L$9,2,FALSE),"UNK")&amp;"_"&amp;IFERROR(VLOOKUP(C15,LOOKUPS!$N$2:$O$8,2,FALSE),"UNK")&amp;"_"&amp;UPPER(L15))</f>
        <v/>
      </c>
      <c r="N15" s="3" t="str">
        <f>IF(M15="","",COUNTIF($M$2:M15,M15))</f>
        <v/>
      </c>
    </row>
    <row r="16" spans="1:32" x14ac:dyDescent="0.3">
      <c r="A16" s="3" t="str">
        <f t="shared" si="0"/>
        <v/>
      </c>
      <c r="E16" s="3" t="s">
        <v>36</v>
      </c>
      <c r="M16" s="3" t="str">
        <f>IF(B16="","","PF"&amp;"_"&amp;IFERROR(VLOOKUP(B16,LOOKUPS!$K$2:$L$9,2,FALSE),"UNK")&amp;"_"&amp;IFERROR(VLOOKUP(C16,LOOKUPS!$N$2:$O$8,2,FALSE),"UNK")&amp;"_"&amp;UPPER(L16))</f>
        <v/>
      </c>
      <c r="N16" s="3" t="str">
        <f>IF(M16="","",COUNTIF($M$2:M16,M16))</f>
        <v/>
      </c>
    </row>
    <row r="17" spans="1:14" x14ac:dyDescent="0.3">
      <c r="A17" s="3" t="str">
        <f t="shared" si="0"/>
        <v/>
      </c>
      <c r="E17" s="3" t="s">
        <v>36</v>
      </c>
      <c r="M17" s="3" t="str">
        <f>IF(B17="","","PF"&amp;"_"&amp;IFERROR(VLOOKUP(B17,LOOKUPS!$K$2:$L$9,2,FALSE),"UNK")&amp;"_"&amp;IFERROR(VLOOKUP(C17,LOOKUPS!$N$2:$O$8,2,FALSE),"UNK")&amp;"_"&amp;UPPER(L17))</f>
        <v/>
      </c>
      <c r="N17" s="3" t="str">
        <f>IF(M17="","",COUNTIF($M$2:M17,M17))</f>
        <v/>
      </c>
    </row>
    <row r="18" spans="1:14" x14ac:dyDescent="0.3">
      <c r="A18" s="3" t="str">
        <f t="shared" si="0"/>
        <v/>
      </c>
      <c r="E18" s="3" t="s">
        <v>36</v>
      </c>
      <c r="M18" s="3" t="str">
        <f>IF(B18="","","PF"&amp;"_"&amp;IFERROR(VLOOKUP(B18,LOOKUPS!$K$2:$L$9,2,FALSE),"UNK")&amp;"_"&amp;IFERROR(VLOOKUP(C18,LOOKUPS!$N$2:$O$8,2,FALSE),"UNK")&amp;"_"&amp;UPPER(L18))</f>
        <v/>
      </c>
      <c r="N18" s="3" t="str">
        <f>IF(M18="","",COUNTIF($M$2:M18,M18))</f>
        <v/>
      </c>
    </row>
    <row r="19" spans="1:14" x14ac:dyDescent="0.3">
      <c r="A19" s="3" t="str">
        <f t="shared" si="0"/>
        <v/>
      </c>
      <c r="E19" s="3" t="s">
        <v>36</v>
      </c>
      <c r="M19" s="3" t="str">
        <f>IF(B19="","","PF"&amp;"_"&amp;IFERROR(VLOOKUP(B19,LOOKUPS!$K$2:$L$9,2,FALSE),"UNK")&amp;"_"&amp;IFERROR(VLOOKUP(C19,LOOKUPS!$N$2:$O$8,2,FALSE),"UNK")&amp;"_"&amp;UPPER(L19))</f>
        <v/>
      </c>
      <c r="N19" s="3" t="str">
        <f>IF(M19="","",COUNTIF($M$2:M19,M19))</f>
        <v/>
      </c>
    </row>
    <row r="20" spans="1:14" x14ac:dyDescent="0.3">
      <c r="A20" s="3" t="str">
        <f t="shared" si="0"/>
        <v/>
      </c>
      <c r="E20" s="3" t="s">
        <v>36</v>
      </c>
      <c r="M20" s="3" t="str">
        <f>IF(B20="","","PF"&amp;"_"&amp;IFERROR(VLOOKUP(B20,LOOKUPS!$K$2:$L$9,2,FALSE),"UNK")&amp;"_"&amp;IFERROR(VLOOKUP(C20,LOOKUPS!$N$2:$O$8,2,FALSE),"UNK")&amp;"_"&amp;UPPER(L20))</f>
        <v/>
      </c>
      <c r="N20" s="3" t="str">
        <f>IF(M20="","",COUNTIF($M$2:M20,M20))</f>
        <v/>
      </c>
    </row>
    <row r="21" spans="1:14" x14ac:dyDescent="0.3">
      <c r="A21" s="3" t="str">
        <f t="shared" si="0"/>
        <v/>
      </c>
      <c r="E21" s="3" t="s">
        <v>36</v>
      </c>
      <c r="M21" s="3" t="str">
        <f>IF(B21="","","PF"&amp;"_"&amp;IFERROR(VLOOKUP(B21,LOOKUPS!$K$2:$L$9,2,FALSE),"UNK")&amp;"_"&amp;IFERROR(VLOOKUP(C21,LOOKUPS!$N$2:$O$8,2,FALSE),"UNK")&amp;"_"&amp;UPPER(L21))</f>
        <v/>
      </c>
      <c r="N21" s="3" t="str">
        <f>IF(M21="","",COUNTIF($M$2:M21,M21))</f>
        <v/>
      </c>
    </row>
    <row r="22" spans="1:14" x14ac:dyDescent="0.3">
      <c r="A22" s="3" t="str">
        <f t="shared" si="0"/>
        <v/>
      </c>
      <c r="E22" s="3" t="s">
        <v>36</v>
      </c>
      <c r="M22" s="3" t="str">
        <f>IF(B22="","","PF"&amp;"_"&amp;IFERROR(VLOOKUP(B22,LOOKUPS!$K$2:$L$9,2,FALSE),"UNK")&amp;"_"&amp;IFERROR(VLOOKUP(C22,LOOKUPS!$N$2:$O$8,2,FALSE),"UNK")&amp;"_"&amp;UPPER(L22))</f>
        <v/>
      </c>
      <c r="N22" s="3" t="str">
        <f>IF(M22="","",COUNTIF($M$2:M22,M22))</f>
        <v/>
      </c>
    </row>
    <row r="23" spans="1:14" x14ac:dyDescent="0.3">
      <c r="A23" s="3" t="str">
        <f t="shared" si="0"/>
        <v/>
      </c>
      <c r="E23" s="3" t="s">
        <v>36</v>
      </c>
      <c r="M23" s="3" t="str">
        <f>IF(B23="","","PF"&amp;"_"&amp;IFERROR(VLOOKUP(B23,LOOKUPS!$K$2:$L$9,2,FALSE),"UNK")&amp;"_"&amp;IFERROR(VLOOKUP(C23,LOOKUPS!$N$2:$O$8,2,FALSE),"UNK")&amp;"_"&amp;UPPER(L23))</f>
        <v/>
      </c>
      <c r="N23" s="3" t="str">
        <f>IF(M23="","",COUNTIF($M$2:M23,M23))</f>
        <v/>
      </c>
    </row>
    <row r="24" spans="1:14" x14ac:dyDescent="0.3">
      <c r="A24" s="3" t="str">
        <f t="shared" si="0"/>
        <v/>
      </c>
      <c r="E24" s="3" t="s">
        <v>36</v>
      </c>
      <c r="M24" s="3" t="str">
        <f>IF(B24="","","PF"&amp;"_"&amp;IFERROR(VLOOKUP(B24,LOOKUPS!$K$2:$L$9,2,FALSE),"UNK")&amp;"_"&amp;IFERROR(VLOOKUP(C24,LOOKUPS!$N$2:$O$8,2,FALSE),"UNK")&amp;"_"&amp;UPPER(L24))</f>
        <v/>
      </c>
      <c r="N24" s="3" t="str">
        <f>IF(M24="","",COUNTIF($M$2:M24,M24))</f>
        <v/>
      </c>
    </row>
    <row r="25" spans="1:14" x14ac:dyDescent="0.3">
      <c r="A25" s="3" t="str">
        <f t="shared" si="0"/>
        <v/>
      </c>
      <c r="E25" s="3" t="s">
        <v>36</v>
      </c>
      <c r="M25" s="3" t="str">
        <f>IF(B25="","","PF"&amp;"_"&amp;IFERROR(VLOOKUP(B25,LOOKUPS!$K$2:$L$9,2,FALSE),"UNK")&amp;"_"&amp;IFERROR(VLOOKUP(C25,LOOKUPS!$N$2:$O$8,2,FALSE),"UNK")&amp;"_"&amp;UPPER(L25))</f>
        <v/>
      </c>
      <c r="N25" s="3" t="str">
        <f>IF(M25="","",COUNTIF($M$2:M25,M25))</f>
        <v/>
      </c>
    </row>
    <row r="26" spans="1:14" x14ac:dyDescent="0.3">
      <c r="A26" s="3" t="str">
        <f t="shared" si="0"/>
        <v/>
      </c>
      <c r="E26" s="3" t="s">
        <v>36</v>
      </c>
      <c r="M26" s="3" t="str">
        <f>IF(B26="","","PF"&amp;"_"&amp;IFERROR(VLOOKUP(B26,LOOKUPS!$K$2:$L$9,2,FALSE),"UNK")&amp;"_"&amp;IFERROR(VLOOKUP(C26,LOOKUPS!$N$2:$O$8,2,FALSE),"UNK")&amp;"_"&amp;UPPER(L26))</f>
        <v/>
      </c>
      <c r="N26" s="3" t="str">
        <f>IF(M26="","",COUNTIF($M$2:M26,M26))</f>
        <v/>
      </c>
    </row>
    <row r="27" spans="1:14" x14ac:dyDescent="0.3">
      <c r="A27" s="3" t="str">
        <f t="shared" si="0"/>
        <v/>
      </c>
      <c r="E27" s="3" t="s">
        <v>36</v>
      </c>
      <c r="M27" s="3" t="str">
        <f>IF(B27="","","PF"&amp;"_"&amp;IFERROR(VLOOKUP(B27,LOOKUPS!$K$2:$L$9,2,FALSE),"UNK")&amp;"_"&amp;IFERROR(VLOOKUP(C27,LOOKUPS!$N$2:$O$8,2,FALSE),"UNK")&amp;"_"&amp;UPPER(L27))</f>
        <v/>
      </c>
      <c r="N27" s="3" t="str">
        <f>IF(M27="","",COUNTIF($M$2:M27,M27))</f>
        <v/>
      </c>
    </row>
    <row r="28" spans="1:14" x14ac:dyDescent="0.3">
      <c r="A28" s="3" t="str">
        <f t="shared" si="0"/>
        <v/>
      </c>
      <c r="E28" s="3" t="s">
        <v>36</v>
      </c>
      <c r="M28" s="3" t="str">
        <f>IF(B28="","","PF"&amp;"_"&amp;IFERROR(VLOOKUP(B28,LOOKUPS!$K$2:$L$9,2,FALSE),"UNK")&amp;"_"&amp;IFERROR(VLOOKUP(C28,LOOKUPS!$N$2:$O$8,2,FALSE),"UNK")&amp;"_"&amp;UPPER(L28))</f>
        <v/>
      </c>
      <c r="N28" s="3" t="str">
        <f>IF(M28="","",COUNTIF($M$2:M28,M28))</f>
        <v/>
      </c>
    </row>
    <row r="29" spans="1:14" x14ac:dyDescent="0.3">
      <c r="A29" s="3" t="str">
        <f t="shared" si="0"/>
        <v/>
      </c>
      <c r="E29" s="3" t="s">
        <v>36</v>
      </c>
      <c r="M29" s="3" t="str">
        <f>IF(B29="","","PF"&amp;"_"&amp;IFERROR(VLOOKUP(B29,LOOKUPS!$K$2:$L$9,2,FALSE),"UNK")&amp;"_"&amp;IFERROR(VLOOKUP(C29,LOOKUPS!$N$2:$O$8,2,FALSE),"UNK")&amp;"_"&amp;UPPER(L29))</f>
        <v/>
      </c>
      <c r="N29" s="3" t="str">
        <f>IF(M29="","",COUNTIF($M$2:M29,M29))</f>
        <v/>
      </c>
    </row>
    <row r="30" spans="1:14" x14ac:dyDescent="0.3">
      <c r="A30" s="3" t="str">
        <f t="shared" si="0"/>
        <v/>
      </c>
      <c r="E30" s="3" t="s">
        <v>36</v>
      </c>
      <c r="M30" s="3" t="str">
        <f>IF(B30="","","PF"&amp;"_"&amp;IFERROR(VLOOKUP(B30,LOOKUPS!$K$2:$L$9,2,FALSE),"UNK")&amp;"_"&amp;IFERROR(VLOOKUP(C30,LOOKUPS!$N$2:$O$8,2,FALSE),"UNK")&amp;"_"&amp;UPPER(L30))</f>
        <v/>
      </c>
      <c r="N30" s="3" t="str">
        <f>IF(M30="","",COUNTIF($M$2:M30,M30))</f>
        <v/>
      </c>
    </row>
    <row r="31" spans="1:14" x14ac:dyDescent="0.3">
      <c r="A31" s="3" t="str">
        <f t="shared" si="0"/>
        <v/>
      </c>
      <c r="E31" s="3" t="s">
        <v>36</v>
      </c>
      <c r="M31" s="3" t="str">
        <f>IF(B31="","","PF"&amp;"_"&amp;IFERROR(VLOOKUP(B31,LOOKUPS!$K$2:$L$9,2,FALSE),"UNK")&amp;"_"&amp;IFERROR(VLOOKUP(C31,LOOKUPS!$N$2:$O$8,2,FALSE),"UNK")&amp;"_"&amp;UPPER(L31))</f>
        <v/>
      </c>
      <c r="N31" s="3" t="str">
        <f>IF(M31="","",COUNTIF($M$2:M31,M31))</f>
        <v/>
      </c>
    </row>
    <row r="32" spans="1:14" x14ac:dyDescent="0.3">
      <c r="A32" s="3" t="str">
        <f t="shared" si="0"/>
        <v/>
      </c>
      <c r="E32" s="3" t="s">
        <v>36</v>
      </c>
      <c r="M32" s="3" t="str">
        <f>IF(B32="","","PF"&amp;"_"&amp;IFERROR(VLOOKUP(B32,LOOKUPS!$K$2:$L$9,2,FALSE),"UNK")&amp;"_"&amp;IFERROR(VLOOKUP(C32,LOOKUPS!$N$2:$O$8,2,FALSE),"UNK")&amp;"_"&amp;UPPER(L32))</f>
        <v/>
      </c>
      <c r="N32" s="3" t="str">
        <f>IF(M32="","",COUNTIF($M$2:M32,M32))</f>
        <v/>
      </c>
    </row>
    <row r="33" spans="1:14" x14ac:dyDescent="0.3">
      <c r="A33" s="3" t="str">
        <f t="shared" si="0"/>
        <v/>
      </c>
      <c r="E33" s="3" t="s">
        <v>36</v>
      </c>
      <c r="M33" s="3" t="str">
        <f>IF(B33="","","PF"&amp;"_"&amp;IFERROR(VLOOKUP(B33,LOOKUPS!$K$2:$L$9,2,FALSE),"UNK")&amp;"_"&amp;IFERROR(VLOOKUP(C33,LOOKUPS!$N$2:$O$8,2,FALSE),"UNK")&amp;"_"&amp;UPPER(L33))</f>
        <v/>
      </c>
      <c r="N33" s="3" t="str">
        <f>IF(M33="","",COUNTIF($M$2:M33,M33))</f>
        <v/>
      </c>
    </row>
    <row r="34" spans="1:14" x14ac:dyDescent="0.3">
      <c r="A34" s="3" t="str">
        <f t="shared" si="0"/>
        <v/>
      </c>
      <c r="E34" s="3" t="s">
        <v>36</v>
      </c>
      <c r="M34" s="3" t="str">
        <f>IF(B34="","","PF"&amp;"_"&amp;IFERROR(VLOOKUP(B34,LOOKUPS!$K$2:$L$9,2,FALSE),"UNK")&amp;"_"&amp;IFERROR(VLOOKUP(C34,LOOKUPS!$N$2:$O$8,2,FALSE),"UNK")&amp;"_"&amp;UPPER(L34))</f>
        <v/>
      </c>
      <c r="N34" s="3" t="str">
        <f>IF(M34="","",COUNTIF($M$2:M34,M34))</f>
        <v/>
      </c>
    </row>
    <row r="35" spans="1:14" x14ac:dyDescent="0.3">
      <c r="A35" s="3" t="str">
        <f t="shared" si="0"/>
        <v/>
      </c>
      <c r="E35" s="3" t="s">
        <v>36</v>
      </c>
      <c r="M35" s="3" t="str">
        <f>IF(B35="","","PF"&amp;"_"&amp;IFERROR(VLOOKUP(B35,LOOKUPS!$K$2:$L$9,2,FALSE),"UNK")&amp;"_"&amp;IFERROR(VLOOKUP(C35,LOOKUPS!$N$2:$O$8,2,FALSE),"UNK")&amp;"_"&amp;UPPER(L35))</f>
        <v/>
      </c>
      <c r="N35" s="3" t="str">
        <f>IF(M35="","",COUNTIF($M$2:M35,M35))</f>
        <v/>
      </c>
    </row>
    <row r="36" spans="1:14" x14ac:dyDescent="0.3">
      <c r="A36" s="3" t="str">
        <f t="shared" si="0"/>
        <v/>
      </c>
      <c r="E36" s="3" t="s">
        <v>36</v>
      </c>
      <c r="M36" s="3" t="str">
        <f>IF(B36="","","PF"&amp;"_"&amp;IFERROR(VLOOKUP(B36,LOOKUPS!$K$2:$L$9,2,FALSE),"UNK")&amp;"_"&amp;IFERROR(VLOOKUP(C36,LOOKUPS!$N$2:$O$8,2,FALSE),"UNK")&amp;"_"&amp;UPPER(L36))</f>
        <v/>
      </c>
      <c r="N36" s="3" t="str">
        <f>IF(M36="","",COUNTIF($M$2:M36,M36))</f>
        <v/>
      </c>
    </row>
    <row r="37" spans="1:14" x14ac:dyDescent="0.3">
      <c r="A37" s="3" t="str">
        <f t="shared" si="0"/>
        <v/>
      </c>
      <c r="E37" s="3" t="s">
        <v>36</v>
      </c>
      <c r="M37" s="3" t="str">
        <f>IF(B37="","","PF"&amp;"_"&amp;IFERROR(VLOOKUP(B37,LOOKUPS!$K$2:$L$9,2,FALSE),"UNK")&amp;"_"&amp;IFERROR(VLOOKUP(C37,LOOKUPS!$N$2:$O$8,2,FALSE),"UNK")&amp;"_"&amp;UPPER(L37))</f>
        <v/>
      </c>
      <c r="N37" s="3" t="str">
        <f>IF(M37="","",COUNTIF($M$2:M37,M37))</f>
        <v/>
      </c>
    </row>
    <row r="38" spans="1:14" x14ac:dyDescent="0.3">
      <c r="A38" s="3" t="str">
        <f t="shared" si="0"/>
        <v/>
      </c>
      <c r="E38" s="3" t="s">
        <v>36</v>
      </c>
      <c r="M38" s="3" t="str">
        <f>IF(B38="","","PF"&amp;"_"&amp;IFERROR(VLOOKUP(B38,LOOKUPS!$K$2:$L$9,2,FALSE),"UNK")&amp;"_"&amp;IFERROR(VLOOKUP(C38,LOOKUPS!$N$2:$O$8,2,FALSE),"UNK")&amp;"_"&amp;UPPER(L38))</f>
        <v/>
      </c>
      <c r="N38" s="3" t="str">
        <f>IF(M38="","",COUNTIF($M$2:M38,M38))</f>
        <v/>
      </c>
    </row>
    <row r="39" spans="1:14" x14ac:dyDescent="0.3">
      <c r="A39" s="3" t="str">
        <f t="shared" si="0"/>
        <v/>
      </c>
      <c r="E39" s="3" t="s">
        <v>36</v>
      </c>
      <c r="M39" s="3" t="str">
        <f>IF(B39="","","PF"&amp;"_"&amp;IFERROR(VLOOKUP(B39,LOOKUPS!$K$2:$L$9,2,FALSE),"UNK")&amp;"_"&amp;IFERROR(VLOOKUP(C39,LOOKUPS!$N$2:$O$8,2,FALSE),"UNK")&amp;"_"&amp;UPPER(L39))</f>
        <v/>
      </c>
      <c r="N39" s="3" t="str">
        <f>IF(M39="","",COUNTIF($M$2:M39,M39))</f>
        <v/>
      </c>
    </row>
    <row r="40" spans="1:14" x14ac:dyDescent="0.3">
      <c r="A40" s="3" t="str">
        <f t="shared" si="0"/>
        <v/>
      </c>
      <c r="E40" s="3" t="s">
        <v>36</v>
      </c>
      <c r="M40" s="3" t="str">
        <f>IF(B40="","","PF"&amp;"_"&amp;IFERROR(VLOOKUP(B40,LOOKUPS!$K$2:$L$9,2,FALSE),"UNK")&amp;"_"&amp;IFERROR(VLOOKUP(C40,LOOKUPS!$N$2:$O$8,2,FALSE),"UNK")&amp;"_"&amp;UPPER(L40))</f>
        <v/>
      </c>
      <c r="N40" s="3" t="str">
        <f>IF(M40="","",COUNTIF($M$2:M40,M40))</f>
        <v/>
      </c>
    </row>
    <row r="41" spans="1:14" x14ac:dyDescent="0.3">
      <c r="A41" s="3" t="str">
        <f t="shared" si="0"/>
        <v/>
      </c>
      <c r="E41" s="3" t="s">
        <v>36</v>
      </c>
      <c r="M41" s="3" t="str">
        <f>IF(B41="","","PF"&amp;"_"&amp;IFERROR(VLOOKUP(B41,LOOKUPS!$K$2:$L$9,2,FALSE),"UNK")&amp;"_"&amp;IFERROR(VLOOKUP(C41,LOOKUPS!$N$2:$O$8,2,FALSE),"UNK")&amp;"_"&amp;UPPER(L41))</f>
        <v/>
      </c>
      <c r="N41" s="3" t="str">
        <f>IF(M41="","",COUNTIF($M$2:M41,M41))</f>
        <v/>
      </c>
    </row>
    <row r="42" spans="1:14" x14ac:dyDescent="0.3">
      <c r="A42" s="3" t="str">
        <f t="shared" si="0"/>
        <v/>
      </c>
      <c r="E42" s="3" t="s">
        <v>36</v>
      </c>
      <c r="M42" s="3" t="str">
        <f>IF(B42="","","PF"&amp;"_"&amp;IFERROR(VLOOKUP(B42,LOOKUPS!$K$2:$L$9,2,FALSE),"UNK")&amp;"_"&amp;IFERROR(VLOOKUP(C42,LOOKUPS!$N$2:$O$8,2,FALSE),"UNK")&amp;"_"&amp;UPPER(L42))</f>
        <v/>
      </c>
      <c r="N42" s="3" t="str">
        <f>IF(M42="","",COUNTIF($M$2:M42,M42))</f>
        <v/>
      </c>
    </row>
    <row r="43" spans="1:14" x14ac:dyDescent="0.3">
      <c r="A43" s="3" t="str">
        <f t="shared" si="0"/>
        <v/>
      </c>
      <c r="E43" s="3" t="s">
        <v>36</v>
      </c>
      <c r="M43" s="3" t="str">
        <f>IF(B43="","","PF"&amp;"_"&amp;IFERROR(VLOOKUP(B43,LOOKUPS!$K$2:$L$9,2,FALSE),"UNK")&amp;"_"&amp;IFERROR(VLOOKUP(C43,LOOKUPS!$N$2:$O$8,2,FALSE),"UNK")&amp;"_"&amp;UPPER(L43))</f>
        <v/>
      </c>
      <c r="N43" s="3" t="str">
        <f>IF(M43="","",COUNTIF($M$2:M43,M43))</f>
        <v/>
      </c>
    </row>
    <row r="44" spans="1:14" x14ac:dyDescent="0.3">
      <c r="A44" s="3" t="str">
        <f t="shared" si="0"/>
        <v/>
      </c>
      <c r="E44" s="3" t="s">
        <v>36</v>
      </c>
      <c r="M44" s="3" t="str">
        <f>IF(B44="","","PF"&amp;"_"&amp;IFERROR(VLOOKUP(B44,LOOKUPS!$K$2:$L$9,2,FALSE),"UNK")&amp;"_"&amp;IFERROR(VLOOKUP(C44,LOOKUPS!$N$2:$O$8,2,FALSE),"UNK")&amp;"_"&amp;UPPER(L44))</f>
        <v/>
      </c>
      <c r="N44" s="3" t="str">
        <f>IF(M44="","",COUNTIF($M$2:M44,M44))</f>
        <v/>
      </c>
    </row>
    <row r="45" spans="1:14" x14ac:dyDescent="0.3">
      <c r="A45" s="3" t="str">
        <f t="shared" si="0"/>
        <v/>
      </c>
      <c r="E45" s="3" t="s">
        <v>36</v>
      </c>
      <c r="M45" s="3" t="str">
        <f>IF(B45="","","PF"&amp;"_"&amp;IFERROR(VLOOKUP(B45,LOOKUPS!$K$2:$L$9,2,FALSE),"UNK")&amp;"_"&amp;IFERROR(VLOOKUP(C45,LOOKUPS!$N$2:$O$8,2,FALSE),"UNK")&amp;"_"&amp;UPPER(L45))</f>
        <v/>
      </c>
      <c r="N45" s="3" t="str">
        <f>IF(M45="","",COUNTIF($M$2:M45,M45))</f>
        <v/>
      </c>
    </row>
    <row r="46" spans="1:14" x14ac:dyDescent="0.3">
      <c r="A46" s="3" t="str">
        <f t="shared" si="0"/>
        <v/>
      </c>
      <c r="E46" s="3" t="s">
        <v>36</v>
      </c>
      <c r="M46" s="3" t="str">
        <f>IF(B46="","","PF"&amp;"_"&amp;IFERROR(VLOOKUP(B46,LOOKUPS!$K$2:$L$9,2,FALSE),"UNK")&amp;"_"&amp;IFERROR(VLOOKUP(C46,LOOKUPS!$N$2:$O$8,2,FALSE),"UNK")&amp;"_"&amp;UPPER(L46))</f>
        <v/>
      </c>
      <c r="N46" s="3" t="str">
        <f>IF(M46="","",COUNTIF($M$2:M46,M46))</f>
        <v/>
      </c>
    </row>
    <row r="47" spans="1:14" x14ac:dyDescent="0.3">
      <c r="A47" s="3" t="str">
        <f t="shared" si="0"/>
        <v/>
      </c>
      <c r="E47" s="3" t="s">
        <v>36</v>
      </c>
      <c r="M47" s="3" t="str">
        <f>IF(B47="","","PF"&amp;"_"&amp;IFERROR(VLOOKUP(B47,LOOKUPS!$K$2:$L$9,2,FALSE),"UNK")&amp;"_"&amp;IFERROR(VLOOKUP(C47,LOOKUPS!$N$2:$O$8,2,FALSE),"UNK")&amp;"_"&amp;UPPER(L47))</f>
        <v/>
      </c>
      <c r="N47" s="3" t="str">
        <f>IF(M47="","",COUNTIF($M$2:M47,M47))</f>
        <v/>
      </c>
    </row>
    <row r="48" spans="1:14" x14ac:dyDescent="0.3">
      <c r="A48" s="3" t="str">
        <f t="shared" si="0"/>
        <v/>
      </c>
      <c r="E48" s="3" t="s">
        <v>36</v>
      </c>
      <c r="M48" s="3" t="str">
        <f>IF(B48="","","PF"&amp;"_"&amp;IFERROR(VLOOKUP(B48,LOOKUPS!$K$2:$L$9,2,FALSE),"UNK")&amp;"_"&amp;IFERROR(VLOOKUP(C48,LOOKUPS!$N$2:$O$8,2,FALSE),"UNK")&amp;"_"&amp;UPPER(L48))</f>
        <v/>
      </c>
      <c r="N48" s="3" t="str">
        <f>IF(M48="","",COUNTIF($M$2:M48,M48))</f>
        <v/>
      </c>
    </row>
    <row r="49" spans="1:14" x14ac:dyDescent="0.3">
      <c r="A49" s="3" t="str">
        <f t="shared" si="0"/>
        <v/>
      </c>
      <c r="E49" s="3" t="s">
        <v>36</v>
      </c>
      <c r="M49" s="3" t="str">
        <f>IF(B49="","","PF"&amp;"_"&amp;IFERROR(VLOOKUP(B49,LOOKUPS!$K$2:$L$9,2,FALSE),"UNK")&amp;"_"&amp;IFERROR(VLOOKUP(C49,LOOKUPS!$N$2:$O$8,2,FALSE),"UNK")&amp;"_"&amp;UPPER(L49))</f>
        <v/>
      </c>
      <c r="N49" s="3" t="str">
        <f>IF(M49="","",COUNTIF($M$2:M49,M49))</f>
        <v/>
      </c>
    </row>
    <row r="50" spans="1:14" x14ac:dyDescent="0.3">
      <c r="A50" s="3" t="str">
        <f t="shared" si="0"/>
        <v/>
      </c>
      <c r="E50" s="3" t="s">
        <v>36</v>
      </c>
      <c r="M50" s="3" t="str">
        <f>IF(B50="","","PF"&amp;"_"&amp;IFERROR(VLOOKUP(B50,LOOKUPS!$K$2:$L$9,2,FALSE),"UNK")&amp;"_"&amp;IFERROR(VLOOKUP(C50,LOOKUPS!$N$2:$O$8,2,FALSE),"UNK")&amp;"_"&amp;UPPER(L50))</f>
        <v/>
      </c>
      <c r="N50" s="3" t="str">
        <f>IF(M50="","",COUNTIF($M$2:M50,M50))</f>
        <v/>
      </c>
    </row>
    <row r="51" spans="1:14" x14ac:dyDescent="0.3">
      <c r="A51" s="3" t="str">
        <f t="shared" si="0"/>
        <v/>
      </c>
      <c r="E51" s="3" t="s">
        <v>36</v>
      </c>
      <c r="M51" s="3" t="str">
        <f>IF(B51="","","PF"&amp;"_"&amp;IFERROR(VLOOKUP(B51,LOOKUPS!$K$2:$L$9,2,FALSE),"UNK")&amp;"_"&amp;IFERROR(VLOOKUP(C51,LOOKUPS!$N$2:$O$8,2,FALSE),"UNK")&amp;"_"&amp;UPPER(L51))</f>
        <v/>
      </c>
      <c r="N51" s="3" t="str">
        <f>IF(M51="","",COUNTIF($M$2:M51,M51))</f>
        <v/>
      </c>
    </row>
    <row r="52" spans="1:14" x14ac:dyDescent="0.3">
      <c r="A52" s="3" t="str">
        <f t="shared" si="0"/>
        <v/>
      </c>
      <c r="E52" s="3" t="s">
        <v>36</v>
      </c>
      <c r="M52" s="3" t="str">
        <f>IF(B52="","","PF"&amp;"_"&amp;IFERROR(VLOOKUP(B52,LOOKUPS!$K$2:$L$9,2,FALSE),"UNK")&amp;"_"&amp;IFERROR(VLOOKUP(C52,LOOKUPS!$N$2:$O$8,2,FALSE),"UNK")&amp;"_"&amp;UPPER(L52))</f>
        <v/>
      </c>
      <c r="N52" s="3" t="str">
        <f>IF(M52="","",COUNTIF($M$2:M52,M52))</f>
        <v/>
      </c>
    </row>
    <row r="53" spans="1:14" x14ac:dyDescent="0.3">
      <c r="A53" s="3" t="str">
        <f t="shared" si="0"/>
        <v/>
      </c>
      <c r="E53" s="3" t="s">
        <v>36</v>
      </c>
      <c r="M53" s="3" t="str">
        <f>IF(B53="","","PF"&amp;"_"&amp;IFERROR(VLOOKUP(B53,LOOKUPS!$K$2:$L$9,2,FALSE),"UNK")&amp;"_"&amp;IFERROR(VLOOKUP(C53,LOOKUPS!$N$2:$O$8,2,FALSE),"UNK")&amp;"_"&amp;UPPER(L53))</f>
        <v/>
      </c>
      <c r="N53" s="3" t="str">
        <f>IF(M53="","",COUNTIF($M$2:M53,M53))</f>
        <v/>
      </c>
    </row>
    <row r="54" spans="1:14" x14ac:dyDescent="0.3">
      <c r="A54" s="3" t="str">
        <f t="shared" si="0"/>
        <v/>
      </c>
      <c r="E54" s="3" t="s">
        <v>36</v>
      </c>
      <c r="M54" s="3" t="str">
        <f>IF(B54="","","PF"&amp;"_"&amp;IFERROR(VLOOKUP(B54,LOOKUPS!$K$2:$L$9,2,FALSE),"UNK")&amp;"_"&amp;IFERROR(VLOOKUP(C54,LOOKUPS!$N$2:$O$8,2,FALSE),"UNK")&amp;"_"&amp;UPPER(L54))</f>
        <v/>
      </c>
      <c r="N54" s="3" t="str">
        <f>IF(M54="","",COUNTIF($M$2:M54,M54))</f>
        <v/>
      </c>
    </row>
    <row r="55" spans="1:14" x14ac:dyDescent="0.3">
      <c r="A55" s="3" t="str">
        <f t="shared" si="0"/>
        <v/>
      </c>
      <c r="E55" s="3" t="s">
        <v>36</v>
      </c>
      <c r="M55" s="3" t="str">
        <f>IF(B55="","","PF"&amp;"_"&amp;IFERROR(VLOOKUP(B55,LOOKUPS!$K$2:$L$9,2,FALSE),"UNK")&amp;"_"&amp;IFERROR(VLOOKUP(C55,LOOKUPS!$N$2:$O$8,2,FALSE),"UNK")&amp;"_"&amp;UPPER(L55))</f>
        <v/>
      </c>
      <c r="N55" s="3" t="str">
        <f>IF(M55="","",COUNTIF($M$2:M55,M55))</f>
        <v/>
      </c>
    </row>
    <row r="56" spans="1:14" x14ac:dyDescent="0.3">
      <c r="A56" s="3" t="str">
        <f t="shared" si="0"/>
        <v/>
      </c>
      <c r="E56" s="3" t="s">
        <v>36</v>
      </c>
      <c r="M56" s="3" t="str">
        <f>IF(B56="","","PF"&amp;"_"&amp;IFERROR(VLOOKUP(B56,LOOKUPS!$K$2:$L$9,2,FALSE),"UNK")&amp;"_"&amp;IFERROR(VLOOKUP(C56,LOOKUPS!$N$2:$O$8,2,FALSE),"UNK")&amp;"_"&amp;UPPER(L56))</f>
        <v/>
      </c>
      <c r="N56" s="3" t="str">
        <f>IF(M56="","",COUNTIF($M$2:M56,M56))</f>
        <v/>
      </c>
    </row>
    <row r="57" spans="1:14" x14ac:dyDescent="0.3">
      <c r="A57" s="3" t="str">
        <f t="shared" si="0"/>
        <v/>
      </c>
      <c r="E57" s="3" t="s">
        <v>36</v>
      </c>
      <c r="M57" s="3" t="str">
        <f>IF(B57="","","PF"&amp;"_"&amp;IFERROR(VLOOKUP(B57,LOOKUPS!$K$2:$L$9,2,FALSE),"UNK")&amp;"_"&amp;IFERROR(VLOOKUP(C57,LOOKUPS!$N$2:$O$8,2,FALSE),"UNK")&amp;"_"&amp;UPPER(L57))</f>
        <v/>
      </c>
      <c r="N57" s="3" t="str">
        <f>IF(M57="","",COUNTIF($M$2:M57,M57))</f>
        <v/>
      </c>
    </row>
    <row r="58" spans="1:14" x14ac:dyDescent="0.3">
      <c r="A58" s="3" t="str">
        <f t="shared" si="0"/>
        <v/>
      </c>
      <c r="E58" s="3" t="s">
        <v>36</v>
      </c>
      <c r="M58" s="3" t="str">
        <f>IF(B58="","","PF"&amp;"_"&amp;IFERROR(VLOOKUP(B58,LOOKUPS!$K$2:$L$9,2,FALSE),"UNK")&amp;"_"&amp;IFERROR(VLOOKUP(C58,LOOKUPS!$N$2:$O$8,2,FALSE),"UNK")&amp;"_"&amp;UPPER(L58))</f>
        <v/>
      </c>
      <c r="N58" s="3" t="str">
        <f>IF(M58="","",COUNTIF($M$2:M58,M58))</f>
        <v/>
      </c>
    </row>
    <row r="59" spans="1:14" x14ac:dyDescent="0.3">
      <c r="A59" s="3" t="str">
        <f t="shared" si="0"/>
        <v/>
      </c>
      <c r="E59" s="3" t="s">
        <v>36</v>
      </c>
      <c r="M59" s="3" t="str">
        <f>IF(B59="","","PF"&amp;"_"&amp;IFERROR(VLOOKUP(B59,LOOKUPS!$K$2:$L$9,2,FALSE),"UNK")&amp;"_"&amp;IFERROR(VLOOKUP(C59,LOOKUPS!$N$2:$O$8,2,FALSE),"UNK")&amp;"_"&amp;UPPER(L59))</f>
        <v/>
      </c>
      <c r="N59" s="3" t="str">
        <f>IF(M59="","",COUNTIF($M$2:M59,M59))</f>
        <v/>
      </c>
    </row>
    <row r="60" spans="1:14" x14ac:dyDescent="0.3">
      <c r="A60" s="3" t="str">
        <f t="shared" si="0"/>
        <v/>
      </c>
      <c r="E60" s="3" t="s">
        <v>36</v>
      </c>
      <c r="M60" s="3" t="str">
        <f>IF(B60="","","PF"&amp;"_"&amp;IFERROR(VLOOKUP(B60,LOOKUPS!$K$2:$L$9,2,FALSE),"UNK")&amp;"_"&amp;IFERROR(VLOOKUP(C60,LOOKUPS!$N$2:$O$8,2,FALSE),"UNK")&amp;"_"&amp;UPPER(L60))</f>
        <v/>
      </c>
      <c r="N60" s="3" t="str">
        <f>IF(M60="","",COUNTIF($M$2:M60,M60))</f>
        <v/>
      </c>
    </row>
    <row r="61" spans="1:14" x14ac:dyDescent="0.3">
      <c r="A61" s="3" t="str">
        <f t="shared" si="0"/>
        <v/>
      </c>
      <c r="E61" s="3" t="s">
        <v>36</v>
      </c>
      <c r="M61" s="3" t="str">
        <f>IF(B61="","","PF"&amp;"_"&amp;IFERROR(VLOOKUP(B61,LOOKUPS!$K$2:$L$9,2,FALSE),"UNK")&amp;"_"&amp;IFERROR(VLOOKUP(C61,LOOKUPS!$N$2:$O$8,2,FALSE),"UNK")&amp;"_"&amp;UPPER(L61))</f>
        <v/>
      </c>
      <c r="N61" s="3" t="str">
        <f>IF(M61="","",COUNTIF($M$2:M61,M61))</f>
        <v/>
      </c>
    </row>
    <row r="62" spans="1:14" x14ac:dyDescent="0.3">
      <c r="A62" s="3" t="str">
        <f t="shared" si="0"/>
        <v/>
      </c>
      <c r="E62" s="3" t="s">
        <v>36</v>
      </c>
      <c r="M62" s="3" t="str">
        <f>IF(B62="","","PF"&amp;"_"&amp;IFERROR(VLOOKUP(B62,LOOKUPS!$K$2:$L$9,2,FALSE),"UNK")&amp;"_"&amp;IFERROR(VLOOKUP(C62,LOOKUPS!$N$2:$O$8,2,FALSE),"UNK")&amp;"_"&amp;UPPER(L62))</f>
        <v/>
      </c>
      <c r="N62" s="3" t="str">
        <f>IF(M62="","",COUNTIF($M$2:M62,M62))</f>
        <v/>
      </c>
    </row>
    <row r="63" spans="1:14" x14ac:dyDescent="0.3">
      <c r="A63" s="3" t="str">
        <f t="shared" si="0"/>
        <v/>
      </c>
      <c r="E63" s="3" t="s">
        <v>36</v>
      </c>
      <c r="M63" s="3" t="str">
        <f>IF(B63="","","PF"&amp;"_"&amp;IFERROR(VLOOKUP(B63,LOOKUPS!$K$2:$L$9,2,FALSE),"UNK")&amp;"_"&amp;IFERROR(VLOOKUP(C63,LOOKUPS!$N$2:$O$8,2,FALSE),"UNK")&amp;"_"&amp;UPPER(L63))</f>
        <v/>
      </c>
      <c r="N63" s="3" t="str">
        <f>IF(M63="","",COUNTIF($M$2:M63,M63))</f>
        <v/>
      </c>
    </row>
    <row r="64" spans="1:14" x14ac:dyDescent="0.3">
      <c r="A64" s="3" t="str">
        <f t="shared" si="0"/>
        <v/>
      </c>
      <c r="E64" s="3" t="s">
        <v>36</v>
      </c>
      <c r="M64" s="3" t="str">
        <f>IF(B64="","","PF"&amp;"_"&amp;IFERROR(VLOOKUP(B64,LOOKUPS!$K$2:$L$9,2,FALSE),"UNK")&amp;"_"&amp;IFERROR(VLOOKUP(C64,LOOKUPS!$N$2:$O$8,2,FALSE),"UNK")&amp;"_"&amp;UPPER(L64))</f>
        <v/>
      </c>
      <c r="N64" s="3" t="str">
        <f>IF(M64="","",COUNTIF($M$2:M64,M64))</f>
        <v/>
      </c>
    </row>
    <row r="65" spans="1:14" x14ac:dyDescent="0.3">
      <c r="A65" s="3" t="str">
        <f t="shared" si="0"/>
        <v/>
      </c>
      <c r="E65" s="3" t="s">
        <v>36</v>
      </c>
      <c r="M65" s="3" t="str">
        <f>IF(B65="","","PF"&amp;"_"&amp;IFERROR(VLOOKUP(B65,LOOKUPS!$K$2:$L$9,2,FALSE),"UNK")&amp;"_"&amp;IFERROR(VLOOKUP(C65,LOOKUPS!$N$2:$O$8,2,FALSE),"UNK")&amp;"_"&amp;UPPER(L65))</f>
        <v/>
      </c>
      <c r="N65" s="3" t="str">
        <f>IF(M65="","",COUNTIF($M$2:M65,M65))</f>
        <v/>
      </c>
    </row>
    <row r="66" spans="1:14" x14ac:dyDescent="0.3">
      <c r="A66" s="3" t="str">
        <f t="shared" si="0"/>
        <v/>
      </c>
      <c r="E66" s="3" t="s">
        <v>36</v>
      </c>
      <c r="M66" s="3" t="str">
        <f>IF(B66="","","PF"&amp;"_"&amp;IFERROR(VLOOKUP(B66,LOOKUPS!$K$2:$L$9,2,FALSE),"UNK")&amp;"_"&amp;IFERROR(VLOOKUP(C66,LOOKUPS!$N$2:$O$8,2,FALSE),"UNK")&amp;"_"&amp;UPPER(L66))</f>
        <v/>
      </c>
      <c r="N66" s="3" t="str">
        <f>IF(M66="","",COUNTIF($M$2:M66,M66))</f>
        <v/>
      </c>
    </row>
    <row r="67" spans="1:14" x14ac:dyDescent="0.3">
      <c r="A67" s="3" t="str">
        <f t="shared" ref="A67:A130" si="1">IF(M67="","",M67&amp;"_"&amp;TEXT(N67,"000"))</f>
        <v/>
      </c>
      <c r="E67" s="3" t="s">
        <v>36</v>
      </c>
      <c r="M67" s="3" t="str">
        <f>IF(B67="","","PF"&amp;"_"&amp;IFERROR(VLOOKUP(B67,LOOKUPS!$K$2:$L$9,2,FALSE),"UNK")&amp;"_"&amp;IFERROR(VLOOKUP(C67,LOOKUPS!$N$2:$O$8,2,FALSE),"UNK")&amp;"_"&amp;UPPER(L67))</f>
        <v/>
      </c>
      <c r="N67" s="3" t="str">
        <f>IF(M67="","",COUNTIF($M$2:M67,M67))</f>
        <v/>
      </c>
    </row>
    <row r="68" spans="1:14" x14ac:dyDescent="0.3">
      <c r="A68" s="3" t="str">
        <f t="shared" si="1"/>
        <v/>
      </c>
      <c r="E68" s="3" t="s">
        <v>36</v>
      </c>
      <c r="M68" s="3" t="str">
        <f>IF(B68="","","PF"&amp;"_"&amp;IFERROR(VLOOKUP(B68,LOOKUPS!$K$2:$L$9,2,FALSE),"UNK")&amp;"_"&amp;IFERROR(VLOOKUP(C68,LOOKUPS!$N$2:$O$8,2,FALSE),"UNK")&amp;"_"&amp;UPPER(L68))</f>
        <v/>
      </c>
      <c r="N68" s="3" t="str">
        <f>IF(M68="","",COUNTIF($M$2:M68,M68))</f>
        <v/>
      </c>
    </row>
    <row r="69" spans="1:14" x14ac:dyDescent="0.3">
      <c r="A69" s="3" t="str">
        <f t="shared" si="1"/>
        <v/>
      </c>
      <c r="E69" s="3" t="s">
        <v>36</v>
      </c>
      <c r="M69" s="3" t="str">
        <f>IF(B69="","","PF"&amp;"_"&amp;IFERROR(VLOOKUP(B69,LOOKUPS!$K$2:$L$9,2,FALSE),"UNK")&amp;"_"&amp;IFERROR(VLOOKUP(C69,LOOKUPS!$N$2:$O$8,2,FALSE),"UNK")&amp;"_"&amp;UPPER(L69))</f>
        <v/>
      </c>
      <c r="N69" s="3" t="str">
        <f>IF(M69="","",COUNTIF($M$2:M69,M69))</f>
        <v/>
      </c>
    </row>
    <row r="70" spans="1:14" x14ac:dyDescent="0.3">
      <c r="A70" s="3" t="str">
        <f t="shared" si="1"/>
        <v/>
      </c>
      <c r="E70" s="3" t="s">
        <v>36</v>
      </c>
      <c r="M70" s="3" t="str">
        <f>IF(B70="","","PF"&amp;"_"&amp;IFERROR(VLOOKUP(B70,LOOKUPS!$K$2:$L$9,2,FALSE),"UNK")&amp;"_"&amp;IFERROR(VLOOKUP(C70,LOOKUPS!$N$2:$O$8,2,FALSE),"UNK")&amp;"_"&amp;UPPER(L70))</f>
        <v/>
      </c>
      <c r="N70" s="3" t="str">
        <f>IF(M70="","",COUNTIF($M$2:M70,M70))</f>
        <v/>
      </c>
    </row>
    <row r="71" spans="1:14" x14ac:dyDescent="0.3">
      <c r="A71" s="3" t="str">
        <f t="shared" si="1"/>
        <v/>
      </c>
      <c r="E71" s="3" t="s">
        <v>36</v>
      </c>
      <c r="M71" s="3" t="str">
        <f>IF(B71="","","PF"&amp;"_"&amp;IFERROR(VLOOKUP(B71,LOOKUPS!$K$2:$L$9,2,FALSE),"UNK")&amp;"_"&amp;IFERROR(VLOOKUP(C71,LOOKUPS!$N$2:$O$8,2,FALSE),"UNK")&amp;"_"&amp;UPPER(L71))</f>
        <v/>
      </c>
      <c r="N71" s="3" t="str">
        <f>IF(M71="","",COUNTIF($M$2:M71,M71))</f>
        <v/>
      </c>
    </row>
    <row r="72" spans="1:14" x14ac:dyDescent="0.3">
      <c r="A72" s="3" t="str">
        <f t="shared" si="1"/>
        <v/>
      </c>
      <c r="E72" s="3" t="s">
        <v>36</v>
      </c>
      <c r="M72" s="3" t="str">
        <f>IF(B72="","","PF"&amp;"_"&amp;IFERROR(VLOOKUP(B72,LOOKUPS!$K$2:$L$9,2,FALSE),"UNK")&amp;"_"&amp;IFERROR(VLOOKUP(C72,LOOKUPS!$N$2:$O$8,2,FALSE),"UNK")&amp;"_"&amp;UPPER(L72))</f>
        <v/>
      </c>
      <c r="N72" s="3" t="str">
        <f>IF(M72="","",COUNTIF($M$2:M72,M72))</f>
        <v/>
      </c>
    </row>
    <row r="73" spans="1:14" x14ac:dyDescent="0.3">
      <c r="A73" s="3" t="str">
        <f t="shared" si="1"/>
        <v/>
      </c>
      <c r="E73" s="3" t="s">
        <v>36</v>
      </c>
      <c r="M73" s="3" t="str">
        <f>IF(B73="","","PF"&amp;"_"&amp;IFERROR(VLOOKUP(B73,LOOKUPS!$K$2:$L$9,2,FALSE),"UNK")&amp;"_"&amp;IFERROR(VLOOKUP(C73,LOOKUPS!$N$2:$O$8,2,FALSE),"UNK")&amp;"_"&amp;UPPER(L73))</f>
        <v/>
      </c>
      <c r="N73" s="3" t="str">
        <f>IF(M73="","",COUNTIF($M$2:M73,M73))</f>
        <v/>
      </c>
    </row>
    <row r="74" spans="1:14" x14ac:dyDescent="0.3">
      <c r="A74" s="3" t="str">
        <f t="shared" si="1"/>
        <v/>
      </c>
      <c r="E74" s="3" t="s">
        <v>36</v>
      </c>
      <c r="M74" s="3" t="str">
        <f>IF(B74="","","PF"&amp;"_"&amp;IFERROR(VLOOKUP(B74,LOOKUPS!$K$2:$L$9,2,FALSE),"UNK")&amp;"_"&amp;IFERROR(VLOOKUP(C74,LOOKUPS!$N$2:$O$8,2,FALSE),"UNK")&amp;"_"&amp;UPPER(L74))</f>
        <v/>
      </c>
      <c r="N74" s="3" t="str">
        <f>IF(M74="","",COUNTIF($M$2:M74,M74))</f>
        <v/>
      </c>
    </row>
    <row r="75" spans="1:14" x14ac:dyDescent="0.3">
      <c r="A75" s="3" t="str">
        <f t="shared" si="1"/>
        <v/>
      </c>
      <c r="E75" s="3" t="s">
        <v>36</v>
      </c>
      <c r="M75" s="3" t="str">
        <f>IF(B75="","","PF"&amp;"_"&amp;IFERROR(VLOOKUP(B75,LOOKUPS!$K$2:$L$9,2,FALSE),"UNK")&amp;"_"&amp;IFERROR(VLOOKUP(C75,LOOKUPS!$N$2:$O$8,2,FALSE),"UNK")&amp;"_"&amp;UPPER(L75))</f>
        <v/>
      </c>
      <c r="N75" s="3" t="str">
        <f>IF(M75="","",COUNTIF($M$2:M75,M75))</f>
        <v/>
      </c>
    </row>
    <row r="76" spans="1:14" x14ac:dyDescent="0.3">
      <c r="A76" s="3" t="str">
        <f t="shared" si="1"/>
        <v/>
      </c>
      <c r="E76" s="3" t="s">
        <v>36</v>
      </c>
      <c r="M76" s="3" t="str">
        <f>IF(B76="","","PF"&amp;"_"&amp;IFERROR(VLOOKUP(B76,LOOKUPS!$K$2:$L$9,2,FALSE),"UNK")&amp;"_"&amp;IFERROR(VLOOKUP(C76,LOOKUPS!$N$2:$O$8,2,FALSE),"UNK")&amp;"_"&amp;UPPER(L76))</f>
        <v/>
      </c>
      <c r="N76" s="3" t="str">
        <f>IF(M76="","",COUNTIF($M$2:M76,M76))</f>
        <v/>
      </c>
    </row>
    <row r="77" spans="1:14" x14ac:dyDescent="0.3">
      <c r="A77" s="3" t="str">
        <f t="shared" si="1"/>
        <v/>
      </c>
      <c r="E77" s="3" t="s">
        <v>36</v>
      </c>
      <c r="M77" s="3" t="str">
        <f>IF(B77="","","PF"&amp;"_"&amp;IFERROR(VLOOKUP(B77,LOOKUPS!$K$2:$L$9,2,FALSE),"UNK")&amp;"_"&amp;IFERROR(VLOOKUP(C77,LOOKUPS!$N$2:$O$8,2,FALSE),"UNK")&amp;"_"&amp;UPPER(L77))</f>
        <v/>
      </c>
      <c r="N77" s="3" t="str">
        <f>IF(M77="","",COUNTIF($M$2:M77,M77))</f>
        <v/>
      </c>
    </row>
    <row r="78" spans="1:14" x14ac:dyDescent="0.3">
      <c r="A78" s="3" t="str">
        <f t="shared" si="1"/>
        <v/>
      </c>
      <c r="E78" s="3" t="s">
        <v>36</v>
      </c>
      <c r="M78" s="3" t="str">
        <f>IF(B78="","","PF"&amp;"_"&amp;IFERROR(VLOOKUP(B78,LOOKUPS!$K$2:$L$9,2,FALSE),"UNK")&amp;"_"&amp;IFERROR(VLOOKUP(C78,LOOKUPS!$N$2:$O$8,2,FALSE),"UNK")&amp;"_"&amp;UPPER(L78))</f>
        <v/>
      </c>
      <c r="N78" s="3" t="str">
        <f>IF(M78="","",COUNTIF($M$2:M78,M78))</f>
        <v/>
      </c>
    </row>
    <row r="79" spans="1:14" x14ac:dyDescent="0.3">
      <c r="A79" s="3" t="str">
        <f t="shared" si="1"/>
        <v/>
      </c>
      <c r="E79" s="3" t="s">
        <v>36</v>
      </c>
      <c r="M79" s="3" t="str">
        <f>IF(B79="","","PF"&amp;"_"&amp;IFERROR(VLOOKUP(B79,LOOKUPS!$K$2:$L$9,2,FALSE),"UNK")&amp;"_"&amp;IFERROR(VLOOKUP(C79,LOOKUPS!$N$2:$O$8,2,FALSE),"UNK")&amp;"_"&amp;UPPER(L79))</f>
        <v/>
      </c>
      <c r="N79" s="3" t="str">
        <f>IF(M79="","",COUNTIF($M$2:M79,M79))</f>
        <v/>
      </c>
    </row>
    <row r="80" spans="1:14" x14ac:dyDescent="0.3">
      <c r="A80" s="3" t="str">
        <f t="shared" si="1"/>
        <v/>
      </c>
      <c r="E80" s="3" t="s">
        <v>36</v>
      </c>
      <c r="M80" s="3" t="str">
        <f>IF(B80="","","PF"&amp;"_"&amp;IFERROR(VLOOKUP(B80,LOOKUPS!$K$2:$L$9,2,FALSE),"UNK")&amp;"_"&amp;IFERROR(VLOOKUP(C80,LOOKUPS!$N$2:$O$8,2,FALSE),"UNK")&amp;"_"&amp;UPPER(L80))</f>
        <v/>
      </c>
      <c r="N80" s="3" t="str">
        <f>IF(M80="","",COUNTIF($M$2:M80,M80))</f>
        <v/>
      </c>
    </row>
    <row r="81" spans="1:14" x14ac:dyDescent="0.3">
      <c r="A81" s="3" t="str">
        <f t="shared" si="1"/>
        <v/>
      </c>
      <c r="E81" s="3" t="s">
        <v>36</v>
      </c>
      <c r="M81" s="3" t="str">
        <f>IF(B81="","","PF"&amp;"_"&amp;IFERROR(VLOOKUP(B81,LOOKUPS!$K$2:$L$9,2,FALSE),"UNK")&amp;"_"&amp;IFERROR(VLOOKUP(C81,LOOKUPS!$N$2:$O$8,2,FALSE),"UNK")&amp;"_"&amp;UPPER(L81))</f>
        <v/>
      </c>
      <c r="N81" s="3" t="str">
        <f>IF(M81="","",COUNTIF($M$2:M81,M81))</f>
        <v/>
      </c>
    </row>
    <row r="82" spans="1:14" x14ac:dyDescent="0.3">
      <c r="A82" s="3" t="str">
        <f t="shared" si="1"/>
        <v/>
      </c>
      <c r="E82" s="3" t="s">
        <v>36</v>
      </c>
      <c r="M82" s="3" t="str">
        <f>IF(B82="","","PF"&amp;"_"&amp;IFERROR(VLOOKUP(B82,LOOKUPS!$K$2:$L$9,2,FALSE),"UNK")&amp;"_"&amp;IFERROR(VLOOKUP(C82,LOOKUPS!$N$2:$O$8,2,FALSE),"UNK")&amp;"_"&amp;UPPER(L82))</f>
        <v/>
      </c>
      <c r="N82" s="3" t="str">
        <f>IF(M82="","",COUNTIF($M$2:M82,M82))</f>
        <v/>
      </c>
    </row>
    <row r="83" spans="1:14" x14ac:dyDescent="0.3">
      <c r="A83" s="3" t="str">
        <f t="shared" si="1"/>
        <v/>
      </c>
      <c r="E83" s="3" t="s">
        <v>36</v>
      </c>
      <c r="M83" s="3" t="str">
        <f>IF(B83="","","PF"&amp;"_"&amp;IFERROR(VLOOKUP(B83,LOOKUPS!$K$2:$L$9,2,FALSE),"UNK")&amp;"_"&amp;IFERROR(VLOOKUP(C83,LOOKUPS!$N$2:$O$8,2,FALSE),"UNK")&amp;"_"&amp;UPPER(L83))</f>
        <v/>
      </c>
      <c r="N83" s="3" t="str">
        <f>IF(M83="","",COUNTIF($M$2:M83,M83))</f>
        <v/>
      </c>
    </row>
    <row r="84" spans="1:14" x14ac:dyDescent="0.3">
      <c r="A84" s="3" t="str">
        <f t="shared" si="1"/>
        <v/>
      </c>
      <c r="E84" s="3" t="s">
        <v>36</v>
      </c>
      <c r="M84" s="3" t="str">
        <f>IF(B84="","","PF"&amp;"_"&amp;IFERROR(VLOOKUP(B84,LOOKUPS!$K$2:$L$9,2,FALSE),"UNK")&amp;"_"&amp;IFERROR(VLOOKUP(C84,LOOKUPS!$N$2:$O$8,2,FALSE),"UNK")&amp;"_"&amp;UPPER(L84))</f>
        <v/>
      </c>
      <c r="N84" s="3" t="str">
        <f>IF(M84="","",COUNTIF($M$2:M84,M84))</f>
        <v/>
      </c>
    </row>
    <row r="85" spans="1:14" x14ac:dyDescent="0.3">
      <c r="A85" s="3" t="str">
        <f t="shared" si="1"/>
        <v/>
      </c>
      <c r="E85" s="3" t="s">
        <v>36</v>
      </c>
      <c r="M85" s="3" t="str">
        <f>IF(B85="","","PF"&amp;"_"&amp;IFERROR(VLOOKUP(B85,LOOKUPS!$K$2:$L$9,2,FALSE),"UNK")&amp;"_"&amp;IFERROR(VLOOKUP(C85,LOOKUPS!$N$2:$O$8,2,FALSE),"UNK")&amp;"_"&amp;UPPER(L85))</f>
        <v/>
      </c>
      <c r="N85" s="3" t="str">
        <f>IF(M85="","",COUNTIF($M$2:M85,M85))</f>
        <v/>
      </c>
    </row>
    <row r="86" spans="1:14" x14ac:dyDescent="0.3">
      <c r="A86" s="3" t="str">
        <f t="shared" si="1"/>
        <v/>
      </c>
      <c r="E86" s="3" t="s">
        <v>36</v>
      </c>
      <c r="M86" s="3" t="str">
        <f>IF(B86="","","PF"&amp;"_"&amp;IFERROR(VLOOKUP(B86,LOOKUPS!$K$2:$L$9,2,FALSE),"UNK")&amp;"_"&amp;IFERROR(VLOOKUP(C86,LOOKUPS!$N$2:$O$8,2,FALSE),"UNK")&amp;"_"&amp;UPPER(L86))</f>
        <v/>
      </c>
      <c r="N86" s="3" t="str">
        <f>IF(M86="","",COUNTIF($M$2:M86,M86))</f>
        <v/>
      </c>
    </row>
    <row r="87" spans="1:14" x14ac:dyDescent="0.3">
      <c r="A87" s="3" t="str">
        <f t="shared" si="1"/>
        <v/>
      </c>
      <c r="E87" s="3" t="s">
        <v>36</v>
      </c>
      <c r="M87" s="3" t="str">
        <f>IF(B87="","","PF"&amp;"_"&amp;IFERROR(VLOOKUP(B87,LOOKUPS!$K$2:$L$9,2,FALSE),"UNK")&amp;"_"&amp;IFERROR(VLOOKUP(C87,LOOKUPS!$N$2:$O$8,2,FALSE),"UNK")&amp;"_"&amp;UPPER(L87))</f>
        <v/>
      </c>
      <c r="N87" s="3" t="str">
        <f>IF(M87="","",COUNTIF($M$2:M87,M87))</f>
        <v/>
      </c>
    </row>
    <row r="88" spans="1:14" x14ac:dyDescent="0.3">
      <c r="A88" s="3" t="str">
        <f t="shared" si="1"/>
        <v/>
      </c>
      <c r="E88" s="3" t="s">
        <v>36</v>
      </c>
      <c r="M88" s="3" t="str">
        <f>IF(B88="","","PF"&amp;"_"&amp;IFERROR(VLOOKUP(B88,LOOKUPS!$K$2:$L$9,2,FALSE),"UNK")&amp;"_"&amp;IFERROR(VLOOKUP(C88,LOOKUPS!$N$2:$O$8,2,FALSE),"UNK")&amp;"_"&amp;UPPER(L88))</f>
        <v/>
      </c>
      <c r="N88" s="3" t="str">
        <f>IF(M88="","",COUNTIF($M$2:M88,M88))</f>
        <v/>
      </c>
    </row>
    <row r="89" spans="1:14" x14ac:dyDescent="0.3">
      <c r="A89" s="3" t="str">
        <f t="shared" si="1"/>
        <v/>
      </c>
      <c r="E89" s="3" t="s">
        <v>36</v>
      </c>
      <c r="M89" s="3" t="str">
        <f>IF(B89="","","PF"&amp;"_"&amp;IFERROR(VLOOKUP(B89,LOOKUPS!$K$2:$L$9,2,FALSE),"UNK")&amp;"_"&amp;IFERROR(VLOOKUP(C89,LOOKUPS!$N$2:$O$8,2,FALSE),"UNK")&amp;"_"&amp;UPPER(L89))</f>
        <v/>
      </c>
      <c r="N89" s="3" t="str">
        <f>IF(M89="","",COUNTIF($M$2:M89,M89))</f>
        <v/>
      </c>
    </row>
    <row r="90" spans="1:14" x14ac:dyDescent="0.3">
      <c r="A90" s="3" t="str">
        <f t="shared" si="1"/>
        <v/>
      </c>
      <c r="E90" s="3" t="s">
        <v>36</v>
      </c>
      <c r="M90" s="3" t="str">
        <f>IF(B90="","","PF"&amp;"_"&amp;IFERROR(VLOOKUP(B90,LOOKUPS!$K$2:$L$9,2,FALSE),"UNK")&amp;"_"&amp;IFERROR(VLOOKUP(C90,LOOKUPS!$N$2:$O$8,2,FALSE),"UNK")&amp;"_"&amp;UPPER(L90))</f>
        <v/>
      </c>
      <c r="N90" s="3" t="str">
        <f>IF(M90="","",COUNTIF($M$2:M90,M90))</f>
        <v/>
      </c>
    </row>
    <row r="91" spans="1:14" x14ac:dyDescent="0.3">
      <c r="A91" s="3" t="str">
        <f t="shared" si="1"/>
        <v/>
      </c>
      <c r="E91" s="3" t="s">
        <v>36</v>
      </c>
      <c r="M91" s="3" t="str">
        <f>IF(B91="","","PF"&amp;"_"&amp;IFERROR(VLOOKUP(B91,LOOKUPS!$K$2:$L$9,2,FALSE),"UNK")&amp;"_"&amp;IFERROR(VLOOKUP(C91,LOOKUPS!$N$2:$O$8,2,FALSE),"UNK")&amp;"_"&amp;UPPER(L91))</f>
        <v/>
      </c>
      <c r="N91" s="3" t="str">
        <f>IF(M91="","",COUNTIF($M$2:M91,M91))</f>
        <v/>
      </c>
    </row>
    <row r="92" spans="1:14" x14ac:dyDescent="0.3">
      <c r="A92" s="3" t="str">
        <f t="shared" si="1"/>
        <v/>
      </c>
      <c r="E92" s="3" t="s">
        <v>36</v>
      </c>
      <c r="M92" s="3" t="str">
        <f>IF(B92="","","PF"&amp;"_"&amp;IFERROR(VLOOKUP(B92,LOOKUPS!$K$2:$L$9,2,FALSE),"UNK")&amp;"_"&amp;IFERROR(VLOOKUP(C92,LOOKUPS!$N$2:$O$8,2,FALSE),"UNK")&amp;"_"&amp;UPPER(L92))</f>
        <v/>
      </c>
      <c r="N92" s="3" t="str">
        <f>IF(M92="","",COUNTIF($M$2:M92,M92))</f>
        <v/>
      </c>
    </row>
    <row r="93" spans="1:14" x14ac:dyDescent="0.3">
      <c r="A93" s="3" t="str">
        <f t="shared" si="1"/>
        <v/>
      </c>
      <c r="E93" s="3" t="s">
        <v>36</v>
      </c>
      <c r="M93" s="3" t="str">
        <f>IF(B93="","","PF"&amp;"_"&amp;IFERROR(VLOOKUP(B93,LOOKUPS!$K$2:$L$9,2,FALSE),"UNK")&amp;"_"&amp;IFERROR(VLOOKUP(C93,LOOKUPS!$N$2:$O$8,2,FALSE),"UNK")&amp;"_"&amp;UPPER(L93))</f>
        <v/>
      </c>
      <c r="N93" s="3" t="str">
        <f>IF(M93="","",COUNTIF($M$2:M93,M93))</f>
        <v/>
      </c>
    </row>
    <row r="94" spans="1:14" x14ac:dyDescent="0.3">
      <c r="A94" s="3" t="str">
        <f t="shared" si="1"/>
        <v/>
      </c>
      <c r="E94" s="3" t="s">
        <v>36</v>
      </c>
      <c r="M94" s="3" t="str">
        <f>IF(B94="","","PF"&amp;"_"&amp;IFERROR(VLOOKUP(B94,LOOKUPS!$K$2:$L$9,2,FALSE),"UNK")&amp;"_"&amp;IFERROR(VLOOKUP(C94,LOOKUPS!$N$2:$O$8,2,FALSE),"UNK")&amp;"_"&amp;UPPER(L94))</f>
        <v/>
      </c>
      <c r="N94" s="3" t="str">
        <f>IF(M94="","",COUNTIF($M$2:M94,M94))</f>
        <v/>
      </c>
    </row>
    <row r="95" spans="1:14" x14ac:dyDescent="0.3">
      <c r="A95" s="3" t="str">
        <f t="shared" si="1"/>
        <v/>
      </c>
      <c r="E95" s="3" t="s">
        <v>36</v>
      </c>
      <c r="M95" s="3" t="str">
        <f>IF(B95="","","PF"&amp;"_"&amp;IFERROR(VLOOKUP(B95,LOOKUPS!$K$2:$L$9,2,FALSE),"UNK")&amp;"_"&amp;IFERROR(VLOOKUP(C95,LOOKUPS!$N$2:$O$8,2,FALSE),"UNK")&amp;"_"&amp;UPPER(L95))</f>
        <v/>
      </c>
      <c r="N95" s="3" t="str">
        <f>IF(M95="","",COUNTIF($M$2:M95,M95))</f>
        <v/>
      </c>
    </row>
    <row r="96" spans="1:14" x14ac:dyDescent="0.3">
      <c r="A96" s="3" t="str">
        <f t="shared" si="1"/>
        <v/>
      </c>
      <c r="E96" s="3" t="s">
        <v>36</v>
      </c>
      <c r="M96" s="3" t="str">
        <f>IF(B96="","","PF"&amp;"_"&amp;IFERROR(VLOOKUP(B96,LOOKUPS!$K$2:$L$9,2,FALSE),"UNK")&amp;"_"&amp;IFERROR(VLOOKUP(C96,LOOKUPS!$N$2:$O$8,2,FALSE),"UNK")&amp;"_"&amp;UPPER(L96))</f>
        <v/>
      </c>
      <c r="N96" s="3" t="str">
        <f>IF(M96="","",COUNTIF($M$2:M96,M96))</f>
        <v/>
      </c>
    </row>
    <row r="97" spans="1:14" x14ac:dyDescent="0.3">
      <c r="A97" s="3" t="str">
        <f t="shared" si="1"/>
        <v/>
      </c>
      <c r="E97" s="3" t="s">
        <v>36</v>
      </c>
      <c r="M97" s="3" t="str">
        <f>IF(B97="","","PF"&amp;"_"&amp;IFERROR(VLOOKUP(B97,LOOKUPS!$K$2:$L$9,2,FALSE),"UNK")&amp;"_"&amp;IFERROR(VLOOKUP(C97,LOOKUPS!$N$2:$O$8,2,FALSE),"UNK")&amp;"_"&amp;UPPER(L97))</f>
        <v/>
      </c>
      <c r="N97" s="3" t="str">
        <f>IF(M97="","",COUNTIF($M$2:M97,M97))</f>
        <v/>
      </c>
    </row>
    <row r="98" spans="1:14" x14ac:dyDescent="0.3">
      <c r="A98" s="3" t="str">
        <f t="shared" si="1"/>
        <v/>
      </c>
      <c r="E98" s="3" t="s">
        <v>36</v>
      </c>
      <c r="M98" s="3" t="str">
        <f>IF(B98="","","PF"&amp;"_"&amp;IFERROR(VLOOKUP(B98,LOOKUPS!$K$2:$L$9,2,FALSE),"UNK")&amp;"_"&amp;IFERROR(VLOOKUP(C98,LOOKUPS!$N$2:$O$8,2,FALSE),"UNK")&amp;"_"&amp;UPPER(L98))</f>
        <v/>
      </c>
      <c r="N98" s="3" t="str">
        <f>IF(M98="","",COUNTIF($M$2:M98,M98))</f>
        <v/>
      </c>
    </row>
    <row r="99" spans="1:14" x14ac:dyDescent="0.3">
      <c r="A99" s="3" t="str">
        <f t="shared" si="1"/>
        <v/>
      </c>
      <c r="E99" s="3" t="s">
        <v>36</v>
      </c>
      <c r="M99" s="3" t="str">
        <f>IF(B99="","","PF"&amp;"_"&amp;IFERROR(VLOOKUP(B99,LOOKUPS!$K$2:$L$9,2,FALSE),"UNK")&amp;"_"&amp;IFERROR(VLOOKUP(C99,LOOKUPS!$N$2:$O$8,2,FALSE),"UNK")&amp;"_"&amp;UPPER(L99))</f>
        <v/>
      </c>
      <c r="N99" s="3" t="str">
        <f>IF(M99="","",COUNTIF($M$2:M99,M99))</f>
        <v/>
      </c>
    </row>
    <row r="100" spans="1:14" x14ac:dyDescent="0.3">
      <c r="A100" s="3" t="str">
        <f t="shared" si="1"/>
        <v/>
      </c>
      <c r="E100" s="3" t="s">
        <v>36</v>
      </c>
      <c r="M100" s="3" t="str">
        <f>IF(B100="","","PF"&amp;"_"&amp;IFERROR(VLOOKUP(B100,LOOKUPS!$K$2:$L$9,2,FALSE),"UNK")&amp;"_"&amp;IFERROR(VLOOKUP(C100,LOOKUPS!$N$2:$O$8,2,FALSE),"UNK")&amp;"_"&amp;UPPER(L100))</f>
        <v/>
      </c>
      <c r="N100" s="3" t="str">
        <f>IF(M100="","",COUNTIF($M$2:M100,M100))</f>
        <v/>
      </c>
    </row>
    <row r="101" spans="1:14" x14ac:dyDescent="0.3">
      <c r="A101" s="3" t="str">
        <f t="shared" si="1"/>
        <v/>
      </c>
      <c r="E101" s="3" t="s">
        <v>36</v>
      </c>
      <c r="M101" s="3" t="str">
        <f>IF(B101="","","PF"&amp;"_"&amp;IFERROR(VLOOKUP(B101,LOOKUPS!$K$2:$L$9,2,FALSE),"UNK")&amp;"_"&amp;IFERROR(VLOOKUP(C101,LOOKUPS!$N$2:$O$8,2,FALSE),"UNK")&amp;"_"&amp;UPPER(L101))</f>
        <v/>
      </c>
      <c r="N101" s="3" t="str">
        <f>IF(M101="","",COUNTIF($M$2:M101,M101))</f>
        <v/>
      </c>
    </row>
    <row r="102" spans="1:14" x14ac:dyDescent="0.3">
      <c r="A102" s="3" t="str">
        <f t="shared" si="1"/>
        <v/>
      </c>
      <c r="E102" s="3" t="s">
        <v>36</v>
      </c>
      <c r="M102" s="3" t="str">
        <f>IF(B102="","","PF"&amp;"_"&amp;IFERROR(VLOOKUP(B102,LOOKUPS!$K$2:$L$9,2,FALSE),"UNK")&amp;"_"&amp;IFERROR(VLOOKUP(C102,LOOKUPS!$N$2:$O$8,2,FALSE),"UNK")&amp;"_"&amp;UPPER(L102))</f>
        <v/>
      </c>
      <c r="N102" s="3" t="str">
        <f>IF(M102="","",COUNTIF($M$2:M102,M102))</f>
        <v/>
      </c>
    </row>
    <row r="103" spans="1:14" x14ac:dyDescent="0.3">
      <c r="A103" s="3" t="str">
        <f t="shared" si="1"/>
        <v/>
      </c>
      <c r="E103" s="3" t="s">
        <v>36</v>
      </c>
      <c r="M103" s="3" t="str">
        <f>IF(B103="","","PF"&amp;"_"&amp;IFERROR(VLOOKUP(B103,LOOKUPS!$K$2:$L$9,2,FALSE),"UNK")&amp;"_"&amp;IFERROR(VLOOKUP(C103,LOOKUPS!$N$2:$O$8,2,FALSE),"UNK")&amp;"_"&amp;UPPER(L103))</f>
        <v/>
      </c>
      <c r="N103" s="3" t="str">
        <f>IF(M103="","",COUNTIF($M$2:M103,M103))</f>
        <v/>
      </c>
    </row>
    <row r="104" spans="1:14" x14ac:dyDescent="0.3">
      <c r="A104" s="3" t="str">
        <f t="shared" si="1"/>
        <v/>
      </c>
      <c r="E104" s="3" t="s">
        <v>36</v>
      </c>
      <c r="M104" s="3" t="str">
        <f>IF(B104="","","PF"&amp;"_"&amp;IFERROR(VLOOKUP(B104,LOOKUPS!$K$2:$L$9,2,FALSE),"UNK")&amp;"_"&amp;IFERROR(VLOOKUP(C104,LOOKUPS!$N$2:$O$8,2,FALSE),"UNK")&amp;"_"&amp;UPPER(L104))</f>
        <v/>
      </c>
      <c r="N104" s="3" t="str">
        <f>IF(M104="","",COUNTIF($M$2:M104,M104))</f>
        <v/>
      </c>
    </row>
    <row r="105" spans="1:14" x14ac:dyDescent="0.3">
      <c r="A105" s="3" t="str">
        <f t="shared" si="1"/>
        <v/>
      </c>
      <c r="E105" s="3" t="s">
        <v>36</v>
      </c>
      <c r="M105" s="3" t="str">
        <f>IF(B105="","","PF"&amp;"_"&amp;IFERROR(VLOOKUP(B105,LOOKUPS!$K$2:$L$9,2,FALSE),"UNK")&amp;"_"&amp;IFERROR(VLOOKUP(C105,LOOKUPS!$N$2:$O$8,2,FALSE),"UNK")&amp;"_"&amp;UPPER(L105))</f>
        <v/>
      </c>
      <c r="N105" s="3" t="str">
        <f>IF(M105="","",COUNTIF($M$2:M105,M105))</f>
        <v/>
      </c>
    </row>
    <row r="106" spans="1:14" x14ac:dyDescent="0.3">
      <c r="A106" s="3" t="str">
        <f t="shared" si="1"/>
        <v/>
      </c>
      <c r="E106" s="3" t="s">
        <v>36</v>
      </c>
      <c r="M106" s="3" t="str">
        <f>IF(B106="","","PF"&amp;"_"&amp;IFERROR(VLOOKUP(B106,LOOKUPS!$K$2:$L$9,2,FALSE),"UNK")&amp;"_"&amp;IFERROR(VLOOKUP(C106,LOOKUPS!$N$2:$O$8,2,FALSE),"UNK")&amp;"_"&amp;UPPER(L106))</f>
        <v/>
      </c>
      <c r="N106" s="3" t="str">
        <f>IF(M106="","",COUNTIF($M$2:M106,M106))</f>
        <v/>
      </c>
    </row>
    <row r="107" spans="1:14" x14ac:dyDescent="0.3">
      <c r="A107" s="3" t="str">
        <f t="shared" si="1"/>
        <v/>
      </c>
      <c r="E107" s="3" t="s">
        <v>36</v>
      </c>
      <c r="M107" s="3" t="str">
        <f>IF(B107="","","PF"&amp;"_"&amp;IFERROR(VLOOKUP(B107,LOOKUPS!$K$2:$L$9,2,FALSE),"UNK")&amp;"_"&amp;IFERROR(VLOOKUP(C107,LOOKUPS!$N$2:$O$8,2,FALSE),"UNK")&amp;"_"&amp;UPPER(L107))</f>
        <v/>
      </c>
      <c r="N107" s="3" t="str">
        <f>IF(M107="","",COUNTIF($M$2:M107,M107))</f>
        <v/>
      </c>
    </row>
    <row r="108" spans="1:14" x14ac:dyDescent="0.3">
      <c r="A108" s="3" t="str">
        <f t="shared" si="1"/>
        <v/>
      </c>
      <c r="E108" s="3" t="s">
        <v>36</v>
      </c>
      <c r="M108" s="3" t="str">
        <f>IF(B108="","","PF"&amp;"_"&amp;IFERROR(VLOOKUP(B108,LOOKUPS!$K$2:$L$9,2,FALSE),"UNK")&amp;"_"&amp;IFERROR(VLOOKUP(C108,LOOKUPS!$N$2:$O$8,2,FALSE),"UNK")&amp;"_"&amp;UPPER(L108))</f>
        <v/>
      </c>
      <c r="N108" s="3" t="str">
        <f>IF(M108="","",COUNTIF($M$2:M108,M108))</f>
        <v/>
      </c>
    </row>
    <row r="109" spans="1:14" x14ac:dyDescent="0.3">
      <c r="A109" s="3" t="str">
        <f t="shared" si="1"/>
        <v/>
      </c>
      <c r="E109" s="3" t="s">
        <v>36</v>
      </c>
      <c r="M109" s="3" t="str">
        <f>IF(B109="","","PF"&amp;"_"&amp;IFERROR(VLOOKUP(B109,LOOKUPS!$K$2:$L$9,2,FALSE),"UNK")&amp;"_"&amp;IFERROR(VLOOKUP(C109,LOOKUPS!$N$2:$O$8,2,FALSE),"UNK")&amp;"_"&amp;UPPER(L109))</f>
        <v/>
      </c>
      <c r="N109" s="3" t="str">
        <f>IF(M109="","",COUNTIF($M$2:M109,M109))</f>
        <v/>
      </c>
    </row>
    <row r="110" spans="1:14" x14ac:dyDescent="0.3">
      <c r="A110" s="3" t="str">
        <f t="shared" si="1"/>
        <v/>
      </c>
      <c r="E110" s="3" t="s">
        <v>36</v>
      </c>
      <c r="M110" s="3" t="str">
        <f>IF(B110="","","PF"&amp;"_"&amp;IFERROR(VLOOKUP(B110,LOOKUPS!$K$2:$L$9,2,FALSE),"UNK")&amp;"_"&amp;IFERROR(VLOOKUP(C110,LOOKUPS!$N$2:$O$8,2,FALSE),"UNK")&amp;"_"&amp;UPPER(L110))</f>
        <v/>
      </c>
      <c r="N110" s="3" t="str">
        <f>IF(M110="","",COUNTIF($M$2:M110,M110))</f>
        <v/>
      </c>
    </row>
    <row r="111" spans="1:14" x14ac:dyDescent="0.3">
      <c r="A111" s="3" t="str">
        <f t="shared" si="1"/>
        <v/>
      </c>
      <c r="E111" s="3" t="s">
        <v>36</v>
      </c>
      <c r="M111" s="3" t="str">
        <f>IF(B111="","","PF"&amp;"_"&amp;IFERROR(VLOOKUP(B111,LOOKUPS!$K$2:$L$9,2,FALSE),"UNK")&amp;"_"&amp;IFERROR(VLOOKUP(C111,LOOKUPS!$N$2:$O$8,2,FALSE),"UNK")&amp;"_"&amp;UPPER(L111))</f>
        <v/>
      </c>
      <c r="N111" s="3" t="str">
        <f>IF(M111="","",COUNTIF($M$2:M111,M111))</f>
        <v/>
      </c>
    </row>
    <row r="112" spans="1:14" x14ac:dyDescent="0.3">
      <c r="A112" s="3" t="str">
        <f t="shared" si="1"/>
        <v/>
      </c>
      <c r="E112" s="3" t="s">
        <v>36</v>
      </c>
      <c r="M112" s="3" t="str">
        <f>IF(B112="","","PF"&amp;"_"&amp;IFERROR(VLOOKUP(B112,LOOKUPS!$K$2:$L$9,2,FALSE),"UNK")&amp;"_"&amp;IFERROR(VLOOKUP(C112,LOOKUPS!$N$2:$O$8,2,FALSE),"UNK")&amp;"_"&amp;UPPER(L112))</f>
        <v/>
      </c>
      <c r="N112" s="3" t="str">
        <f>IF(M112="","",COUNTIF($M$2:M112,M112))</f>
        <v/>
      </c>
    </row>
    <row r="113" spans="1:14" x14ac:dyDescent="0.3">
      <c r="A113" s="3" t="str">
        <f t="shared" si="1"/>
        <v/>
      </c>
      <c r="E113" s="3" t="s">
        <v>36</v>
      </c>
      <c r="M113" s="3" t="str">
        <f>IF(B113="","","PF"&amp;"_"&amp;IFERROR(VLOOKUP(B113,LOOKUPS!$K$2:$L$9,2,FALSE),"UNK")&amp;"_"&amp;IFERROR(VLOOKUP(C113,LOOKUPS!$N$2:$O$8,2,FALSE),"UNK")&amp;"_"&amp;UPPER(L113))</f>
        <v/>
      </c>
      <c r="N113" s="3" t="str">
        <f>IF(M113="","",COUNTIF($M$2:M113,M113))</f>
        <v/>
      </c>
    </row>
    <row r="114" spans="1:14" x14ac:dyDescent="0.3">
      <c r="A114" s="3" t="str">
        <f t="shared" si="1"/>
        <v/>
      </c>
      <c r="E114" s="3" t="s">
        <v>36</v>
      </c>
      <c r="M114" s="3" t="str">
        <f>IF(B114="","","PF"&amp;"_"&amp;IFERROR(VLOOKUP(B114,LOOKUPS!$K$2:$L$9,2,FALSE),"UNK")&amp;"_"&amp;IFERROR(VLOOKUP(C114,LOOKUPS!$N$2:$O$8,2,FALSE),"UNK")&amp;"_"&amp;UPPER(L114))</f>
        <v/>
      </c>
      <c r="N114" s="3" t="str">
        <f>IF(M114="","",COUNTIF($M$2:M114,M114))</f>
        <v/>
      </c>
    </row>
    <row r="115" spans="1:14" x14ac:dyDescent="0.3">
      <c r="A115" s="3" t="str">
        <f t="shared" si="1"/>
        <v/>
      </c>
      <c r="E115" s="3" t="s">
        <v>36</v>
      </c>
      <c r="M115" s="3" t="str">
        <f>IF(B115="","","PF"&amp;"_"&amp;IFERROR(VLOOKUP(B115,LOOKUPS!$K$2:$L$9,2,FALSE),"UNK")&amp;"_"&amp;IFERROR(VLOOKUP(C115,LOOKUPS!$N$2:$O$8,2,FALSE),"UNK")&amp;"_"&amp;UPPER(L115))</f>
        <v/>
      </c>
      <c r="N115" s="3" t="str">
        <f>IF(M115="","",COUNTIF($M$2:M115,M115))</f>
        <v/>
      </c>
    </row>
    <row r="116" spans="1:14" x14ac:dyDescent="0.3">
      <c r="A116" s="3" t="str">
        <f t="shared" si="1"/>
        <v/>
      </c>
      <c r="E116" s="3" t="s">
        <v>36</v>
      </c>
      <c r="M116" s="3" t="str">
        <f>IF(B116="","","PF"&amp;"_"&amp;IFERROR(VLOOKUP(B116,LOOKUPS!$K$2:$L$9,2,FALSE),"UNK")&amp;"_"&amp;IFERROR(VLOOKUP(C116,LOOKUPS!$N$2:$O$8,2,FALSE),"UNK")&amp;"_"&amp;UPPER(L116))</f>
        <v/>
      </c>
      <c r="N116" s="3" t="str">
        <f>IF(M116="","",COUNTIF($M$2:M116,M116))</f>
        <v/>
      </c>
    </row>
    <row r="117" spans="1:14" x14ac:dyDescent="0.3">
      <c r="A117" s="3" t="str">
        <f t="shared" si="1"/>
        <v/>
      </c>
      <c r="E117" s="3" t="s">
        <v>36</v>
      </c>
      <c r="M117" s="3" t="str">
        <f>IF(B117="","","PF"&amp;"_"&amp;IFERROR(VLOOKUP(B117,LOOKUPS!$K$2:$L$9,2,FALSE),"UNK")&amp;"_"&amp;IFERROR(VLOOKUP(C117,LOOKUPS!$N$2:$O$8,2,FALSE),"UNK")&amp;"_"&amp;UPPER(L117))</f>
        <v/>
      </c>
      <c r="N117" s="3" t="str">
        <f>IF(M117="","",COUNTIF($M$2:M117,M117))</f>
        <v/>
      </c>
    </row>
    <row r="118" spans="1:14" x14ac:dyDescent="0.3">
      <c r="A118" s="3" t="str">
        <f t="shared" si="1"/>
        <v/>
      </c>
      <c r="E118" s="3" t="s">
        <v>36</v>
      </c>
      <c r="M118" s="3" t="str">
        <f>IF(B118="","","PF"&amp;"_"&amp;IFERROR(VLOOKUP(B118,LOOKUPS!$K$2:$L$9,2,FALSE),"UNK")&amp;"_"&amp;IFERROR(VLOOKUP(C118,LOOKUPS!$N$2:$O$8,2,FALSE),"UNK")&amp;"_"&amp;UPPER(L118))</f>
        <v/>
      </c>
      <c r="N118" s="3" t="str">
        <f>IF(M118="","",COUNTIF($M$2:M118,M118))</f>
        <v/>
      </c>
    </row>
    <row r="119" spans="1:14" x14ac:dyDescent="0.3">
      <c r="A119" s="3" t="str">
        <f t="shared" si="1"/>
        <v/>
      </c>
      <c r="E119" s="3" t="s">
        <v>36</v>
      </c>
      <c r="M119" s="3" t="str">
        <f>IF(B119="","","PF"&amp;"_"&amp;IFERROR(VLOOKUP(B119,LOOKUPS!$K$2:$L$9,2,FALSE),"UNK")&amp;"_"&amp;IFERROR(VLOOKUP(C119,LOOKUPS!$N$2:$O$8,2,FALSE),"UNK")&amp;"_"&amp;UPPER(L119))</f>
        <v/>
      </c>
      <c r="N119" s="3" t="str">
        <f>IF(M119="","",COUNTIF($M$2:M119,M119))</f>
        <v/>
      </c>
    </row>
    <row r="120" spans="1:14" x14ac:dyDescent="0.3">
      <c r="A120" s="3" t="str">
        <f t="shared" si="1"/>
        <v/>
      </c>
      <c r="E120" s="3" t="s">
        <v>36</v>
      </c>
      <c r="M120" s="3" t="str">
        <f>IF(B120="","","PF"&amp;"_"&amp;IFERROR(VLOOKUP(B120,LOOKUPS!$K$2:$L$9,2,FALSE),"UNK")&amp;"_"&amp;IFERROR(VLOOKUP(C120,LOOKUPS!$N$2:$O$8,2,FALSE),"UNK")&amp;"_"&amp;UPPER(L120))</f>
        <v/>
      </c>
      <c r="N120" s="3" t="str">
        <f>IF(M120="","",COUNTIF($M$2:M120,M120))</f>
        <v/>
      </c>
    </row>
    <row r="121" spans="1:14" x14ac:dyDescent="0.3">
      <c r="A121" s="3" t="str">
        <f t="shared" si="1"/>
        <v/>
      </c>
      <c r="E121" s="3" t="s">
        <v>36</v>
      </c>
      <c r="M121" s="3" t="str">
        <f>IF(B121="","","PF"&amp;"_"&amp;IFERROR(VLOOKUP(B121,LOOKUPS!$K$2:$L$9,2,FALSE),"UNK")&amp;"_"&amp;IFERROR(VLOOKUP(C121,LOOKUPS!$N$2:$O$8,2,FALSE),"UNK")&amp;"_"&amp;UPPER(L121))</f>
        <v/>
      </c>
      <c r="N121" s="3" t="str">
        <f>IF(M121="","",COUNTIF($M$2:M121,M121))</f>
        <v/>
      </c>
    </row>
    <row r="122" spans="1:14" x14ac:dyDescent="0.3">
      <c r="A122" s="3" t="str">
        <f t="shared" si="1"/>
        <v/>
      </c>
      <c r="E122" s="3" t="s">
        <v>36</v>
      </c>
      <c r="M122" s="3" t="str">
        <f>IF(B122="","","PF"&amp;"_"&amp;IFERROR(VLOOKUP(B122,LOOKUPS!$K$2:$L$9,2,FALSE),"UNK")&amp;"_"&amp;IFERROR(VLOOKUP(C122,LOOKUPS!$N$2:$O$8,2,FALSE),"UNK")&amp;"_"&amp;UPPER(L122))</f>
        <v/>
      </c>
      <c r="N122" s="3" t="str">
        <f>IF(M122="","",COUNTIF($M$2:M122,M122))</f>
        <v/>
      </c>
    </row>
    <row r="123" spans="1:14" x14ac:dyDescent="0.3">
      <c r="A123" s="3" t="str">
        <f t="shared" si="1"/>
        <v/>
      </c>
      <c r="E123" s="3" t="s">
        <v>36</v>
      </c>
      <c r="M123" s="3" t="str">
        <f>IF(B123="","","PF"&amp;"_"&amp;IFERROR(VLOOKUP(B123,LOOKUPS!$K$2:$L$9,2,FALSE),"UNK")&amp;"_"&amp;IFERROR(VLOOKUP(C123,LOOKUPS!$N$2:$O$8,2,FALSE),"UNK")&amp;"_"&amp;UPPER(L123))</f>
        <v/>
      </c>
      <c r="N123" s="3" t="str">
        <f>IF(M123="","",COUNTIF($M$2:M123,M123))</f>
        <v/>
      </c>
    </row>
    <row r="124" spans="1:14" x14ac:dyDescent="0.3">
      <c r="A124" s="3" t="str">
        <f t="shared" si="1"/>
        <v/>
      </c>
      <c r="E124" s="3" t="s">
        <v>36</v>
      </c>
      <c r="M124" s="3" t="str">
        <f>IF(B124="","","PF"&amp;"_"&amp;IFERROR(VLOOKUP(B124,LOOKUPS!$K$2:$L$9,2,FALSE),"UNK")&amp;"_"&amp;IFERROR(VLOOKUP(C124,LOOKUPS!$N$2:$O$8,2,FALSE),"UNK")&amp;"_"&amp;UPPER(L124))</f>
        <v/>
      </c>
      <c r="N124" s="3" t="str">
        <f>IF(M124="","",COUNTIF($M$2:M124,M124))</f>
        <v/>
      </c>
    </row>
    <row r="125" spans="1:14" x14ac:dyDescent="0.3">
      <c r="A125" s="3" t="str">
        <f t="shared" si="1"/>
        <v/>
      </c>
      <c r="E125" s="3" t="s">
        <v>36</v>
      </c>
      <c r="M125" s="3" t="str">
        <f>IF(B125="","","PF"&amp;"_"&amp;IFERROR(VLOOKUP(B125,LOOKUPS!$K$2:$L$9,2,FALSE),"UNK")&amp;"_"&amp;IFERROR(VLOOKUP(C125,LOOKUPS!$N$2:$O$8,2,FALSE),"UNK")&amp;"_"&amp;UPPER(L125))</f>
        <v/>
      </c>
      <c r="N125" s="3" t="str">
        <f>IF(M125="","",COUNTIF($M$2:M125,M125))</f>
        <v/>
      </c>
    </row>
    <row r="126" spans="1:14" x14ac:dyDescent="0.3">
      <c r="A126" s="3" t="str">
        <f t="shared" si="1"/>
        <v/>
      </c>
      <c r="E126" s="3" t="s">
        <v>36</v>
      </c>
      <c r="M126" s="3" t="str">
        <f>IF(B126="","","PF"&amp;"_"&amp;IFERROR(VLOOKUP(B126,LOOKUPS!$K$2:$L$9,2,FALSE),"UNK")&amp;"_"&amp;IFERROR(VLOOKUP(C126,LOOKUPS!$N$2:$O$8,2,FALSE),"UNK")&amp;"_"&amp;UPPER(L126))</f>
        <v/>
      </c>
      <c r="N126" s="3" t="str">
        <f>IF(M126="","",COUNTIF($M$2:M126,M126))</f>
        <v/>
      </c>
    </row>
    <row r="127" spans="1:14" x14ac:dyDescent="0.3">
      <c r="A127" s="3" t="str">
        <f t="shared" si="1"/>
        <v/>
      </c>
      <c r="E127" s="3" t="s">
        <v>36</v>
      </c>
      <c r="M127" s="3" t="str">
        <f>IF(B127="","","PF"&amp;"_"&amp;IFERROR(VLOOKUP(B127,LOOKUPS!$K$2:$L$9,2,FALSE),"UNK")&amp;"_"&amp;IFERROR(VLOOKUP(C127,LOOKUPS!$N$2:$O$8,2,FALSE),"UNK")&amp;"_"&amp;UPPER(L127))</f>
        <v/>
      </c>
      <c r="N127" s="3" t="str">
        <f>IF(M127="","",COUNTIF($M$2:M127,M127))</f>
        <v/>
      </c>
    </row>
    <row r="128" spans="1:14" x14ac:dyDescent="0.3">
      <c r="A128" s="3" t="str">
        <f t="shared" si="1"/>
        <v/>
      </c>
      <c r="E128" s="3" t="s">
        <v>36</v>
      </c>
      <c r="M128" s="3" t="str">
        <f>IF(B128="","","PF"&amp;"_"&amp;IFERROR(VLOOKUP(B128,LOOKUPS!$K$2:$L$9,2,FALSE),"UNK")&amp;"_"&amp;IFERROR(VLOOKUP(C128,LOOKUPS!$N$2:$O$8,2,FALSE),"UNK")&amp;"_"&amp;UPPER(L128))</f>
        <v/>
      </c>
      <c r="N128" s="3" t="str">
        <f>IF(M128="","",COUNTIF($M$2:M128,M128))</f>
        <v/>
      </c>
    </row>
    <row r="129" spans="1:14" x14ac:dyDescent="0.3">
      <c r="A129" s="3" t="str">
        <f t="shared" si="1"/>
        <v/>
      </c>
      <c r="E129" s="3" t="s">
        <v>36</v>
      </c>
      <c r="M129" s="3" t="str">
        <f>IF(B129="","","PF"&amp;"_"&amp;IFERROR(VLOOKUP(B129,LOOKUPS!$K$2:$L$9,2,FALSE),"UNK")&amp;"_"&amp;IFERROR(VLOOKUP(C129,LOOKUPS!$N$2:$O$8,2,FALSE),"UNK")&amp;"_"&amp;UPPER(L129))</f>
        <v/>
      </c>
      <c r="N129" s="3" t="str">
        <f>IF(M129="","",COUNTIF($M$2:M129,M129))</f>
        <v/>
      </c>
    </row>
    <row r="130" spans="1:14" x14ac:dyDescent="0.3">
      <c r="A130" s="3" t="str">
        <f t="shared" si="1"/>
        <v/>
      </c>
      <c r="E130" s="3" t="s">
        <v>36</v>
      </c>
      <c r="M130" s="3" t="str">
        <f>IF(B130="","","PF"&amp;"_"&amp;IFERROR(VLOOKUP(B130,LOOKUPS!$K$2:$L$9,2,FALSE),"UNK")&amp;"_"&amp;IFERROR(VLOOKUP(C130,LOOKUPS!$N$2:$O$8,2,FALSE),"UNK")&amp;"_"&amp;UPPER(L130))</f>
        <v/>
      </c>
      <c r="N130" s="3" t="str">
        <f>IF(M130="","",COUNTIF($M$2:M130,M130))</f>
        <v/>
      </c>
    </row>
    <row r="131" spans="1:14" x14ac:dyDescent="0.3">
      <c r="A131" s="3" t="str">
        <f t="shared" ref="A131:A194" si="2">IF(M131="","",M131&amp;"_"&amp;TEXT(N131,"000"))</f>
        <v/>
      </c>
      <c r="E131" s="3" t="s">
        <v>36</v>
      </c>
      <c r="M131" s="3" t="str">
        <f>IF(B131="","","PF"&amp;"_"&amp;IFERROR(VLOOKUP(B131,LOOKUPS!$K$2:$L$9,2,FALSE),"UNK")&amp;"_"&amp;IFERROR(VLOOKUP(C131,LOOKUPS!$N$2:$O$8,2,FALSE),"UNK")&amp;"_"&amp;UPPER(L131))</f>
        <v/>
      </c>
      <c r="N131" s="3" t="str">
        <f>IF(M131="","",COUNTIF($M$2:M131,M131))</f>
        <v/>
      </c>
    </row>
    <row r="132" spans="1:14" x14ac:dyDescent="0.3">
      <c r="A132" s="3" t="str">
        <f t="shared" si="2"/>
        <v/>
      </c>
      <c r="E132" s="3" t="s">
        <v>36</v>
      </c>
      <c r="M132" s="3" t="str">
        <f>IF(B132="","","PF"&amp;"_"&amp;IFERROR(VLOOKUP(B132,LOOKUPS!$K$2:$L$9,2,FALSE),"UNK")&amp;"_"&amp;IFERROR(VLOOKUP(C132,LOOKUPS!$N$2:$O$8,2,FALSE),"UNK")&amp;"_"&amp;UPPER(L132))</f>
        <v/>
      </c>
      <c r="N132" s="3" t="str">
        <f>IF(M132="","",COUNTIF($M$2:M132,M132))</f>
        <v/>
      </c>
    </row>
    <row r="133" spans="1:14" x14ac:dyDescent="0.3">
      <c r="A133" s="3" t="str">
        <f t="shared" si="2"/>
        <v/>
      </c>
      <c r="E133" s="3" t="s">
        <v>36</v>
      </c>
      <c r="M133" s="3" t="str">
        <f>IF(B133="","","PF"&amp;"_"&amp;IFERROR(VLOOKUP(B133,LOOKUPS!$K$2:$L$9,2,FALSE),"UNK")&amp;"_"&amp;IFERROR(VLOOKUP(C133,LOOKUPS!$N$2:$O$8,2,FALSE),"UNK")&amp;"_"&amp;UPPER(L133))</f>
        <v/>
      </c>
      <c r="N133" s="3" t="str">
        <f>IF(M133="","",COUNTIF($M$2:M133,M133))</f>
        <v/>
      </c>
    </row>
    <row r="134" spans="1:14" x14ac:dyDescent="0.3">
      <c r="A134" s="3" t="str">
        <f t="shared" si="2"/>
        <v/>
      </c>
      <c r="E134" s="3" t="s">
        <v>36</v>
      </c>
      <c r="M134" s="3" t="str">
        <f>IF(B134="","","PF"&amp;"_"&amp;IFERROR(VLOOKUP(B134,LOOKUPS!$K$2:$L$9,2,FALSE),"UNK")&amp;"_"&amp;IFERROR(VLOOKUP(C134,LOOKUPS!$N$2:$O$8,2,FALSE),"UNK")&amp;"_"&amp;UPPER(L134))</f>
        <v/>
      </c>
      <c r="N134" s="3" t="str">
        <f>IF(M134="","",COUNTIF($M$2:M134,M134))</f>
        <v/>
      </c>
    </row>
    <row r="135" spans="1:14" x14ac:dyDescent="0.3">
      <c r="A135" s="3" t="str">
        <f t="shared" si="2"/>
        <v/>
      </c>
      <c r="E135" s="3" t="s">
        <v>36</v>
      </c>
      <c r="M135" s="3" t="str">
        <f>IF(B135="","","PF"&amp;"_"&amp;IFERROR(VLOOKUP(B135,LOOKUPS!$K$2:$L$9,2,FALSE),"UNK")&amp;"_"&amp;IFERROR(VLOOKUP(C135,LOOKUPS!$N$2:$O$8,2,FALSE),"UNK")&amp;"_"&amp;UPPER(L135))</f>
        <v/>
      </c>
      <c r="N135" s="3" t="str">
        <f>IF(M135="","",COUNTIF($M$2:M135,M135))</f>
        <v/>
      </c>
    </row>
    <row r="136" spans="1:14" x14ac:dyDescent="0.3">
      <c r="A136" s="3" t="str">
        <f t="shared" si="2"/>
        <v/>
      </c>
      <c r="E136" s="3" t="s">
        <v>36</v>
      </c>
      <c r="M136" s="3" t="str">
        <f>IF(B136="","","PF"&amp;"_"&amp;IFERROR(VLOOKUP(B136,LOOKUPS!$K$2:$L$9,2,FALSE),"UNK")&amp;"_"&amp;IFERROR(VLOOKUP(C136,LOOKUPS!$N$2:$O$8,2,FALSE),"UNK")&amp;"_"&amp;UPPER(L136))</f>
        <v/>
      </c>
      <c r="N136" s="3" t="str">
        <f>IF(M136="","",COUNTIF($M$2:M136,M136))</f>
        <v/>
      </c>
    </row>
    <row r="137" spans="1:14" x14ac:dyDescent="0.3">
      <c r="A137" s="3" t="str">
        <f t="shared" si="2"/>
        <v/>
      </c>
      <c r="E137" s="3" t="s">
        <v>36</v>
      </c>
      <c r="M137" s="3" t="str">
        <f>IF(B137="","","PF"&amp;"_"&amp;IFERROR(VLOOKUP(B137,LOOKUPS!$K$2:$L$9,2,FALSE),"UNK")&amp;"_"&amp;IFERROR(VLOOKUP(C137,LOOKUPS!$N$2:$O$8,2,FALSE),"UNK")&amp;"_"&amp;UPPER(L137))</f>
        <v/>
      </c>
      <c r="N137" s="3" t="str">
        <f>IF(M137="","",COUNTIF($M$2:M137,M137))</f>
        <v/>
      </c>
    </row>
    <row r="138" spans="1:14" x14ac:dyDescent="0.3">
      <c r="A138" s="3" t="str">
        <f t="shared" si="2"/>
        <v/>
      </c>
      <c r="E138" s="3" t="s">
        <v>36</v>
      </c>
      <c r="M138" s="3" t="str">
        <f>IF(B138="","","PF"&amp;"_"&amp;IFERROR(VLOOKUP(B138,LOOKUPS!$K$2:$L$9,2,FALSE),"UNK")&amp;"_"&amp;IFERROR(VLOOKUP(C138,LOOKUPS!$N$2:$O$8,2,FALSE),"UNK")&amp;"_"&amp;UPPER(L138))</f>
        <v/>
      </c>
      <c r="N138" s="3" t="str">
        <f>IF(M138="","",COUNTIF($M$2:M138,M138))</f>
        <v/>
      </c>
    </row>
    <row r="139" spans="1:14" x14ac:dyDescent="0.3">
      <c r="A139" s="3" t="str">
        <f t="shared" si="2"/>
        <v/>
      </c>
      <c r="E139" s="3" t="s">
        <v>36</v>
      </c>
      <c r="M139" s="3" t="str">
        <f>IF(B139="","","PF"&amp;"_"&amp;IFERROR(VLOOKUP(B139,LOOKUPS!$K$2:$L$9,2,FALSE),"UNK")&amp;"_"&amp;IFERROR(VLOOKUP(C139,LOOKUPS!$N$2:$O$8,2,FALSE),"UNK")&amp;"_"&amp;UPPER(L139))</f>
        <v/>
      </c>
      <c r="N139" s="3" t="str">
        <f>IF(M139="","",COUNTIF($M$2:M139,M139))</f>
        <v/>
      </c>
    </row>
    <row r="140" spans="1:14" x14ac:dyDescent="0.3">
      <c r="A140" s="3" t="str">
        <f t="shared" si="2"/>
        <v/>
      </c>
      <c r="E140" s="3" t="s">
        <v>36</v>
      </c>
      <c r="M140" s="3" t="str">
        <f>IF(B140="","","PF"&amp;"_"&amp;IFERROR(VLOOKUP(B140,LOOKUPS!$K$2:$L$9,2,FALSE),"UNK")&amp;"_"&amp;IFERROR(VLOOKUP(C140,LOOKUPS!$N$2:$O$8,2,FALSE),"UNK")&amp;"_"&amp;UPPER(L140))</f>
        <v/>
      </c>
      <c r="N140" s="3" t="str">
        <f>IF(M140="","",COUNTIF($M$2:M140,M140))</f>
        <v/>
      </c>
    </row>
    <row r="141" spans="1:14" x14ac:dyDescent="0.3">
      <c r="A141" s="3" t="str">
        <f t="shared" si="2"/>
        <v/>
      </c>
      <c r="E141" s="3" t="s">
        <v>36</v>
      </c>
      <c r="M141" s="3" t="str">
        <f>IF(B141="","","PF"&amp;"_"&amp;IFERROR(VLOOKUP(B141,LOOKUPS!$K$2:$L$9,2,FALSE),"UNK")&amp;"_"&amp;IFERROR(VLOOKUP(C141,LOOKUPS!$N$2:$O$8,2,FALSE),"UNK")&amp;"_"&amp;UPPER(L141))</f>
        <v/>
      </c>
      <c r="N141" s="3" t="str">
        <f>IF(M141="","",COUNTIF($M$2:M141,M141))</f>
        <v/>
      </c>
    </row>
    <row r="142" spans="1:14" x14ac:dyDescent="0.3">
      <c r="A142" s="3" t="str">
        <f t="shared" si="2"/>
        <v/>
      </c>
      <c r="E142" s="3" t="s">
        <v>36</v>
      </c>
      <c r="M142" s="3" t="str">
        <f>IF(B142="","","PF"&amp;"_"&amp;IFERROR(VLOOKUP(B142,LOOKUPS!$K$2:$L$9,2,FALSE),"UNK")&amp;"_"&amp;IFERROR(VLOOKUP(C142,LOOKUPS!$N$2:$O$8,2,FALSE),"UNK")&amp;"_"&amp;UPPER(L142))</f>
        <v/>
      </c>
      <c r="N142" s="3" t="str">
        <f>IF(M142="","",COUNTIF($M$2:M142,M142))</f>
        <v/>
      </c>
    </row>
    <row r="143" spans="1:14" x14ac:dyDescent="0.3">
      <c r="A143" s="3" t="str">
        <f t="shared" si="2"/>
        <v/>
      </c>
      <c r="E143" s="3" t="s">
        <v>36</v>
      </c>
      <c r="M143" s="3" t="str">
        <f>IF(B143="","","PF"&amp;"_"&amp;IFERROR(VLOOKUP(B143,LOOKUPS!$K$2:$L$9,2,FALSE),"UNK")&amp;"_"&amp;IFERROR(VLOOKUP(C143,LOOKUPS!$N$2:$O$8,2,FALSE),"UNK")&amp;"_"&amp;UPPER(L143))</f>
        <v/>
      </c>
      <c r="N143" s="3" t="str">
        <f>IF(M143="","",COUNTIF($M$2:M143,M143))</f>
        <v/>
      </c>
    </row>
    <row r="144" spans="1:14" x14ac:dyDescent="0.3">
      <c r="A144" s="3" t="str">
        <f t="shared" si="2"/>
        <v/>
      </c>
      <c r="E144" s="3" t="s">
        <v>36</v>
      </c>
      <c r="M144" s="3" t="str">
        <f>IF(B144="","","PF"&amp;"_"&amp;IFERROR(VLOOKUP(B144,LOOKUPS!$K$2:$L$9,2,FALSE),"UNK")&amp;"_"&amp;IFERROR(VLOOKUP(C144,LOOKUPS!$N$2:$O$8,2,FALSE),"UNK")&amp;"_"&amp;UPPER(L144))</f>
        <v/>
      </c>
      <c r="N144" s="3" t="str">
        <f>IF(M144="","",COUNTIF($M$2:M144,M144))</f>
        <v/>
      </c>
    </row>
    <row r="145" spans="1:14" x14ac:dyDescent="0.3">
      <c r="A145" s="3" t="str">
        <f t="shared" si="2"/>
        <v/>
      </c>
      <c r="E145" s="3" t="s">
        <v>36</v>
      </c>
      <c r="M145" s="3" t="str">
        <f>IF(B145="","","PF"&amp;"_"&amp;IFERROR(VLOOKUP(B145,LOOKUPS!$K$2:$L$9,2,FALSE),"UNK")&amp;"_"&amp;IFERROR(VLOOKUP(C145,LOOKUPS!$N$2:$O$8,2,FALSE),"UNK")&amp;"_"&amp;UPPER(L145))</f>
        <v/>
      </c>
      <c r="N145" s="3" t="str">
        <f>IF(M145="","",COUNTIF($M$2:M145,M145))</f>
        <v/>
      </c>
    </row>
    <row r="146" spans="1:14" x14ac:dyDescent="0.3">
      <c r="A146" s="3" t="str">
        <f t="shared" si="2"/>
        <v/>
      </c>
      <c r="E146" s="3" t="s">
        <v>36</v>
      </c>
      <c r="M146" s="3" t="str">
        <f>IF(B146="","","PF"&amp;"_"&amp;IFERROR(VLOOKUP(B146,LOOKUPS!$K$2:$L$9,2,FALSE),"UNK")&amp;"_"&amp;IFERROR(VLOOKUP(C146,LOOKUPS!$N$2:$O$8,2,FALSE),"UNK")&amp;"_"&amp;UPPER(L146))</f>
        <v/>
      </c>
      <c r="N146" s="3" t="str">
        <f>IF(M146="","",COUNTIF($M$2:M146,M146))</f>
        <v/>
      </c>
    </row>
    <row r="147" spans="1:14" x14ac:dyDescent="0.3">
      <c r="A147" s="3" t="str">
        <f t="shared" si="2"/>
        <v/>
      </c>
      <c r="E147" s="3" t="s">
        <v>36</v>
      </c>
      <c r="M147" s="3" t="str">
        <f>IF(B147="","","PF"&amp;"_"&amp;IFERROR(VLOOKUP(B147,LOOKUPS!$K$2:$L$9,2,FALSE),"UNK")&amp;"_"&amp;IFERROR(VLOOKUP(C147,LOOKUPS!$N$2:$O$8,2,FALSE),"UNK")&amp;"_"&amp;UPPER(L147))</f>
        <v/>
      </c>
      <c r="N147" s="3" t="str">
        <f>IF(M147="","",COUNTIF($M$2:M147,M147))</f>
        <v/>
      </c>
    </row>
    <row r="148" spans="1:14" x14ac:dyDescent="0.3">
      <c r="A148" s="3" t="str">
        <f t="shared" si="2"/>
        <v/>
      </c>
      <c r="E148" s="3" t="s">
        <v>36</v>
      </c>
      <c r="M148" s="3" t="str">
        <f>IF(B148="","","PF"&amp;"_"&amp;IFERROR(VLOOKUP(B148,LOOKUPS!$K$2:$L$9,2,FALSE),"UNK")&amp;"_"&amp;IFERROR(VLOOKUP(C148,LOOKUPS!$N$2:$O$8,2,FALSE),"UNK")&amp;"_"&amp;UPPER(L148))</f>
        <v/>
      </c>
      <c r="N148" s="3" t="str">
        <f>IF(M148="","",COUNTIF($M$2:M148,M148))</f>
        <v/>
      </c>
    </row>
    <row r="149" spans="1:14" x14ac:dyDescent="0.3">
      <c r="A149" s="3" t="str">
        <f t="shared" si="2"/>
        <v/>
      </c>
      <c r="E149" s="3" t="s">
        <v>36</v>
      </c>
      <c r="M149" s="3" t="str">
        <f>IF(B149="","","PF"&amp;"_"&amp;IFERROR(VLOOKUP(B149,LOOKUPS!$K$2:$L$9,2,FALSE),"UNK")&amp;"_"&amp;IFERROR(VLOOKUP(C149,LOOKUPS!$N$2:$O$8,2,FALSE),"UNK")&amp;"_"&amp;UPPER(L149))</f>
        <v/>
      </c>
      <c r="N149" s="3" t="str">
        <f>IF(M149="","",COUNTIF($M$2:M149,M149))</f>
        <v/>
      </c>
    </row>
    <row r="150" spans="1:14" x14ac:dyDescent="0.3">
      <c r="A150" s="3" t="str">
        <f t="shared" si="2"/>
        <v/>
      </c>
      <c r="E150" s="3" t="s">
        <v>36</v>
      </c>
      <c r="M150" s="3" t="str">
        <f>IF(B150="","","PF"&amp;"_"&amp;IFERROR(VLOOKUP(B150,LOOKUPS!$K$2:$L$9,2,FALSE),"UNK")&amp;"_"&amp;IFERROR(VLOOKUP(C150,LOOKUPS!$N$2:$O$8,2,FALSE),"UNK")&amp;"_"&amp;UPPER(L150))</f>
        <v/>
      </c>
      <c r="N150" s="3" t="str">
        <f>IF(M150="","",COUNTIF($M$2:M150,M150))</f>
        <v/>
      </c>
    </row>
    <row r="151" spans="1:14" x14ac:dyDescent="0.3">
      <c r="A151" s="3" t="str">
        <f t="shared" si="2"/>
        <v/>
      </c>
      <c r="E151" s="3" t="s">
        <v>36</v>
      </c>
      <c r="M151" s="3" t="str">
        <f>IF(B151="","","PF"&amp;"_"&amp;IFERROR(VLOOKUP(B151,LOOKUPS!$K$2:$L$9,2,FALSE),"UNK")&amp;"_"&amp;IFERROR(VLOOKUP(C151,LOOKUPS!$N$2:$O$8,2,FALSE),"UNK")&amp;"_"&amp;UPPER(L151))</f>
        <v/>
      </c>
      <c r="N151" s="3" t="str">
        <f>IF(M151="","",COUNTIF($M$2:M151,M151))</f>
        <v/>
      </c>
    </row>
    <row r="152" spans="1:14" x14ac:dyDescent="0.3">
      <c r="A152" s="3" t="str">
        <f t="shared" si="2"/>
        <v/>
      </c>
      <c r="E152" s="3" t="s">
        <v>36</v>
      </c>
      <c r="M152" s="3" t="str">
        <f>IF(B152="","","PF"&amp;"_"&amp;IFERROR(VLOOKUP(B152,LOOKUPS!$K$2:$L$9,2,FALSE),"UNK")&amp;"_"&amp;IFERROR(VLOOKUP(C152,LOOKUPS!$N$2:$O$8,2,FALSE),"UNK")&amp;"_"&amp;UPPER(L152))</f>
        <v/>
      </c>
      <c r="N152" s="3" t="str">
        <f>IF(M152="","",COUNTIF($M$2:M152,M152))</f>
        <v/>
      </c>
    </row>
    <row r="153" spans="1:14" x14ac:dyDescent="0.3">
      <c r="A153" s="3" t="str">
        <f t="shared" si="2"/>
        <v/>
      </c>
      <c r="E153" s="3" t="s">
        <v>36</v>
      </c>
      <c r="M153" s="3" t="str">
        <f>IF(B153="","","PF"&amp;"_"&amp;IFERROR(VLOOKUP(B153,LOOKUPS!$K$2:$L$9,2,FALSE),"UNK")&amp;"_"&amp;IFERROR(VLOOKUP(C153,LOOKUPS!$N$2:$O$8,2,FALSE),"UNK")&amp;"_"&amp;UPPER(L153))</f>
        <v/>
      </c>
      <c r="N153" s="3" t="str">
        <f>IF(M153="","",COUNTIF($M$2:M153,M153))</f>
        <v/>
      </c>
    </row>
    <row r="154" spans="1:14" x14ac:dyDescent="0.3">
      <c r="A154" s="3" t="str">
        <f t="shared" si="2"/>
        <v/>
      </c>
      <c r="E154" s="3" t="s">
        <v>36</v>
      </c>
      <c r="M154" s="3" t="str">
        <f>IF(B154="","","PF"&amp;"_"&amp;IFERROR(VLOOKUP(B154,LOOKUPS!$K$2:$L$9,2,FALSE),"UNK")&amp;"_"&amp;IFERROR(VLOOKUP(C154,LOOKUPS!$N$2:$O$8,2,FALSE),"UNK")&amp;"_"&amp;UPPER(L154))</f>
        <v/>
      </c>
      <c r="N154" s="3" t="str">
        <f>IF(M154="","",COUNTIF($M$2:M154,M154))</f>
        <v/>
      </c>
    </row>
    <row r="155" spans="1:14" x14ac:dyDescent="0.3">
      <c r="A155" s="3" t="str">
        <f t="shared" si="2"/>
        <v/>
      </c>
      <c r="E155" s="3" t="s">
        <v>36</v>
      </c>
      <c r="M155" s="3" t="str">
        <f>IF(B155="","","PF"&amp;"_"&amp;IFERROR(VLOOKUP(B155,LOOKUPS!$K$2:$L$9,2,FALSE),"UNK")&amp;"_"&amp;IFERROR(VLOOKUP(C155,LOOKUPS!$N$2:$O$8,2,FALSE),"UNK")&amp;"_"&amp;UPPER(L155))</f>
        <v/>
      </c>
      <c r="N155" s="3" t="str">
        <f>IF(M155="","",COUNTIF($M$2:M155,M155))</f>
        <v/>
      </c>
    </row>
    <row r="156" spans="1:14" x14ac:dyDescent="0.3">
      <c r="A156" s="3" t="str">
        <f t="shared" si="2"/>
        <v/>
      </c>
      <c r="E156" s="3" t="s">
        <v>36</v>
      </c>
      <c r="M156" s="3" t="str">
        <f>IF(B156="","","PF"&amp;"_"&amp;IFERROR(VLOOKUP(B156,LOOKUPS!$K$2:$L$9,2,FALSE),"UNK")&amp;"_"&amp;IFERROR(VLOOKUP(C156,LOOKUPS!$N$2:$O$8,2,FALSE),"UNK")&amp;"_"&amp;UPPER(L156))</f>
        <v/>
      </c>
      <c r="N156" s="3" t="str">
        <f>IF(M156="","",COUNTIF($M$2:M156,M156))</f>
        <v/>
      </c>
    </row>
    <row r="157" spans="1:14" x14ac:dyDescent="0.3">
      <c r="A157" s="3" t="str">
        <f t="shared" si="2"/>
        <v/>
      </c>
      <c r="E157" s="3" t="s">
        <v>36</v>
      </c>
      <c r="M157" s="3" t="str">
        <f>IF(B157="","","PF"&amp;"_"&amp;IFERROR(VLOOKUP(B157,LOOKUPS!$K$2:$L$9,2,FALSE),"UNK")&amp;"_"&amp;IFERROR(VLOOKUP(C157,LOOKUPS!$N$2:$O$8,2,FALSE),"UNK")&amp;"_"&amp;UPPER(L157))</f>
        <v/>
      </c>
      <c r="N157" s="3" t="str">
        <f>IF(M157="","",COUNTIF($M$2:M157,M157))</f>
        <v/>
      </c>
    </row>
    <row r="158" spans="1:14" x14ac:dyDescent="0.3">
      <c r="A158" s="3" t="str">
        <f t="shared" si="2"/>
        <v/>
      </c>
      <c r="E158" s="3" t="s">
        <v>36</v>
      </c>
      <c r="M158" s="3" t="str">
        <f>IF(B158="","","PF"&amp;"_"&amp;IFERROR(VLOOKUP(B158,LOOKUPS!$K$2:$L$9,2,FALSE),"UNK")&amp;"_"&amp;IFERROR(VLOOKUP(C158,LOOKUPS!$N$2:$O$8,2,FALSE),"UNK")&amp;"_"&amp;UPPER(L158))</f>
        <v/>
      </c>
      <c r="N158" s="3" t="str">
        <f>IF(M158="","",COUNTIF($M$2:M158,M158))</f>
        <v/>
      </c>
    </row>
    <row r="159" spans="1:14" x14ac:dyDescent="0.3">
      <c r="A159" s="3" t="str">
        <f t="shared" si="2"/>
        <v/>
      </c>
      <c r="E159" s="3" t="s">
        <v>36</v>
      </c>
      <c r="M159" s="3" t="str">
        <f>IF(B159="","","PF"&amp;"_"&amp;IFERROR(VLOOKUP(B159,LOOKUPS!$K$2:$L$9,2,FALSE),"UNK")&amp;"_"&amp;IFERROR(VLOOKUP(C159,LOOKUPS!$N$2:$O$8,2,FALSE),"UNK")&amp;"_"&amp;UPPER(L159))</f>
        <v/>
      </c>
      <c r="N159" s="3" t="str">
        <f>IF(M159="","",COUNTIF($M$2:M159,M159))</f>
        <v/>
      </c>
    </row>
    <row r="160" spans="1:14" x14ac:dyDescent="0.3">
      <c r="A160" s="3" t="str">
        <f t="shared" si="2"/>
        <v/>
      </c>
      <c r="E160" s="3" t="s">
        <v>36</v>
      </c>
      <c r="M160" s="3" t="str">
        <f>IF(B160="","","PF"&amp;"_"&amp;IFERROR(VLOOKUP(B160,LOOKUPS!$K$2:$L$9,2,FALSE),"UNK")&amp;"_"&amp;IFERROR(VLOOKUP(C160,LOOKUPS!$N$2:$O$8,2,FALSE),"UNK")&amp;"_"&amp;UPPER(L160))</f>
        <v/>
      </c>
      <c r="N160" s="3" t="str">
        <f>IF(M160="","",COUNTIF($M$2:M160,M160))</f>
        <v/>
      </c>
    </row>
    <row r="161" spans="1:14" x14ac:dyDescent="0.3">
      <c r="A161" s="3" t="str">
        <f t="shared" si="2"/>
        <v/>
      </c>
      <c r="E161" s="3" t="s">
        <v>36</v>
      </c>
      <c r="M161" s="3" t="str">
        <f>IF(B161="","","PF"&amp;"_"&amp;IFERROR(VLOOKUP(B161,LOOKUPS!$K$2:$L$9,2,FALSE),"UNK")&amp;"_"&amp;IFERROR(VLOOKUP(C161,LOOKUPS!$N$2:$O$8,2,FALSE),"UNK")&amp;"_"&amp;UPPER(L161))</f>
        <v/>
      </c>
      <c r="N161" s="3" t="str">
        <f>IF(M161="","",COUNTIF($M$2:M161,M161))</f>
        <v/>
      </c>
    </row>
    <row r="162" spans="1:14" x14ac:dyDescent="0.3">
      <c r="A162" s="3" t="str">
        <f t="shared" si="2"/>
        <v/>
      </c>
      <c r="E162" s="3" t="s">
        <v>36</v>
      </c>
      <c r="M162" s="3" t="str">
        <f>IF(B162="","","PF"&amp;"_"&amp;IFERROR(VLOOKUP(B162,LOOKUPS!$K$2:$L$9,2,FALSE),"UNK")&amp;"_"&amp;IFERROR(VLOOKUP(C162,LOOKUPS!$N$2:$O$8,2,FALSE),"UNK")&amp;"_"&amp;UPPER(L162))</f>
        <v/>
      </c>
      <c r="N162" s="3" t="str">
        <f>IF(M162="","",COUNTIF($M$2:M162,M162))</f>
        <v/>
      </c>
    </row>
    <row r="163" spans="1:14" x14ac:dyDescent="0.3">
      <c r="A163" s="3" t="str">
        <f t="shared" si="2"/>
        <v/>
      </c>
      <c r="E163" s="3" t="s">
        <v>36</v>
      </c>
      <c r="M163" s="3" t="str">
        <f>IF(B163="","","PF"&amp;"_"&amp;IFERROR(VLOOKUP(B163,LOOKUPS!$K$2:$L$9,2,FALSE),"UNK")&amp;"_"&amp;IFERROR(VLOOKUP(C163,LOOKUPS!$N$2:$O$8,2,FALSE),"UNK")&amp;"_"&amp;UPPER(L163))</f>
        <v/>
      </c>
      <c r="N163" s="3" t="str">
        <f>IF(M163="","",COUNTIF($M$2:M163,M163))</f>
        <v/>
      </c>
    </row>
    <row r="164" spans="1:14" x14ac:dyDescent="0.3">
      <c r="A164" s="3" t="str">
        <f t="shared" si="2"/>
        <v/>
      </c>
      <c r="E164" s="3" t="s">
        <v>36</v>
      </c>
      <c r="M164" s="3" t="str">
        <f>IF(B164="","","PF"&amp;"_"&amp;IFERROR(VLOOKUP(B164,LOOKUPS!$K$2:$L$9,2,FALSE),"UNK")&amp;"_"&amp;IFERROR(VLOOKUP(C164,LOOKUPS!$N$2:$O$8,2,FALSE),"UNK")&amp;"_"&amp;UPPER(L164))</f>
        <v/>
      </c>
      <c r="N164" s="3" t="str">
        <f>IF(M164="","",COUNTIF($M$2:M164,M164))</f>
        <v/>
      </c>
    </row>
    <row r="165" spans="1:14" x14ac:dyDescent="0.3">
      <c r="A165" s="3" t="str">
        <f t="shared" si="2"/>
        <v/>
      </c>
      <c r="E165" s="3" t="s">
        <v>36</v>
      </c>
      <c r="M165" s="3" t="str">
        <f>IF(B165="","","PF"&amp;"_"&amp;IFERROR(VLOOKUP(B165,LOOKUPS!$K$2:$L$9,2,FALSE),"UNK")&amp;"_"&amp;IFERROR(VLOOKUP(C165,LOOKUPS!$N$2:$O$8,2,FALSE),"UNK")&amp;"_"&amp;UPPER(L165))</f>
        <v/>
      </c>
      <c r="N165" s="3" t="str">
        <f>IF(M165="","",COUNTIF($M$2:M165,M165))</f>
        <v/>
      </c>
    </row>
    <row r="166" spans="1:14" x14ac:dyDescent="0.3">
      <c r="A166" s="3" t="str">
        <f t="shared" si="2"/>
        <v/>
      </c>
      <c r="E166" s="3" t="s">
        <v>36</v>
      </c>
      <c r="M166" s="3" t="str">
        <f>IF(B166="","","PF"&amp;"_"&amp;IFERROR(VLOOKUP(B166,LOOKUPS!$K$2:$L$9,2,FALSE),"UNK")&amp;"_"&amp;IFERROR(VLOOKUP(C166,LOOKUPS!$N$2:$O$8,2,FALSE),"UNK")&amp;"_"&amp;UPPER(L166))</f>
        <v/>
      </c>
      <c r="N166" s="3" t="str">
        <f>IF(M166="","",COUNTIF($M$2:M166,M166))</f>
        <v/>
      </c>
    </row>
    <row r="167" spans="1:14" x14ac:dyDescent="0.3">
      <c r="A167" s="3" t="str">
        <f t="shared" si="2"/>
        <v/>
      </c>
      <c r="E167" s="3" t="s">
        <v>36</v>
      </c>
      <c r="M167" s="3" t="str">
        <f>IF(B167="","","PF"&amp;"_"&amp;IFERROR(VLOOKUP(B167,LOOKUPS!$K$2:$L$9,2,FALSE),"UNK")&amp;"_"&amp;IFERROR(VLOOKUP(C167,LOOKUPS!$N$2:$O$8,2,FALSE),"UNK")&amp;"_"&amp;UPPER(L167))</f>
        <v/>
      </c>
      <c r="N167" s="3" t="str">
        <f>IF(M167="","",COUNTIF($M$2:M167,M167))</f>
        <v/>
      </c>
    </row>
    <row r="168" spans="1:14" x14ac:dyDescent="0.3">
      <c r="A168" s="3" t="str">
        <f t="shared" si="2"/>
        <v/>
      </c>
      <c r="E168" s="3" t="s">
        <v>36</v>
      </c>
      <c r="M168" s="3" t="str">
        <f>IF(B168="","","PF"&amp;"_"&amp;IFERROR(VLOOKUP(B168,LOOKUPS!$K$2:$L$9,2,FALSE),"UNK")&amp;"_"&amp;IFERROR(VLOOKUP(C168,LOOKUPS!$N$2:$O$8,2,FALSE),"UNK")&amp;"_"&amp;UPPER(L168))</f>
        <v/>
      </c>
      <c r="N168" s="3" t="str">
        <f>IF(M168="","",COUNTIF($M$2:M168,M168))</f>
        <v/>
      </c>
    </row>
    <row r="169" spans="1:14" x14ac:dyDescent="0.3">
      <c r="A169" s="3" t="str">
        <f t="shared" si="2"/>
        <v/>
      </c>
      <c r="E169" s="3" t="s">
        <v>36</v>
      </c>
      <c r="M169" s="3" t="str">
        <f>IF(B169="","","PF"&amp;"_"&amp;IFERROR(VLOOKUP(B169,LOOKUPS!$K$2:$L$9,2,FALSE),"UNK")&amp;"_"&amp;IFERROR(VLOOKUP(C169,LOOKUPS!$N$2:$O$8,2,FALSE),"UNK")&amp;"_"&amp;UPPER(L169))</f>
        <v/>
      </c>
      <c r="N169" s="3" t="str">
        <f>IF(M169="","",COUNTIF($M$2:M169,M169))</f>
        <v/>
      </c>
    </row>
    <row r="170" spans="1:14" x14ac:dyDescent="0.3">
      <c r="A170" s="3" t="str">
        <f t="shared" si="2"/>
        <v/>
      </c>
      <c r="E170" s="3" t="s">
        <v>36</v>
      </c>
      <c r="M170" s="3" t="str">
        <f>IF(B170="","","PF"&amp;"_"&amp;IFERROR(VLOOKUP(B170,LOOKUPS!$K$2:$L$9,2,FALSE),"UNK")&amp;"_"&amp;IFERROR(VLOOKUP(C170,LOOKUPS!$N$2:$O$8,2,FALSE),"UNK")&amp;"_"&amp;UPPER(L170))</f>
        <v/>
      </c>
      <c r="N170" s="3" t="str">
        <f>IF(M170="","",COUNTIF($M$2:M170,M170))</f>
        <v/>
      </c>
    </row>
    <row r="171" spans="1:14" x14ac:dyDescent="0.3">
      <c r="A171" s="3" t="str">
        <f t="shared" si="2"/>
        <v/>
      </c>
      <c r="E171" s="3" t="s">
        <v>36</v>
      </c>
      <c r="M171" s="3" t="str">
        <f>IF(B171="","","PF"&amp;"_"&amp;IFERROR(VLOOKUP(B171,LOOKUPS!$K$2:$L$9,2,FALSE),"UNK")&amp;"_"&amp;IFERROR(VLOOKUP(C171,LOOKUPS!$N$2:$O$8,2,FALSE),"UNK")&amp;"_"&amp;UPPER(L171))</f>
        <v/>
      </c>
      <c r="N171" s="3" t="str">
        <f>IF(M171="","",COUNTIF($M$2:M171,M171))</f>
        <v/>
      </c>
    </row>
    <row r="172" spans="1:14" x14ac:dyDescent="0.3">
      <c r="A172" s="3" t="str">
        <f t="shared" si="2"/>
        <v/>
      </c>
      <c r="E172" s="3" t="s">
        <v>36</v>
      </c>
      <c r="M172" s="3" t="str">
        <f>IF(B172="","","PF"&amp;"_"&amp;IFERROR(VLOOKUP(B172,LOOKUPS!$K$2:$L$9,2,FALSE),"UNK")&amp;"_"&amp;IFERROR(VLOOKUP(C172,LOOKUPS!$N$2:$O$8,2,FALSE),"UNK")&amp;"_"&amp;UPPER(L172))</f>
        <v/>
      </c>
      <c r="N172" s="3" t="str">
        <f>IF(M172="","",COUNTIF($M$2:M172,M172))</f>
        <v/>
      </c>
    </row>
    <row r="173" spans="1:14" x14ac:dyDescent="0.3">
      <c r="A173" s="3" t="str">
        <f t="shared" si="2"/>
        <v/>
      </c>
      <c r="E173" s="3" t="s">
        <v>36</v>
      </c>
      <c r="M173" s="3" t="str">
        <f>IF(B173="","","PF"&amp;"_"&amp;IFERROR(VLOOKUP(B173,LOOKUPS!$K$2:$L$9,2,FALSE),"UNK")&amp;"_"&amp;IFERROR(VLOOKUP(C173,LOOKUPS!$N$2:$O$8,2,FALSE),"UNK")&amp;"_"&amp;UPPER(L173))</f>
        <v/>
      </c>
      <c r="N173" s="3" t="str">
        <f>IF(M173="","",COUNTIF($M$2:M173,M173))</f>
        <v/>
      </c>
    </row>
    <row r="174" spans="1:14" x14ac:dyDescent="0.3">
      <c r="A174" s="3" t="str">
        <f t="shared" si="2"/>
        <v/>
      </c>
      <c r="E174" s="3" t="s">
        <v>36</v>
      </c>
      <c r="M174" s="3" t="str">
        <f>IF(B174="","","PF"&amp;"_"&amp;IFERROR(VLOOKUP(B174,LOOKUPS!$K$2:$L$9,2,FALSE),"UNK")&amp;"_"&amp;IFERROR(VLOOKUP(C174,LOOKUPS!$N$2:$O$8,2,FALSE),"UNK")&amp;"_"&amp;UPPER(L174))</f>
        <v/>
      </c>
      <c r="N174" s="3" t="str">
        <f>IF(M174="","",COUNTIF($M$2:M174,M174))</f>
        <v/>
      </c>
    </row>
    <row r="175" spans="1:14" x14ac:dyDescent="0.3">
      <c r="A175" s="3" t="str">
        <f t="shared" si="2"/>
        <v/>
      </c>
      <c r="E175" s="3" t="s">
        <v>36</v>
      </c>
      <c r="M175" s="3" t="str">
        <f>IF(B175="","","PF"&amp;"_"&amp;IFERROR(VLOOKUP(B175,LOOKUPS!$K$2:$L$9,2,FALSE),"UNK")&amp;"_"&amp;IFERROR(VLOOKUP(C175,LOOKUPS!$N$2:$O$8,2,FALSE),"UNK")&amp;"_"&amp;UPPER(L175))</f>
        <v/>
      </c>
      <c r="N175" s="3" t="str">
        <f>IF(M175="","",COUNTIF($M$2:M175,M175))</f>
        <v/>
      </c>
    </row>
    <row r="176" spans="1:14" x14ac:dyDescent="0.3">
      <c r="A176" s="3" t="str">
        <f t="shared" si="2"/>
        <v/>
      </c>
      <c r="E176" s="3" t="s">
        <v>36</v>
      </c>
      <c r="M176" s="3" t="str">
        <f>IF(B176="","","PF"&amp;"_"&amp;IFERROR(VLOOKUP(B176,LOOKUPS!$K$2:$L$9,2,FALSE),"UNK")&amp;"_"&amp;IFERROR(VLOOKUP(C176,LOOKUPS!$N$2:$O$8,2,FALSE),"UNK")&amp;"_"&amp;UPPER(L176))</f>
        <v/>
      </c>
      <c r="N176" s="3" t="str">
        <f>IF(M176="","",COUNTIF($M$2:M176,M176))</f>
        <v/>
      </c>
    </row>
    <row r="177" spans="1:14" x14ac:dyDescent="0.3">
      <c r="A177" s="3" t="str">
        <f t="shared" si="2"/>
        <v/>
      </c>
      <c r="E177" s="3" t="s">
        <v>36</v>
      </c>
      <c r="M177" s="3" t="str">
        <f>IF(B177="","","PF"&amp;"_"&amp;IFERROR(VLOOKUP(B177,LOOKUPS!$K$2:$L$9,2,FALSE),"UNK")&amp;"_"&amp;IFERROR(VLOOKUP(C177,LOOKUPS!$N$2:$O$8,2,FALSE),"UNK")&amp;"_"&amp;UPPER(L177))</f>
        <v/>
      </c>
      <c r="N177" s="3" t="str">
        <f>IF(M177="","",COUNTIF($M$2:M177,M177))</f>
        <v/>
      </c>
    </row>
    <row r="178" spans="1:14" x14ac:dyDescent="0.3">
      <c r="A178" s="3" t="str">
        <f t="shared" si="2"/>
        <v/>
      </c>
      <c r="E178" s="3" t="s">
        <v>36</v>
      </c>
      <c r="M178" s="3" t="str">
        <f>IF(B178="","","PF"&amp;"_"&amp;IFERROR(VLOOKUP(B178,LOOKUPS!$K$2:$L$9,2,FALSE),"UNK")&amp;"_"&amp;IFERROR(VLOOKUP(C178,LOOKUPS!$N$2:$O$8,2,FALSE),"UNK")&amp;"_"&amp;UPPER(L178))</f>
        <v/>
      </c>
      <c r="N178" s="3" t="str">
        <f>IF(M178="","",COUNTIF($M$2:M178,M178))</f>
        <v/>
      </c>
    </row>
    <row r="179" spans="1:14" x14ac:dyDescent="0.3">
      <c r="A179" s="3" t="str">
        <f t="shared" si="2"/>
        <v/>
      </c>
      <c r="E179" s="3" t="s">
        <v>36</v>
      </c>
      <c r="M179" s="3" t="str">
        <f>IF(B179="","","PF"&amp;"_"&amp;IFERROR(VLOOKUP(B179,LOOKUPS!$K$2:$L$9,2,FALSE),"UNK")&amp;"_"&amp;IFERROR(VLOOKUP(C179,LOOKUPS!$N$2:$O$8,2,FALSE),"UNK")&amp;"_"&amp;UPPER(L179))</f>
        <v/>
      </c>
      <c r="N179" s="3" t="str">
        <f>IF(M179="","",COUNTIF($M$2:M179,M179))</f>
        <v/>
      </c>
    </row>
    <row r="180" spans="1:14" x14ac:dyDescent="0.3">
      <c r="A180" s="3" t="str">
        <f t="shared" si="2"/>
        <v/>
      </c>
      <c r="E180" s="3" t="s">
        <v>36</v>
      </c>
      <c r="M180" s="3" t="str">
        <f>IF(B180="","","PF"&amp;"_"&amp;IFERROR(VLOOKUP(B180,LOOKUPS!$K$2:$L$9,2,FALSE),"UNK")&amp;"_"&amp;IFERROR(VLOOKUP(C180,LOOKUPS!$N$2:$O$8,2,FALSE),"UNK")&amp;"_"&amp;UPPER(L180))</f>
        <v/>
      </c>
      <c r="N180" s="3" t="str">
        <f>IF(M180="","",COUNTIF($M$2:M180,M180))</f>
        <v/>
      </c>
    </row>
    <row r="181" spans="1:14" x14ac:dyDescent="0.3">
      <c r="A181" s="3" t="str">
        <f t="shared" si="2"/>
        <v/>
      </c>
      <c r="E181" s="3" t="s">
        <v>36</v>
      </c>
      <c r="M181" s="3" t="str">
        <f>IF(B181="","","PF"&amp;"_"&amp;IFERROR(VLOOKUP(B181,LOOKUPS!$K$2:$L$9,2,FALSE),"UNK")&amp;"_"&amp;IFERROR(VLOOKUP(C181,LOOKUPS!$N$2:$O$8,2,FALSE),"UNK")&amp;"_"&amp;UPPER(L181))</f>
        <v/>
      </c>
      <c r="N181" s="3" t="str">
        <f>IF(M181="","",COUNTIF($M$2:M181,M181))</f>
        <v/>
      </c>
    </row>
    <row r="182" spans="1:14" x14ac:dyDescent="0.3">
      <c r="A182" s="3" t="str">
        <f t="shared" si="2"/>
        <v/>
      </c>
      <c r="E182" s="3" t="s">
        <v>36</v>
      </c>
      <c r="M182" s="3" t="str">
        <f>IF(B182="","","PF"&amp;"_"&amp;IFERROR(VLOOKUP(B182,LOOKUPS!$K$2:$L$9,2,FALSE),"UNK")&amp;"_"&amp;IFERROR(VLOOKUP(C182,LOOKUPS!$N$2:$O$8,2,FALSE),"UNK")&amp;"_"&amp;UPPER(L182))</f>
        <v/>
      </c>
      <c r="N182" s="3" t="str">
        <f>IF(M182="","",COUNTIF($M$2:M182,M182))</f>
        <v/>
      </c>
    </row>
    <row r="183" spans="1:14" x14ac:dyDescent="0.3">
      <c r="A183" s="3" t="str">
        <f t="shared" si="2"/>
        <v/>
      </c>
      <c r="E183" s="3" t="s">
        <v>36</v>
      </c>
      <c r="M183" s="3" t="str">
        <f>IF(B183="","","PF"&amp;"_"&amp;IFERROR(VLOOKUP(B183,LOOKUPS!$K$2:$L$9,2,FALSE),"UNK")&amp;"_"&amp;IFERROR(VLOOKUP(C183,LOOKUPS!$N$2:$O$8,2,FALSE),"UNK")&amp;"_"&amp;UPPER(L183))</f>
        <v/>
      </c>
      <c r="N183" s="3" t="str">
        <f>IF(M183="","",COUNTIF($M$2:M183,M183))</f>
        <v/>
      </c>
    </row>
    <row r="184" spans="1:14" x14ac:dyDescent="0.3">
      <c r="A184" s="3" t="str">
        <f t="shared" si="2"/>
        <v/>
      </c>
      <c r="E184" s="3" t="s">
        <v>36</v>
      </c>
      <c r="M184" s="3" t="str">
        <f>IF(B184="","","PF"&amp;"_"&amp;IFERROR(VLOOKUP(B184,LOOKUPS!$K$2:$L$9,2,FALSE),"UNK")&amp;"_"&amp;IFERROR(VLOOKUP(C184,LOOKUPS!$N$2:$O$8,2,FALSE),"UNK")&amp;"_"&amp;UPPER(L184))</f>
        <v/>
      </c>
      <c r="N184" s="3" t="str">
        <f>IF(M184="","",COUNTIF($M$2:M184,M184))</f>
        <v/>
      </c>
    </row>
    <row r="185" spans="1:14" x14ac:dyDescent="0.3">
      <c r="A185" s="3" t="str">
        <f t="shared" si="2"/>
        <v/>
      </c>
      <c r="E185" s="3" t="s">
        <v>36</v>
      </c>
      <c r="M185" s="3" t="str">
        <f>IF(B185="","","PF"&amp;"_"&amp;IFERROR(VLOOKUP(B185,LOOKUPS!$K$2:$L$9,2,FALSE),"UNK")&amp;"_"&amp;IFERROR(VLOOKUP(C185,LOOKUPS!$N$2:$O$8,2,FALSE),"UNK")&amp;"_"&amp;UPPER(L185))</f>
        <v/>
      </c>
      <c r="N185" s="3" t="str">
        <f>IF(M185="","",COUNTIF($M$2:M185,M185))</f>
        <v/>
      </c>
    </row>
    <row r="186" spans="1:14" x14ac:dyDescent="0.3">
      <c r="A186" s="3" t="str">
        <f t="shared" si="2"/>
        <v/>
      </c>
      <c r="E186" s="3" t="s">
        <v>36</v>
      </c>
      <c r="M186" s="3" t="str">
        <f>IF(B186="","","PF"&amp;"_"&amp;IFERROR(VLOOKUP(B186,LOOKUPS!$K$2:$L$9,2,FALSE),"UNK")&amp;"_"&amp;IFERROR(VLOOKUP(C186,LOOKUPS!$N$2:$O$8,2,FALSE),"UNK")&amp;"_"&amp;UPPER(L186))</f>
        <v/>
      </c>
      <c r="N186" s="3" t="str">
        <f>IF(M186="","",COUNTIF($M$2:M186,M186))</f>
        <v/>
      </c>
    </row>
    <row r="187" spans="1:14" x14ac:dyDescent="0.3">
      <c r="A187" s="3" t="str">
        <f t="shared" si="2"/>
        <v/>
      </c>
      <c r="E187" s="3" t="s">
        <v>36</v>
      </c>
      <c r="M187" s="3" t="str">
        <f>IF(B187="","","PF"&amp;"_"&amp;IFERROR(VLOOKUP(B187,LOOKUPS!$K$2:$L$9,2,FALSE),"UNK")&amp;"_"&amp;IFERROR(VLOOKUP(C187,LOOKUPS!$N$2:$O$8,2,FALSE),"UNK")&amp;"_"&amp;UPPER(L187))</f>
        <v/>
      </c>
      <c r="N187" s="3" t="str">
        <f>IF(M187="","",COUNTIF($M$2:M187,M187))</f>
        <v/>
      </c>
    </row>
    <row r="188" spans="1:14" x14ac:dyDescent="0.3">
      <c r="A188" s="3" t="str">
        <f t="shared" si="2"/>
        <v/>
      </c>
      <c r="E188" s="3" t="s">
        <v>36</v>
      </c>
      <c r="M188" s="3" t="str">
        <f>IF(B188="","","PF"&amp;"_"&amp;IFERROR(VLOOKUP(B188,LOOKUPS!$K$2:$L$9,2,FALSE),"UNK")&amp;"_"&amp;IFERROR(VLOOKUP(C188,LOOKUPS!$N$2:$O$8,2,FALSE),"UNK")&amp;"_"&amp;UPPER(L188))</f>
        <v/>
      </c>
      <c r="N188" s="3" t="str">
        <f>IF(M188="","",COUNTIF($M$2:M188,M188))</f>
        <v/>
      </c>
    </row>
    <row r="189" spans="1:14" x14ac:dyDescent="0.3">
      <c r="A189" s="3" t="str">
        <f t="shared" si="2"/>
        <v/>
      </c>
      <c r="E189" s="3" t="s">
        <v>36</v>
      </c>
      <c r="M189" s="3" t="str">
        <f>IF(B189="","","PF"&amp;"_"&amp;IFERROR(VLOOKUP(B189,LOOKUPS!$K$2:$L$9,2,FALSE),"UNK")&amp;"_"&amp;IFERROR(VLOOKUP(C189,LOOKUPS!$N$2:$O$8,2,FALSE),"UNK")&amp;"_"&amp;UPPER(L189))</f>
        <v/>
      </c>
      <c r="N189" s="3" t="str">
        <f>IF(M189="","",COUNTIF($M$2:M189,M189))</f>
        <v/>
      </c>
    </row>
    <row r="190" spans="1:14" x14ac:dyDescent="0.3">
      <c r="A190" s="3" t="str">
        <f t="shared" si="2"/>
        <v/>
      </c>
      <c r="E190" s="3" t="s">
        <v>36</v>
      </c>
      <c r="M190" s="3" t="str">
        <f>IF(B190="","","PF"&amp;"_"&amp;IFERROR(VLOOKUP(B190,LOOKUPS!$K$2:$L$9,2,FALSE),"UNK")&amp;"_"&amp;IFERROR(VLOOKUP(C190,LOOKUPS!$N$2:$O$8,2,FALSE),"UNK")&amp;"_"&amp;UPPER(L190))</f>
        <v/>
      </c>
      <c r="N190" s="3" t="str">
        <f>IF(M190="","",COUNTIF($M$2:M190,M190))</f>
        <v/>
      </c>
    </row>
    <row r="191" spans="1:14" x14ac:dyDescent="0.3">
      <c r="A191" s="3" t="str">
        <f t="shared" si="2"/>
        <v/>
      </c>
      <c r="E191" s="3" t="s">
        <v>36</v>
      </c>
      <c r="M191" s="3" t="str">
        <f>IF(B191="","","PF"&amp;"_"&amp;IFERROR(VLOOKUP(B191,LOOKUPS!$K$2:$L$9,2,FALSE),"UNK")&amp;"_"&amp;IFERROR(VLOOKUP(C191,LOOKUPS!$N$2:$O$8,2,FALSE),"UNK")&amp;"_"&amp;UPPER(L191))</f>
        <v/>
      </c>
      <c r="N191" s="3" t="str">
        <f>IF(M191="","",COUNTIF($M$2:M191,M191))</f>
        <v/>
      </c>
    </row>
    <row r="192" spans="1:14" x14ac:dyDescent="0.3">
      <c r="A192" s="3" t="str">
        <f t="shared" si="2"/>
        <v/>
      </c>
      <c r="E192" s="3" t="s">
        <v>36</v>
      </c>
      <c r="M192" s="3" t="str">
        <f>IF(B192="","","PF"&amp;"_"&amp;IFERROR(VLOOKUP(B192,LOOKUPS!$K$2:$L$9,2,FALSE),"UNK")&amp;"_"&amp;IFERROR(VLOOKUP(C192,LOOKUPS!$N$2:$O$8,2,FALSE),"UNK")&amp;"_"&amp;UPPER(L192))</f>
        <v/>
      </c>
      <c r="N192" s="3" t="str">
        <f>IF(M192="","",COUNTIF($M$2:M192,M192))</f>
        <v/>
      </c>
    </row>
    <row r="193" spans="1:14" x14ac:dyDescent="0.3">
      <c r="A193" s="3" t="str">
        <f t="shared" si="2"/>
        <v/>
      </c>
      <c r="E193" s="3" t="s">
        <v>36</v>
      </c>
      <c r="M193" s="3" t="str">
        <f>IF(B193="","","PF"&amp;"_"&amp;IFERROR(VLOOKUP(B193,LOOKUPS!$K$2:$L$9,2,FALSE),"UNK")&amp;"_"&amp;IFERROR(VLOOKUP(C193,LOOKUPS!$N$2:$O$8,2,FALSE),"UNK")&amp;"_"&amp;UPPER(L193))</f>
        <v/>
      </c>
      <c r="N193" s="3" t="str">
        <f>IF(M193="","",COUNTIF($M$2:M193,M193))</f>
        <v/>
      </c>
    </row>
    <row r="194" spans="1:14" x14ac:dyDescent="0.3">
      <c r="A194" s="3" t="str">
        <f t="shared" si="2"/>
        <v/>
      </c>
      <c r="E194" s="3" t="s">
        <v>36</v>
      </c>
      <c r="M194" s="3" t="str">
        <f>IF(B194="","","PF"&amp;"_"&amp;IFERROR(VLOOKUP(B194,LOOKUPS!$K$2:$L$9,2,FALSE),"UNK")&amp;"_"&amp;IFERROR(VLOOKUP(C194,LOOKUPS!$N$2:$O$8,2,FALSE),"UNK")&amp;"_"&amp;UPPER(L194))</f>
        <v/>
      </c>
      <c r="N194" s="3" t="str">
        <f>IF(M194="","",COUNTIF($M$2:M194,M194))</f>
        <v/>
      </c>
    </row>
    <row r="195" spans="1:14" x14ac:dyDescent="0.3">
      <c r="A195" s="3" t="str">
        <f t="shared" ref="A195:A200" si="3">IF(M195="","",M195&amp;"_"&amp;TEXT(N195,"000"))</f>
        <v/>
      </c>
      <c r="E195" s="3" t="s">
        <v>36</v>
      </c>
      <c r="M195" s="3" t="str">
        <f>IF(B195="","","PF"&amp;"_"&amp;IFERROR(VLOOKUP(B195,LOOKUPS!$K$2:$L$9,2,FALSE),"UNK")&amp;"_"&amp;IFERROR(VLOOKUP(C195,LOOKUPS!$N$2:$O$8,2,FALSE),"UNK")&amp;"_"&amp;UPPER(L195))</f>
        <v/>
      </c>
      <c r="N195" s="3" t="str">
        <f>IF(M195="","",COUNTIF($M$2:M195,M195))</f>
        <v/>
      </c>
    </row>
    <row r="196" spans="1:14" x14ac:dyDescent="0.3">
      <c r="A196" s="3" t="str">
        <f t="shared" si="3"/>
        <v/>
      </c>
      <c r="E196" s="3" t="s">
        <v>36</v>
      </c>
      <c r="M196" s="3" t="str">
        <f>IF(B196="","","PF"&amp;"_"&amp;IFERROR(VLOOKUP(B196,LOOKUPS!$K$2:$L$9,2,FALSE),"UNK")&amp;"_"&amp;IFERROR(VLOOKUP(C196,LOOKUPS!$N$2:$O$8,2,FALSE),"UNK")&amp;"_"&amp;UPPER(L196))</f>
        <v/>
      </c>
      <c r="N196" s="3" t="str">
        <f>IF(M196="","",COUNTIF($M$2:M196,M196))</f>
        <v/>
      </c>
    </row>
    <row r="197" spans="1:14" x14ac:dyDescent="0.3">
      <c r="A197" s="3" t="str">
        <f t="shared" si="3"/>
        <v/>
      </c>
      <c r="E197" s="3" t="s">
        <v>36</v>
      </c>
      <c r="M197" s="3" t="str">
        <f>IF(B197="","","PF"&amp;"_"&amp;IFERROR(VLOOKUP(B197,LOOKUPS!$K$2:$L$9,2,FALSE),"UNK")&amp;"_"&amp;IFERROR(VLOOKUP(C197,LOOKUPS!$N$2:$O$8,2,FALSE),"UNK")&amp;"_"&amp;UPPER(L197))</f>
        <v/>
      </c>
      <c r="N197" s="3" t="str">
        <f>IF(M197="","",COUNTIF($M$2:M197,M197))</f>
        <v/>
      </c>
    </row>
    <row r="198" spans="1:14" x14ac:dyDescent="0.3">
      <c r="A198" s="3" t="str">
        <f t="shared" si="3"/>
        <v/>
      </c>
      <c r="E198" s="3" t="s">
        <v>36</v>
      </c>
      <c r="M198" s="3" t="str">
        <f>IF(B198="","","PF"&amp;"_"&amp;IFERROR(VLOOKUP(B198,LOOKUPS!$K$2:$L$9,2,FALSE),"UNK")&amp;"_"&amp;IFERROR(VLOOKUP(C198,LOOKUPS!$N$2:$O$8,2,FALSE),"UNK")&amp;"_"&amp;UPPER(L198))</f>
        <v/>
      </c>
      <c r="N198" s="3" t="str">
        <f>IF(M198="","",COUNTIF($M$2:M198,M198))</f>
        <v/>
      </c>
    </row>
    <row r="199" spans="1:14" x14ac:dyDescent="0.3">
      <c r="A199" s="3" t="str">
        <f t="shared" si="3"/>
        <v/>
      </c>
      <c r="E199" s="3" t="s">
        <v>36</v>
      </c>
      <c r="M199" s="3" t="str">
        <f>IF(B199="","","PF"&amp;"_"&amp;IFERROR(VLOOKUP(B199,LOOKUPS!$K$2:$L$9,2,FALSE),"UNK")&amp;"_"&amp;IFERROR(VLOOKUP(C199,LOOKUPS!$N$2:$O$8,2,FALSE),"UNK")&amp;"_"&amp;UPPER(L199))</f>
        <v/>
      </c>
      <c r="N199" s="3" t="str">
        <f>IF(M199="","",COUNTIF($M$2:M199,M199))</f>
        <v/>
      </c>
    </row>
    <row r="200" spans="1:14" x14ac:dyDescent="0.3">
      <c r="A200" s="3" t="str">
        <f t="shared" si="3"/>
        <v/>
      </c>
      <c r="E200" s="3" t="s">
        <v>36</v>
      </c>
      <c r="M200" s="3" t="str">
        <f>IF(B200="","","PF"&amp;"_"&amp;IFERROR(VLOOKUP(B200,LOOKUPS!$K$2:$L$9,2,FALSE),"UNK")&amp;"_"&amp;IFERROR(VLOOKUP(C200,LOOKUPS!$N$2:$O$8,2,FALSE),"UNK")&amp;"_"&amp;UPPER(L200))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500-000000000000}">
          <x14:formula1>
            <xm:f>LOOKUPS!$A$2:$A$9</xm:f>
          </x14:formula1>
          <xm:sqref>B201:B1000</xm:sqref>
        </x14:dataValidation>
        <x14:dataValidation type="list" allowBlank="1" showDropDown="1" xr:uid="{00000000-0002-0000-0500-000001000000}">
          <x14:formula1>
            <xm:f>LOOKUPS!$C$2:$C$8</xm:f>
          </x14:formula1>
          <xm:sqref>C201:C1000</xm:sqref>
        </x14:dataValidation>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F17F4E70-1DFD-49B8-B609-2BEFE05660BB}">
          <x14:formula1>
            <xm:f>LOOKUPS!$A$2:$A$9</xm:f>
          </x14:formula1>
          <xm:sqref>B2:B200</xm:sqref>
        </x14:dataValidation>
        <x14:dataValidation type="list" allowBlank="1" xr:uid="{6C06B5A9-8864-4EFC-90FD-E9C1773F40E3}">
          <x14:formula1>
            <xm:f>LOOKUPS!$C$2:$C$8</xm:f>
          </x14:formula1>
          <xm:sqref>C2:C200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497"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143</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143</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143</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143</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143</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EIS / SEIS / VCT reliefs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143</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EIS / SEIS / VCT reliefs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143</v>
      </c>
      <c r="M8" s="3">
        <f>COUNTA(CLOZE_AB!$A:$A)-1</f>
        <v>168</v>
      </c>
      <c r="N8" s="3">
        <f>COUNTA(CLOZE_LIST!$A:$A)-1</f>
        <v>199</v>
      </c>
      <c r="O8" s="3">
        <f>COUNTA(PROFORMA!$A:$A)-1</f>
        <v>199</v>
      </c>
    </row>
    <row r="9" spans="1:15" ht="28.8" x14ac:dyDescent="0.3">
      <c r="A9" s="3" t="str">
        <f>IF(ROW()-1&lt;=0,"",IF(ROW()-1&lt;=$L$2,IFERROR(INDEX(MCQ!$A:$K,ROW()-1+1,1),""),IF(ROW()-1&lt;=$L$2+$M$2,IFERROR(INDEX(CLOZE_AB!$A:$K,ROW()-1-$L$2+1,1),""),IF(ROW()-1&lt;=$L$2+$M$2+$N$2,IFERROR(INDEX(CLOZE_LIST!$A:$K,ROW()-1-$L$2-$M$2+1,1),""),IF(ROW()-1&lt;=$L$2+$M$2+$N$2+$O$2,IFERROR(INDEX(PROFORMA!$A:$K,ROW()-1-$L$2-$M$2-$N$2+1,1),""),"")))))</f>
        <v>MCQ_ITNIC_DEF_EIS_001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definitions</v>
      </c>
      <c r="D9" s="3" t="str">
        <f>IF(ROW()-1&lt;=0,"",IF(ROW()-1&lt;=$L$2,IFERROR(INDEX(MCQ!$A:$K,ROW()-1+1,4),""),IF(ROW()-1&lt;=$L$2+$M$2,IFERROR(INDEX(CLOZE_AB!$A:$K,ROW()-1-$L$2+1,4),""),IF(ROW()-1&lt;=$L$2+$M$2+$N$2,IFERROR(INDEX(CLOZE_LIST!$A:$K,ROW()-1-$L$2-$M$2+1,4),""),IF(ROW()-1&lt;=$L$2+$M$2+$N$2+$O$2,IFERROR(INDEX(PROFORMA!$A:$K,ROW()-1-$L$2-$M$2-$N$2+1,4),""),"")))))</f>
        <v>EIS / SEIS / VCT reliefs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143</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MCQ_ITNIC_DEF_PSC_001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definitions</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143</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MCQ_ITNIC_REQ_PSC_001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requirements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143</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MCQ_ITNIC_REQ_PSC_002</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143</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 (SAYE / CSOP / EMI / SIP)</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143</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 (SAYE / CSOP / EMI / SIP)</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143</v>
      </c>
      <c r="M14" s="3">
        <f>COUNTA(CLOZE_AB!$A:$A)-1</f>
        <v>168</v>
      </c>
      <c r="N14" s="3">
        <f>COUNTA(CLOZE_LIST!$A:$A)-1</f>
        <v>199</v>
      </c>
      <c r="O14" s="3">
        <f>COUNTA(PROFORMA!$A:$A)-1</f>
        <v>199</v>
      </c>
    </row>
    <row r="15" spans="1:15" ht="28.8" x14ac:dyDescent="0.3">
      <c r="A15" s="3" t="str">
        <f>IF(ROW()-1&lt;=0,"",IF(ROW()-1&lt;=$L$2,IFERROR(INDEX(MCQ!$A:$K,ROW()-1+1,1),""),IF(ROW()-1&lt;=$L$2+$M$2,IFERROR(INDEX(CLOZE_AB!$A:$K,ROW()-1-$L$2+1,1),""),IF(ROW()-1&lt;=$L$2+$M$2+$N$2,IFERROR(INDEX(CLOZE_LIST!$A:$K,ROW()-1-$L$2-$M$2+1,1),""),IF(ROW()-1&lt;=$L$2+$M$2+$N$2+$O$2,IFERROR(INDEX(PROFORMA!$A:$K,ROW()-1-$L$2-$M$2-$N$2+1,1),""),"")))))</f>
        <v>MCQ_ITNIC_DEF_SHS_003</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definitions</v>
      </c>
      <c r="D15" s="3" t="str">
        <f>IF(ROW()-1&lt;=0,"",IF(ROW()-1&lt;=$L$2,IFERROR(INDEX(MCQ!$A:$K,ROW()-1+1,4),""),IF(ROW()-1&lt;=$L$2+$M$2,IFERROR(INDEX(CLOZE_AB!$A:$K,ROW()-1-$L$2+1,4),""),IF(ROW()-1&lt;=$L$2+$M$2+$N$2,IFERROR(INDEX(CLOZE_LIST!$A:$K,ROW()-1-$L$2-$M$2+1,4),""),IF(ROW()-1&lt;=$L$2+$M$2+$N$2+$O$2,IFERROR(INDEX(PROFORMA!$A:$K,ROW()-1-$L$2-$M$2-$N$2+1,4),""),"")))))</f>
        <v>Employee share schemes (SAYE / CSOP / EMI / SIP)</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143</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EMI scheme rules (company)</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143</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EMI scheme rules (company)</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143</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EMI scheme rules (company)</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143</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EMI scheme rules (company)</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143</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EMI scheme rules (company)</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143</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EMI scheme rules (employees)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143</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EMI scheme rules (employees)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143</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EMI scheme rules (shares)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143</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EMI scheme rules (limits)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143</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EMI scheme rules (limits)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143</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EMI scheme rules (limits)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143</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MCQ_ITNIC_REQ_EMI_012</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requirements</v>
      </c>
      <c r="D27" s="3" t="str">
        <f>IF(ROW()-1&lt;=0,"",IF(ROW()-1&lt;=$L$2,IFERROR(INDEX(MCQ!$A:$K,ROW()-1+1,4),""),IF(ROW()-1&lt;=$L$2+$M$2,IFERROR(INDEX(CLOZE_AB!$A:$K,ROW()-1-$L$2+1,4),""),IF(ROW()-1&lt;=$L$2+$M$2+$N$2,IFERROR(INDEX(CLOZE_LIST!$A:$K,ROW()-1-$L$2-$M$2+1,4),""),IF(ROW()-1&lt;=$L$2+$M$2+$N$2+$O$2,IFERROR(INDEX(PROFORMA!$A:$K,ROW()-1-$L$2-$M$2-$N$2+1,4),""),"")))))</f>
        <v>EMI scheme rules (limits)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143</v>
      </c>
      <c r="M27" s="3">
        <f>COUNTA(CLOZE_AB!$A:$A)-1</f>
        <v>168</v>
      </c>
      <c r="N27" s="3">
        <f>COUNTA(CLOZE_LIST!$A:$A)-1</f>
        <v>199</v>
      </c>
      <c r="O27" s="3">
        <f>COUNTA(PROFORMA!$A:$A)-1</f>
        <v>199</v>
      </c>
    </row>
    <row r="28" spans="1:15" x14ac:dyDescent="0.3">
      <c r="A28" s="3" t="str">
        <f>IF(ROW()-1&lt;=0,"",IF(ROW()-1&lt;=$L$2,IFERROR(INDEX(MCQ!$A:$K,ROW()-1+1,1),""),IF(ROW()-1&lt;=$L$2+$M$2,IFERROR(INDEX(CLOZE_AB!$A:$K,ROW()-1-$L$2+1,1),""),IF(ROW()-1&lt;=$L$2+$M$2+$N$2,IFERROR(INDEX(CLOZE_LIST!$A:$K,ROW()-1-$L$2-$M$2+1,1),""),IF(ROW()-1&lt;=$L$2+$M$2+$N$2+$O$2,IFERROR(INDEX(PROFORMA!$A:$K,ROW()-1-$L$2-$M$2-$N$2+1,1),""),"")))))</f>
        <v/>
      </c>
      <c r="B28" s="3">
        <f>IF(ROW()-1&lt;=0,"",IF(ROW()-1&lt;=$L$2,IFERROR(INDEX(MCQ!$A:$K,ROW()-1+1,2),""),IF(ROW()-1&lt;=$L$2+$M$2,IFERROR(INDEX(CLOZE_AB!$A:$K,ROW()-1-$L$2+1,2),""),IF(ROW()-1&lt;=$L$2+$M$2+$N$2,IFERROR(INDEX(CLOZE_LIST!$A:$K,ROW()-1-$L$2-$M$2+1,2),""),IF(ROW()-1&lt;=$L$2+$M$2+$N$2+$O$2,IFERROR(INDEX(PROFORMA!$A:$K,ROW()-1-$L$2-$M$2-$N$2+1,2),""),"")))))</f>
        <v>0</v>
      </c>
      <c r="C28" s="3">
        <f>IF(ROW()-1&lt;=0,"",IF(ROW()-1&lt;=$L$2,IFERROR(INDEX(MCQ!$A:$K,ROW()-1+1,3),""),IF(ROW()-1&lt;=$L$2+$M$2,IFERROR(INDEX(CLOZE_AB!$A:$K,ROW()-1-$L$2+1,3),""),IF(ROW()-1&lt;=$L$2+$M$2+$N$2,IFERROR(INDEX(CLOZE_LIST!$A:$K,ROW()-1-$L$2-$M$2+1,3),""),IF(ROW()-1&lt;=$L$2+$M$2+$N$2+$O$2,IFERROR(INDEX(PROFORMA!$A:$K,ROW()-1-$L$2-$M$2-$N$2+1,3),""),"")))))</f>
        <v>0</v>
      </c>
      <c r="D28" s="3">
        <f>IF(ROW()-1&lt;=0,"",IF(ROW()-1&lt;=$L$2,IFERROR(INDEX(MCQ!$A:$K,ROW()-1+1,4),""),IF(ROW()-1&lt;=$L$2+$M$2,IFERROR(INDEX(CLOZE_AB!$A:$K,ROW()-1-$L$2+1,4),""),IF(ROW()-1&lt;=$L$2+$M$2+$N$2,IFERROR(INDEX(CLOZE_LIST!$A:$K,ROW()-1-$L$2-$M$2+1,4),""),IF(ROW()-1&lt;=$L$2+$M$2+$N$2+$O$2,IFERROR(INDEX(PROFORMA!$A:$K,ROW()-1-$L$2-$M$2-$N$2+1,4),""),"")))))</f>
        <v>0</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0</v>
      </c>
      <c r="G28" s="3">
        <f>IF(ROW()-1&lt;=0,"",IF(ROW()-1&lt;=$L$2,IFERROR(INDEX(MCQ!$A:$K,ROW()-1+1,7),""),IF(ROW()-1&lt;=$L$2+$M$2,IFERROR(INDEX(CLOZE_AB!$A:$K,ROW()-1-$L$2+1,7),""),IF(ROW()-1&lt;=$L$2+$M$2+$N$2,IFERROR(INDEX(CLOZE_LIST!$A:$K,ROW()-1-$L$2-$M$2+1,7),""),IF(ROW()-1&lt;=$L$2+$M$2+$N$2+$O$2,IFERROR(INDEX(PROFORMA!$A:$K,ROW()-1-$L$2-$M$2-$N$2+1,7),""),"")))))</f>
        <v>0</v>
      </c>
      <c r="H28" s="3">
        <f>IF(ROW()-1&lt;=0,"",IF(ROW()-1&lt;=$L$2,IFERROR(INDEX(MCQ!$A:$K,ROW()-1+1,8),""),IF(ROW()-1&lt;=$L$2+$M$2,IFERROR(INDEX(CLOZE_AB!$A:$K,ROW()-1-$L$2+1,8),""),IF(ROW()-1&lt;=$L$2+$M$2+$N$2,IFERROR(INDEX(CLOZE_LIST!$A:$K,ROW()-1-$L$2-$M$2+1,8),""),IF(ROW()-1&lt;=$L$2+$M$2+$N$2+$O$2,IFERROR(INDEX(PROFORMA!$A:$K,ROW()-1-$L$2-$M$2-$N$2+1,8),""),"")))))</f>
        <v>0</v>
      </c>
      <c r="I28" s="3">
        <f>IF(ROW()-1&lt;=0,"",IF(ROW()-1&lt;=$L$2,IFERROR(INDEX(MCQ!$A:$K,ROW()-1+1,9),""),IF(ROW()-1&lt;=$L$2+$M$2,IFERROR(INDEX(CLOZE_AB!$A:$K,ROW()-1-$L$2+1,9),""),IF(ROW()-1&lt;=$L$2+$M$2+$N$2,IFERROR(INDEX(CLOZE_LIST!$A:$K,ROW()-1-$L$2-$M$2+1,9),""),IF(ROW()-1&lt;=$L$2+$M$2+$N$2+$O$2,IFERROR(INDEX(PROFORMA!$A:$K,ROW()-1-$L$2-$M$2-$N$2+1,9),""),"")))))</f>
        <v>0</v>
      </c>
      <c r="J28" s="3">
        <f>IF(ROW()-1&lt;=0,"",IF(ROW()-1&lt;=$L$2,IFERROR(INDEX(MCQ!$A:$K,ROW()-1+1,10),""),IF(ROW()-1&lt;=$L$2+$M$2,IFERROR(INDEX(CLOZE_AB!$A:$K,ROW()-1-$L$2+1,10),""),IF(ROW()-1&lt;=$L$2+$M$2+$N$2,IFERROR(INDEX(CLOZE_LIST!$A:$K,ROW()-1-$L$2-$M$2+1,10),""),IF(ROW()-1&lt;=$L$2+$M$2+$N$2+$O$2,IFERROR(INDEX(PROFORMA!$A:$K,ROW()-1-$L$2-$M$2-$N$2+1,10),""),"")))))</f>
        <v>0</v>
      </c>
      <c r="K28" s="3">
        <f>IF(ROW()-1&lt;=0,"",IF(ROW()-1&lt;=$L$2,IFERROR(INDEX(MCQ!$A:$K,ROW()-1+1,11),""),IF(ROW()-1&lt;=$L$2+$M$2,IFERROR(INDEX(CLOZE_AB!$A:$K,ROW()-1-$L$2+1,11),""),IF(ROW()-1&lt;=$L$2+$M$2+$N$2,IFERROR(INDEX(CLOZE_LIST!$A:$K,ROW()-1-$L$2-$M$2+1,11),""),IF(ROW()-1&lt;=$L$2+$M$2+$N$2+$O$2,IFERROR(INDEX(PROFORMA!$A:$K,ROW()-1-$L$2-$M$2-$N$2+1,11),""),"")))))</f>
        <v>0</v>
      </c>
      <c r="L28" s="3">
        <f>COUNTA(MCQ!$A:$A)-1</f>
        <v>143</v>
      </c>
      <c r="M28" s="3">
        <f>COUNTA(CLOZE_AB!$A:$A)-1</f>
        <v>168</v>
      </c>
      <c r="N28" s="3">
        <f>COUNTA(CLOZE_LIST!$A:$A)-1</f>
        <v>199</v>
      </c>
      <c r="O28" s="3">
        <f>COUNTA(PROFORMA!$A:$A)-1</f>
        <v>199</v>
      </c>
    </row>
    <row r="29" spans="1:15" x14ac:dyDescent="0.3">
      <c r="A29" s="3" t="str">
        <f>IF(ROW()-1&lt;=0,"",IF(ROW()-1&lt;=$L$2,IFERROR(INDEX(MCQ!$A:$K,ROW()-1+1,1),""),IF(ROW()-1&lt;=$L$2+$M$2,IFERROR(INDEX(CLOZE_AB!$A:$K,ROW()-1-$L$2+1,1),""),IF(ROW()-1&lt;=$L$2+$M$2+$N$2,IFERROR(INDEX(CLOZE_LIST!$A:$K,ROW()-1-$L$2-$M$2+1,1),""),IF(ROW()-1&lt;=$L$2+$M$2+$N$2+$O$2,IFERROR(INDEX(PROFORMA!$A:$K,ROW()-1-$L$2-$M$2-$N$2+1,1),""),"")))))</f>
        <v/>
      </c>
      <c r="B29" s="3">
        <f>IF(ROW()-1&lt;=0,"",IF(ROW()-1&lt;=$L$2,IFERROR(INDEX(MCQ!$A:$K,ROW()-1+1,2),""),IF(ROW()-1&lt;=$L$2+$M$2,IFERROR(INDEX(CLOZE_AB!$A:$K,ROW()-1-$L$2+1,2),""),IF(ROW()-1&lt;=$L$2+$M$2+$N$2,IFERROR(INDEX(CLOZE_LIST!$A:$K,ROW()-1-$L$2-$M$2+1,2),""),IF(ROW()-1&lt;=$L$2+$M$2+$N$2+$O$2,IFERROR(INDEX(PROFORMA!$A:$K,ROW()-1-$L$2-$M$2-$N$2+1,2),""),"")))))</f>
        <v>0</v>
      </c>
      <c r="C29" s="3">
        <f>IF(ROW()-1&lt;=0,"",IF(ROW()-1&lt;=$L$2,IFERROR(INDEX(MCQ!$A:$K,ROW()-1+1,3),""),IF(ROW()-1&lt;=$L$2+$M$2,IFERROR(INDEX(CLOZE_AB!$A:$K,ROW()-1-$L$2+1,3),""),IF(ROW()-1&lt;=$L$2+$M$2+$N$2,IFERROR(INDEX(CLOZE_LIST!$A:$K,ROW()-1-$L$2-$M$2+1,3),""),IF(ROW()-1&lt;=$L$2+$M$2+$N$2+$O$2,IFERROR(INDEX(PROFORMA!$A:$K,ROW()-1-$L$2-$M$2-$N$2+1,3),""),"")))))</f>
        <v>0</v>
      </c>
      <c r="D29" s="3">
        <f>IF(ROW()-1&lt;=0,"",IF(ROW()-1&lt;=$L$2,IFERROR(INDEX(MCQ!$A:$K,ROW()-1+1,4),""),IF(ROW()-1&lt;=$L$2+$M$2,IFERROR(INDEX(CLOZE_AB!$A:$K,ROW()-1-$L$2+1,4),""),IF(ROW()-1&lt;=$L$2+$M$2+$N$2,IFERROR(INDEX(CLOZE_LIST!$A:$K,ROW()-1-$L$2-$M$2+1,4),""),IF(ROW()-1&lt;=$L$2+$M$2+$N$2+$O$2,IFERROR(INDEX(PROFORMA!$A:$K,ROW()-1-$L$2-$M$2-$N$2+1,4),""),"")))))</f>
        <v>0</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0</v>
      </c>
      <c r="G29" s="3">
        <f>IF(ROW()-1&lt;=0,"",IF(ROW()-1&lt;=$L$2,IFERROR(INDEX(MCQ!$A:$K,ROW()-1+1,7),""),IF(ROW()-1&lt;=$L$2+$M$2,IFERROR(INDEX(CLOZE_AB!$A:$K,ROW()-1-$L$2+1,7),""),IF(ROW()-1&lt;=$L$2+$M$2+$N$2,IFERROR(INDEX(CLOZE_LIST!$A:$K,ROW()-1-$L$2-$M$2+1,7),""),IF(ROW()-1&lt;=$L$2+$M$2+$N$2+$O$2,IFERROR(INDEX(PROFORMA!$A:$K,ROW()-1-$L$2-$M$2-$N$2+1,7),""),"")))))</f>
        <v>0</v>
      </c>
      <c r="H29" s="3">
        <f>IF(ROW()-1&lt;=0,"",IF(ROW()-1&lt;=$L$2,IFERROR(INDEX(MCQ!$A:$K,ROW()-1+1,8),""),IF(ROW()-1&lt;=$L$2+$M$2,IFERROR(INDEX(CLOZE_AB!$A:$K,ROW()-1-$L$2+1,8),""),IF(ROW()-1&lt;=$L$2+$M$2+$N$2,IFERROR(INDEX(CLOZE_LIST!$A:$K,ROW()-1-$L$2-$M$2+1,8),""),IF(ROW()-1&lt;=$L$2+$M$2+$N$2+$O$2,IFERROR(INDEX(PROFORMA!$A:$K,ROW()-1-$L$2-$M$2-$N$2+1,8),""),"")))))</f>
        <v>0</v>
      </c>
      <c r="I29" s="3">
        <f>IF(ROW()-1&lt;=0,"",IF(ROW()-1&lt;=$L$2,IFERROR(INDEX(MCQ!$A:$K,ROW()-1+1,9),""),IF(ROW()-1&lt;=$L$2+$M$2,IFERROR(INDEX(CLOZE_AB!$A:$K,ROW()-1-$L$2+1,9),""),IF(ROW()-1&lt;=$L$2+$M$2+$N$2,IFERROR(INDEX(CLOZE_LIST!$A:$K,ROW()-1-$L$2-$M$2+1,9),""),IF(ROW()-1&lt;=$L$2+$M$2+$N$2+$O$2,IFERROR(INDEX(PROFORMA!$A:$K,ROW()-1-$L$2-$M$2-$N$2+1,9),""),"")))))</f>
        <v>0</v>
      </c>
      <c r="J29" s="3">
        <f>IF(ROW()-1&lt;=0,"",IF(ROW()-1&lt;=$L$2,IFERROR(INDEX(MCQ!$A:$K,ROW()-1+1,10),""),IF(ROW()-1&lt;=$L$2+$M$2,IFERROR(INDEX(CLOZE_AB!$A:$K,ROW()-1-$L$2+1,10),""),IF(ROW()-1&lt;=$L$2+$M$2+$N$2,IFERROR(INDEX(CLOZE_LIST!$A:$K,ROW()-1-$L$2-$M$2+1,10),""),IF(ROW()-1&lt;=$L$2+$M$2+$N$2+$O$2,IFERROR(INDEX(PROFORMA!$A:$K,ROW()-1-$L$2-$M$2-$N$2+1,10),""),"")))))</f>
        <v>0</v>
      </c>
      <c r="K29" s="3">
        <f>IF(ROW()-1&lt;=0,"",IF(ROW()-1&lt;=$L$2,IFERROR(INDEX(MCQ!$A:$K,ROW()-1+1,11),""),IF(ROW()-1&lt;=$L$2+$M$2,IFERROR(INDEX(CLOZE_AB!$A:$K,ROW()-1-$L$2+1,11),""),IF(ROW()-1&lt;=$L$2+$M$2+$N$2,IFERROR(INDEX(CLOZE_LIST!$A:$K,ROW()-1-$L$2-$M$2+1,11),""),IF(ROW()-1&lt;=$L$2+$M$2+$N$2+$O$2,IFERROR(INDEX(PROFORMA!$A:$K,ROW()-1-$L$2-$M$2-$N$2+1,11),""),"")))))</f>
        <v>0</v>
      </c>
      <c r="L29" s="3">
        <f>COUNTA(MCQ!$A:$A)-1</f>
        <v>143</v>
      </c>
      <c r="M29" s="3">
        <f>COUNTA(CLOZE_AB!$A:$A)-1</f>
        <v>168</v>
      </c>
      <c r="N29" s="3">
        <f>COUNTA(CLOZE_LIST!$A:$A)-1</f>
        <v>199</v>
      </c>
      <c r="O29" s="3">
        <f>COUNTA(PROFORMA!$A:$A)-1</f>
        <v>199</v>
      </c>
    </row>
    <row r="30" spans="1:15" x14ac:dyDescent="0.3">
      <c r="A30" s="3" t="str">
        <f>IF(ROW()-1&lt;=0,"",IF(ROW()-1&lt;=$L$2,IFERROR(INDEX(MCQ!$A:$K,ROW()-1+1,1),""),IF(ROW()-1&lt;=$L$2+$M$2,IFERROR(INDEX(CLOZE_AB!$A:$K,ROW()-1-$L$2+1,1),""),IF(ROW()-1&lt;=$L$2+$M$2+$N$2,IFERROR(INDEX(CLOZE_LIST!$A:$K,ROW()-1-$L$2-$M$2+1,1),""),IF(ROW()-1&lt;=$L$2+$M$2+$N$2+$O$2,IFERROR(INDEX(PROFORMA!$A:$K,ROW()-1-$L$2-$M$2-$N$2+1,1),""),"")))))</f>
        <v/>
      </c>
      <c r="B30" s="3">
        <f>IF(ROW()-1&lt;=0,"",IF(ROW()-1&lt;=$L$2,IFERROR(INDEX(MCQ!$A:$K,ROW()-1+1,2),""),IF(ROW()-1&lt;=$L$2+$M$2,IFERROR(INDEX(CLOZE_AB!$A:$K,ROW()-1-$L$2+1,2),""),IF(ROW()-1&lt;=$L$2+$M$2+$N$2,IFERROR(INDEX(CLOZE_LIST!$A:$K,ROW()-1-$L$2-$M$2+1,2),""),IF(ROW()-1&lt;=$L$2+$M$2+$N$2+$O$2,IFERROR(INDEX(PROFORMA!$A:$K,ROW()-1-$L$2-$M$2-$N$2+1,2),""),"")))))</f>
        <v>0</v>
      </c>
      <c r="C30" s="3">
        <f>IF(ROW()-1&lt;=0,"",IF(ROW()-1&lt;=$L$2,IFERROR(INDEX(MCQ!$A:$K,ROW()-1+1,3),""),IF(ROW()-1&lt;=$L$2+$M$2,IFERROR(INDEX(CLOZE_AB!$A:$K,ROW()-1-$L$2+1,3),""),IF(ROW()-1&lt;=$L$2+$M$2+$N$2,IFERROR(INDEX(CLOZE_LIST!$A:$K,ROW()-1-$L$2-$M$2+1,3),""),IF(ROW()-1&lt;=$L$2+$M$2+$N$2+$O$2,IFERROR(INDEX(PROFORMA!$A:$K,ROW()-1-$L$2-$M$2-$N$2+1,3),""),"")))))</f>
        <v>0</v>
      </c>
      <c r="D30" s="3">
        <f>IF(ROW()-1&lt;=0,"",IF(ROW()-1&lt;=$L$2,IFERROR(INDEX(MCQ!$A:$K,ROW()-1+1,4),""),IF(ROW()-1&lt;=$L$2+$M$2,IFERROR(INDEX(CLOZE_AB!$A:$K,ROW()-1-$L$2+1,4),""),IF(ROW()-1&lt;=$L$2+$M$2+$N$2,IFERROR(INDEX(CLOZE_LIST!$A:$K,ROW()-1-$L$2-$M$2+1,4),""),IF(ROW()-1&lt;=$L$2+$M$2+$N$2+$O$2,IFERROR(INDEX(PROFORMA!$A:$K,ROW()-1-$L$2-$M$2-$N$2+1,4),""),"")))))</f>
        <v>0</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0</v>
      </c>
      <c r="G30" s="3">
        <f>IF(ROW()-1&lt;=0,"",IF(ROW()-1&lt;=$L$2,IFERROR(INDEX(MCQ!$A:$K,ROW()-1+1,7),""),IF(ROW()-1&lt;=$L$2+$M$2,IFERROR(INDEX(CLOZE_AB!$A:$K,ROW()-1-$L$2+1,7),""),IF(ROW()-1&lt;=$L$2+$M$2+$N$2,IFERROR(INDEX(CLOZE_LIST!$A:$K,ROW()-1-$L$2-$M$2+1,7),""),IF(ROW()-1&lt;=$L$2+$M$2+$N$2+$O$2,IFERROR(INDEX(PROFORMA!$A:$K,ROW()-1-$L$2-$M$2-$N$2+1,7),""),"")))))</f>
        <v>0</v>
      </c>
      <c r="H30" s="3">
        <f>IF(ROW()-1&lt;=0,"",IF(ROW()-1&lt;=$L$2,IFERROR(INDEX(MCQ!$A:$K,ROW()-1+1,8),""),IF(ROW()-1&lt;=$L$2+$M$2,IFERROR(INDEX(CLOZE_AB!$A:$K,ROW()-1-$L$2+1,8),""),IF(ROW()-1&lt;=$L$2+$M$2+$N$2,IFERROR(INDEX(CLOZE_LIST!$A:$K,ROW()-1-$L$2-$M$2+1,8),""),IF(ROW()-1&lt;=$L$2+$M$2+$N$2+$O$2,IFERROR(INDEX(PROFORMA!$A:$K,ROW()-1-$L$2-$M$2-$N$2+1,8),""),"")))))</f>
        <v>0</v>
      </c>
      <c r="I30" s="3">
        <f>IF(ROW()-1&lt;=0,"",IF(ROW()-1&lt;=$L$2,IFERROR(INDEX(MCQ!$A:$K,ROW()-1+1,9),""),IF(ROW()-1&lt;=$L$2+$M$2,IFERROR(INDEX(CLOZE_AB!$A:$K,ROW()-1-$L$2+1,9),""),IF(ROW()-1&lt;=$L$2+$M$2+$N$2,IFERROR(INDEX(CLOZE_LIST!$A:$K,ROW()-1-$L$2-$M$2+1,9),""),IF(ROW()-1&lt;=$L$2+$M$2+$N$2+$O$2,IFERROR(INDEX(PROFORMA!$A:$K,ROW()-1-$L$2-$M$2-$N$2+1,9),""),"")))))</f>
        <v>0</v>
      </c>
      <c r="J30" s="3">
        <f>IF(ROW()-1&lt;=0,"",IF(ROW()-1&lt;=$L$2,IFERROR(INDEX(MCQ!$A:$K,ROW()-1+1,10),""),IF(ROW()-1&lt;=$L$2+$M$2,IFERROR(INDEX(CLOZE_AB!$A:$K,ROW()-1-$L$2+1,10),""),IF(ROW()-1&lt;=$L$2+$M$2+$N$2,IFERROR(INDEX(CLOZE_LIST!$A:$K,ROW()-1-$L$2-$M$2+1,10),""),IF(ROW()-1&lt;=$L$2+$M$2+$N$2+$O$2,IFERROR(INDEX(PROFORMA!$A:$K,ROW()-1-$L$2-$M$2-$N$2+1,10),""),"")))))</f>
        <v>0</v>
      </c>
      <c r="K30" s="3">
        <f>IF(ROW()-1&lt;=0,"",IF(ROW()-1&lt;=$L$2,IFERROR(INDEX(MCQ!$A:$K,ROW()-1+1,11),""),IF(ROW()-1&lt;=$L$2+$M$2,IFERROR(INDEX(CLOZE_AB!$A:$K,ROW()-1-$L$2+1,11),""),IF(ROW()-1&lt;=$L$2+$M$2+$N$2,IFERROR(INDEX(CLOZE_LIST!$A:$K,ROW()-1-$L$2-$M$2+1,11),""),IF(ROW()-1&lt;=$L$2+$M$2+$N$2+$O$2,IFERROR(INDEX(PROFORMA!$A:$K,ROW()-1-$L$2-$M$2-$N$2+1,11),""),"")))))</f>
        <v>0</v>
      </c>
      <c r="L30" s="3">
        <f>COUNTA(MCQ!$A:$A)-1</f>
        <v>143</v>
      </c>
      <c r="M30" s="3">
        <f>COUNTA(CLOZE_AB!$A:$A)-1</f>
        <v>168</v>
      </c>
      <c r="N30" s="3">
        <f>COUNTA(CLOZE_LIST!$A:$A)-1</f>
        <v>199</v>
      </c>
      <c r="O30" s="3">
        <f>COUNTA(PROFORMA!$A:$A)-1</f>
        <v>199</v>
      </c>
    </row>
    <row r="31" spans="1:15" x14ac:dyDescent="0.3">
      <c r="A31" s="3" t="str">
        <f>IF(ROW()-1&lt;=0,"",IF(ROW()-1&lt;=$L$2,IFERROR(INDEX(MCQ!$A:$K,ROW()-1+1,1),""),IF(ROW()-1&lt;=$L$2+$M$2,IFERROR(INDEX(CLOZE_AB!$A:$K,ROW()-1-$L$2+1,1),""),IF(ROW()-1&lt;=$L$2+$M$2+$N$2,IFERROR(INDEX(CLOZE_LIST!$A:$K,ROW()-1-$L$2-$M$2+1,1),""),IF(ROW()-1&lt;=$L$2+$M$2+$N$2+$O$2,IFERROR(INDEX(PROFORMA!$A:$K,ROW()-1-$L$2-$M$2-$N$2+1,1),""),"")))))</f>
        <v/>
      </c>
      <c r="B31" s="3">
        <f>IF(ROW()-1&lt;=0,"",IF(ROW()-1&lt;=$L$2,IFERROR(INDEX(MCQ!$A:$K,ROW()-1+1,2),""),IF(ROW()-1&lt;=$L$2+$M$2,IFERROR(INDEX(CLOZE_AB!$A:$K,ROW()-1-$L$2+1,2),""),IF(ROW()-1&lt;=$L$2+$M$2+$N$2,IFERROR(INDEX(CLOZE_LIST!$A:$K,ROW()-1-$L$2-$M$2+1,2),""),IF(ROW()-1&lt;=$L$2+$M$2+$N$2+$O$2,IFERROR(INDEX(PROFORMA!$A:$K,ROW()-1-$L$2-$M$2-$N$2+1,2),""),"")))))</f>
        <v>0</v>
      </c>
      <c r="C31" s="3">
        <f>IF(ROW()-1&lt;=0,"",IF(ROW()-1&lt;=$L$2,IFERROR(INDEX(MCQ!$A:$K,ROW()-1+1,3),""),IF(ROW()-1&lt;=$L$2+$M$2,IFERROR(INDEX(CLOZE_AB!$A:$K,ROW()-1-$L$2+1,3),""),IF(ROW()-1&lt;=$L$2+$M$2+$N$2,IFERROR(INDEX(CLOZE_LIST!$A:$K,ROW()-1-$L$2-$M$2+1,3),""),IF(ROW()-1&lt;=$L$2+$M$2+$N$2+$O$2,IFERROR(INDEX(PROFORMA!$A:$K,ROW()-1-$L$2-$M$2-$N$2+1,3),""),"")))))</f>
        <v>0</v>
      </c>
      <c r="D31" s="3">
        <f>IF(ROW()-1&lt;=0,"",IF(ROW()-1&lt;=$L$2,IFERROR(INDEX(MCQ!$A:$K,ROW()-1+1,4),""),IF(ROW()-1&lt;=$L$2+$M$2,IFERROR(INDEX(CLOZE_AB!$A:$K,ROW()-1-$L$2+1,4),""),IF(ROW()-1&lt;=$L$2+$M$2+$N$2,IFERROR(INDEX(CLOZE_LIST!$A:$K,ROW()-1-$L$2-$M$2+1,4),""),IF(ROW()-1&lt;=$L$2+$M$2+$N$2+$O$2,IFERROR(INDEX(PROFORMA!$A:$K,ROW()-1-$L$2-$M$2-$N$2+1,4),""),"")))))</f>
        <v>0</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0</v>
      </c>
      <c r="G31" s="3">
        <f>IF(ROW()-1&lt;=0,"",IF(ROW()-1&lt;=$L$2,IFERROR(INDEX(MCQ!$A:$K,ROW()-1+1,7),""),IF(ROW()-1&lt;=$L$2+$M$2,IFERROR(INDEX(CLOZE_AB!$A:$K,ROW()-1-$L$2+1,7),""),IF(ROW()-1&lt;=$L$2+$M$2+$N$2,IFERROR(INDEX(CLOZE_LIST!$A:$K,ROW()-1-$L$2-$M$2+1,7),""),IF(ROW()-1&lt;=$L$2+$M$2+$N$2+$O$2,IFERROR(INDEX(PROFORMA!$A:$K,ROW()-1-$L$2-$M$2-$N$2+1,7),""),"")))))</f>
        <v>0</v>
      </c>
      <c r="H31" s="3">
        <f>IF(ROW()-1&lt;=0,"",IF(ROW()-1&lt;=$L$2,IFERROR(INDEX(MCQ!$A:$K,ROW()-1+1,8),""),IF(ROW()-1&lt;=$L$2+$M$2,IFERROR(INDEX(CLOZE_AB!$A:$K,ROW()-1-$L$2+1,8),""),IF(ROW()-1&lt;=$L$2+$M$2+$N$2,IFERROR(INDEX(CLOZE_LIST!$A:$K,ROW()-1-$L$2-$M$2+1,8),""),IF(ROW()-1&lt;=$L$2+$M$2+$N$2+$O$2,IFERROR(INDEX(PROFORMA!$A:$K,ROW()-1-$L$2-$M$2-$N$2+1,8),""),"")))))</f>
        <v>0</v>
      </c>
      <c r="I31" s="3">
        <f>IF(ROW()-1&lt;=0,"",IF(ROW()-1&lt;=$L$2,IFERROR(INDEX(MCQ!$A:$K,ROW()-1+1,9),""),IF(ROW()-1&lt;=$L$2+$M$2,IFERROR(INDEX(CLOZE_AB!$A:$K,ROW()-1-$L$2+1,9),""),IF(ROW()-1&lt;=$L$2+$M$2+$N$2,IFERROR(INDEX(CLOZE_LIST!$A:$K,ROW()-1-$L$2-$M$2+1,9),""),IF(ROW()-1&lt;=$L$2+$M$2+$N$2+$O$2,IFERROR(INDEX(PROFORMA!$A:$K,ROW()-1-$L$2-$M$2-$N$2+1,9),""),"")))))</f>
        <v>0</v>
      </c>
      <c r="J31" s="3">
        <f>IF(ROW()-1&lt;=0,"",IF(ROW()-1&lt;=$L$2,IFERROR(INDEX(MCQ!$A:$K,ROW()-1+1,10),""),IF(ROW()-1&lt;=$L$2+$M$2,IFERROR(INDEX(CLOZE_AB!$A:$K,ROW()-1-$L$2+1,10),""),IF(ROW()-1&lt;=$L$2+$M$2+$N$2,IFERROR(INDEX(CLOZE_LIST!$A:$K,ROW()-1-$L$2-$M$2+1,10),""),IF(ROW()-1&lt;=$L$2+$M$2+$N$2+$O$2,IFERROR(INDEX(PROFORMA!$A:$K,ROW()-1-$L$2-$M$2-$N$2+1,10),""),"")))))</f>
        <v>0</v>
      </c>
      <c r="K31" s="3">
        <f>IF(ROW()-1&lt;=0,"",IF(ROW()-1&lt;=$L$2,IFERROR(INDEX(MCQ!$A:$K,ROW()-1+1,11),""),IF(ROW()-1&lt;=$L$2+$M$2,IFERROR(INDEX(CLOZE_AB!$A:$K,ROW()-1-$L$2+1,11),""),IF(ROW()-1&lt;=$L$2+$M$2+$N$2,IFERROR(INDEX(CLOZE_LIST!$A:$K,ROW()-1-$L$2-$M$2+1,11),""),IF(ROW()-1&lt;=$L$2+$M$2+$N$2+$O$2,IFERROR(INDEX(PROFORMA!$A:$K,ROW()-1-$L$2-$M$2-$N$2+1,11),""),"")))))</f>
        <v>0</v>
      </c>
      <c r="L31" s="3">
        <f>COUNTA(MCQ!$A:$A)-1</f>
        <v>143</v>
      </c>
      <c r="M31" s="3">
        <f>COUNTA(CLOZE_AB!$A:$A)-1</f>
        <v>168</v>
      </c>
      <c r="N31" s="3">
        <f>COUNTA(CLOZE_LIST!$A:$A)-1</f>
        <v>199</v>
      </c>
      <c r="O31" s="3">
        <f>COUNTA(PROFORMA!$A:$A)-1</f>
        <v>199</v>
      </c>
    </row>
    <row r="32" spans="1:15" x14ac:dyDescent="0.3">
      <c r="A32" s="3" t="str">
        <f>IF(ROW()-1&lt;=0,"",IF(ROW()-1&lt;=$L$2,IFERROR(INDEX(MCQ!$A:$K,ROW()-1+1,1),""),IF(ROW()-1&lt;=$L$2+$M$2,IFERROR(INDEX(CLOZE_AB!$A:$K,ROW()-1-$L$2+1,1),""),IF(ROW()-1&lt;=$L$2+$M$2+$N$2,IFERROR(INDEX(CLOZE_LIST!$A:$K,ROW()-1-$L$2-$M$2+1,1),""),IF(ROW()-1&lt;=$L$2+$M$2+$N$2+$O$2,IFERROR(INDEX(PROFORMA!$A:$K,ROW()-1-$L$2-$M$2-$N$2+1,1),""),"")))))</f>
        <v/>
      </c>
      <c r="B32" s="3">
        <f>IF(ROW()-1&lt;=0,"",IF(ROW()-1&lt;=$L$2,IFERROR(INDEX(MCQ!$A:$K,ROW()-1+1,2),""),IF(ROW()-1&lt;=$L$2+$M$2,IFERROR(INDEX(CLOZE_AB!$A:$K,ROW()-1-$L$2+1,2),""),IF(ROW()-1&lt;=$L$2+$M$2+$N$2,IFERROR(INDEX(CLOZE_LIST!$A:$K,ROW()-1-$L$2-$M$2+1,2),""),IF(ROW()-1&lt;=$L$2+$M$2+$N$2+$O$2,IFERROR(INDEX(PROFORMA!$A:$K,ROW()-1-$L$2-$M$2-$N$2+1,2),""),"")))))</f>
        <v>0</v>
      </c>
      <c r="C32" s="3">
        <f>IF(ROW()-1&lt;=0,"",IF(ROW()-1&lt;=$L$2,IFERROR(INDEX(MCQ!$A:$K,ROW()-1+1,3),""),IF(ROW()-1&lt;=$L$2+$M$2,IFERROR(INDEX(CLOZE_AB!$A:$K,ROW()-1-$L$2+1,3),""),IF(ROW()-1&lt;=$L$2+$M$2+$N$2,IFERROR(INDEX(CLOZE_LIST!$A:$K,ROW()-1-$L$2-$M$2+1,3),""),IF(ROW()-1&lt;=$L$2+$M$2+$N$2+$O$2,IFERROR(INDEX(PROFORMA!$A:$K,ROW()-1-$L$2-$M$2-$N$2+1,3),""),"")))))</f>
        <v>0</v>
      </c>
      <c r="D32" s="3">
        <f>IF(ROW()-1&lt;=0,"",IF(ROW()-1&lt;=$L$2,IFERROR(INDEX(MCQ!$A:$K,ROW()-1+1,4),""),IF(ROW()-1&lt;=$L$2+$M$2,IFERROR(INDEX(CLOZE_AB!$A:$K,ROW()-1-$L$2+1,4),""),IF(ROW()-1&lt;=$L$2+$M$2+$N$2,IFERROR(INDEX(CLOZE_LIST!$A:$K,ROW()-1-$L$2-$M$2+1,4),""),IF(ROW()-1&lt;=$L$2+$M$2+$N$2+$O$2,IFERROR(INDEX(PROFORMA!$A:$K,ROW()-1-$L$2-$M$2-$N$2+1,4),""),"")))))</f>
        <v>0</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0</v>
      </c>
      <c r="G32" s="3">
        <f>IF(ROW()-1&lt;=0,"",IF(ROW()-1&lt;=$L$2,IFERROR(INDEX(MCQ!$A:$K,ROW()-1+1,7),""),IF(ROW()-1&lt;=$L$2+$M$2,IFERROR(INDEX(CLOZE_AB!$A:$K,ROW()-1-$L$2+1,7),""),IF(ROW()-1&lt;=$L$2+$M$2+$N$2,IFERROR(INDEX(CLOZE_LIST!$A:$K,ROW()-1-$L$2-$M$2+1,7),""),IF(ROW()-1&lt;=$L$2+$M$2+$N$2+$O$2,IFERROR(INDEX(PROFORMA!$A:$K,ROW()-1-$L$2-$M$2-$N$2+1,7),""),"")))))</f>
        <v>0</v>
      </c>
      <c r="H32" s="3">
        <f>IF(ROW()-1&lt;=0,"",IF(ROW()-1&lt;=$L$2,IFERROR(INDEX(MCQ!$A:$K,ROW()-1+1,8),""),IF(ROW()-1&lt;=$L$2+$M$2,IFERROR(INDEX(CLOZE_AB!$A:$K,ROW()-1-$L$2+1,8),""),IF(ROW()-1&lt;=$L$2+$M$2+$N$2,IFERROR(INDEX(CLOZE_LIST!$A:$K,ROW()-1-$L$2-$M$2+1,8),""),IF(ROW()-1&lt;=$L$2+$M$2+$N$2+$O$2,IFERROR(INDEX(PROFORMA!$A:$K,ROW()-1-$L$2-$M$2-$N$2+1,8),""),"")))))</f>
        <v>0</v>
      </c>
      <c r="I32" s="3">
        <f>IF(ROW()-1&lt;=0,"",IF(ROW()-1&lt;=$L$2,IFERROR(INDEX(MCQ!$A:$K,ROW()-1+1,9),""),IF(ROW()-1&lt;=$L$2+$M$2,IFERROR(INDEX(CLOZE_AB!$A:$K,ROW()-1-$L$2+1,9),""),IF(ROW()-1&lt;=$L$2+$M$2+$N$2,IFERROR(INDEX(CLOZE_LIST!$A:$K,ROW()-1-$L$2-$M$2+1,9),""),IF(ROW()-1&lt;=$L$2+$M$2+$N$2+$O$2,IFERROR(INDEX(PROFORMA!$A:$K,ROW()-1-$L$2-$M$2-$N$2+1,9),""),"")))))</f>
        <v>0</v>
      </c>
      <c r="J32" s="3">
        <f>IF(ROW()-1&lt;=0,"",IF(ROW()-1&lt;=$L$2,IFERROR(INDEX(MCQ!$A:$K,ROW()-1+1,10),""),IF(ROW()-1&lt;=$L$2+$M$2,IFERROR(INDEX(CLOZE_AB!$A:$K,ROW()-1-$L$2+1,10),""),IF(ROW()-1&lt;=$L$2+$M$2+$N$2,IFERROR(INDEX(CLOZE_LIST!$A:$K,ROW()-1-$L$2-$M$2+1,10),""),IF(ROW()-1&lt;=$L$2+$M$2+$N$2+$O$2,IFERROR(INDEX(PROFORMA!$A:$K,ROW()-1-$L$2-$M$2-$N$2+1,10),""),"")))))</f>
        <v>0</v>
      </c>
      <c r="K32" s="3">
        <f>IF(ROW()-1&lt;=0,"",IF(ROW()-1&lt;=$L$2,IFERROR(INDEX(MCQ!$A:$K,ROW()-1+1,11),""),IF(ROW()-1&lt;=$L$2+$M$2,IFERROR(INDEX(CLOZE_AB!$A:$K,ROW()-1-$L$2+1,11),""),IF(ROW()-1&lt;=$L$2+$M$2+$N$2,IFERROR(INDEX(CLOZE_LIST!$A:$K,ROW()-1-$L$2-$M$2+1,11),""),IF(ROW()-1&lt;=$L$2+$M$2+$N$2+$O$2,IFERROR(INDEX(PROFORMA!$A:$K,ROW()-1-$L$2-$M$2-$N$2+1,11),""),"")))))</f>
        <v>0</v>
      </c>
      <c r="L32" s="3">
        <f>COUNTA(MCQ!$A:$A)-1</f>
        <v>143</v>
      </c>
      <c r="M32" s="3">
        <f>COUNTA(CLOZE_AB!$A:$A)-1</f>
        <v>168</v>
      </c>
      <c r="N32" s="3">
        <f>COUNTA(CLOZE_LIST!$A:$A)-1</f>
        <v>199</v>
      </c>
      <c r="O32" s="3">
        <f>COUNTA(PROFORMA!$A:$A)-1</f>
        <v>199</v>
      </c>
    </row>
    <row r="33" spans="1:15" x14ac:dyDescent="0.3">
      <c r="A33" s="3" t="str">
        <f>IF(ROW()-1&lt;=0,"",IF(ROW()-1&lt;=$L$2,IFERROR(INDEX(MCQ!$A:$K,ROW()-1+1,1),""),IF(ROW()-1&lt;=$L$2+$M$2,IFERROR(INDEX(CLOZE_AB!$A:$K,ROW()-1-$L$2+1,1),""),IF(ROW()-1&lt;=$L$2+$M$2+$N$2,IFERROR(INDEX(CLOZE_LIST!$A:$K,ROW()-1-$L$2-$M$2+1,1),""),IF(ROW()-1&lt;=$L$2+$M$2+$N$2+$O$2,IFERROR(INDEX(PROFORMA!$A:$K,ROW()-1-$L$2-$M$2-$N$2+1,1),""),"")))))</f>
        <v/>
      </c>
      <c r="B33" s="3">
        <f>IF(ROW()-1&lt;=0,"",IF(ROW()-1&lt;=$L$2,IFERROR(INDEX(MCQ!$A:$K,ROW()-1+1,2),""),IF(ROW()-1&lt;=$L$2+$M$2,IFERROR(INDEX(CLOZE_AB!$A:$K,ROW()-1-$L$2+1,2),""),IF(ROW()-1&lt;=$L$2+$M$2+$N$2,IFERROR(INDEX(CLOZE_LIST!$A:$K,ROW()-1-$L$2-$M$2+1,2),""),IF(ROW()-1&lt;=$L$2+$M$2+$N$2+$O$2,IFERROR(INDEX(PROFORMA!$A:$K,ROW()-1-$L$2-$M$2-$N$2+1,2),""),"")))))</f>
        <v>0</v>
      </c>
      <c r="C33" s="3">
        <f>IF(ROW()-1&lt;=0,"",IF(ROW()-1&lt;=$L$2,IFERROR(INDEX(MCQ!$A:$K,ROW()-1+1,3),""),IF(ROW()-1&lt;=$L$2+$M$2,IFERROR(INDEX(CLOZE_AB!$A:$K,ROW()-1-$L$2+1,3),""),IF(ROW()-1&lt;=$L$2+$M$2+$N$2,IFERROR(INDEX(CLOZE_LIST!$A:$K,ROW()-1-$L$2-$M$2+1,3),""),IF(ROW()-1&lt;=$L$2+$M$2+$N$2+$O$2,IFERROR(INDEX(PROFORMA!$A:$K,ROW()-1-$L$2-$M$2-$N$2+1,3),""),"")))))</f>
        <v>0</v>
      </c>
      <c r="D33" s="3">
        <f>IF(ROW()-1&lt;=0,"",IF(ROW()-1&lt;=$L$2,IFERROR(INDEX(MCQ!$A:$K,ROW()-1+1,4),""),IF(ROW()-1&lt;=$L$2+$M$2,IFERROR(INDEX(CLOZE_AB!$A:$K,ROW()-1-$L$2+1,4),""),IF(ROW()-1&lt;=$L$2+$M$2+$N$2,IFERROR(INDEX(CLOZE_LIST!$A:$K,ROW()-1-$L$2-$M$2+1,4),""),IF(ROW()-1&lt;=$L$2+$M$2+$N$2+$O$2,IFERROR(INDEX(PROFORMA!$A:$K,ROW()-1-$L$2-$M$2-$N$2+1,4),""),"")))))</f>
        <v>0</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0</v>
      </c>
      <c r="G33" s="3">
        <f>IF(ROW()-1&lt;=0,"",IF(ROW()-1&lt;=$L$2,IFERROR(INDEX(MCQ!$A:$K,ROW()-1+1,7),""),IF(ROW()-1&lt;=$L$2+$M$2,IFERROR(INDEX(CLOZE_AB!$A:$K,ROW()-1-$L$2+1,7),""),IF(ROW()-1&lt;=$L$2+$M$2+$N$2,IFERROR(INDEX(CLOZE_LIST!$A:$K,ROW()-1-$L$2-$M$2+1,7),""),IF(ROW()-1&lt;=$L$2+$M$2+$N$2+$O$2,IFERROR(INDEX(PROFORMA!$A:$K,ROW()-1-$L$2-$M$2-$N$2+1,7),""),"")))))</f>
        <v>0</v>
      </c>
      <c r="H33" s="3">
        <f>IF(ROW()-1&lt;=0,"",IF(ROW()-1&lt;=$L$2,IFERROR(INDEX(MCQ!$A:$K,ROW()-1+1,8),""),IF(ROW()-1&lt;=$L$2+$M$2,IFERROR(INDEX(CLOZE_AB!$A:$K,ROW()-1-$L$2+1,8),""),IF(ROW()-1&lt;=$L$2+$M$2+$N$2,IFERROR(INDEX(CLOZE_LIST!$A:$K,ROW()-1-$L$2-$M$2+1,8),""),IF(ROW()-1&lt;=$L$2+$M$2+$N$2+$O$2,IFERROR(INDEX(PROFORMA!$A:$K,ROW()-1-$L$2-$M$2-$N$2+1,8),""),"")))))</f>
        <v>0</v>
      </c>
      <c r="I33" s="3">
        <f>IF(ROW()-1&lt;=0,"",IF(ROW()-1&lt;=$L$2,IFERROR(INDEX(MCQ!$A:$K,ROW()-1+1,9),""),IF(ROW()-1&lt;=$L$2+$M$2,IFERROR(INDEX(CLOZE_AB!$A:$K,ROW()-1-$L$2+1,9),""),IF(ROW()-1&lt;=$L$2+$M$2+$N$2,IFERROR(INDEX(CLOZE_LIST!$A:$K,ROW()-1-$L$2-$M$2+1,9),""),IF(ROW()-1&lt;=$L$2+$M$2+$N$2+$O$2,IFERROR(INDEX(PROFORMA!$A:$K,ROW()-1-$L$2-$M$2-$N$2+1,9),""),"")))))</f>
        <v>0</v>
      </c>
      <c r="J33" s="3">
        <f>IF(ROW()-1&lt;=0,"",IF(ROW()-1&lt;=$L$2,IFERROR(INDEX(MCQ!$A:$K,ROW()-1+1,10),""),IF(ROW()-1&lt;=$L$2+$M$2,IFERROR(INDEX(CLOZE_AB!$A:$K,ROW()-1-$L$2+1,10),""),IF(ROW()-1&lt;=$L$2+$M$2+$N$2,IFERROR(INDEX(CLOZE_LIST!$A:$K,ROW()-1-$L$2-$M$2+1,10),""),IF(ROW()-1&lt;=$L$2+$M$2+$N$2+$O$2,IFERROR(INDEX(PROFORMA!$A:$K,ROW()-1-$L$2-$M$2-$N$2+1,10),""),"")))))</f>
        <v>0</v>
      </c>
      <c r="K33" s="3">
        <f>IF(ROW()-1&lt;=0,"",IF(ROW()-1&lt;=$L$2,IFERROR(INDEX(MCQ!$A:$K,ROW()-1+1,11),""),IF(ROW()-1&lt;=$L$2+$M$2,IFERROR(INDEX(CLOZE_AB!$A:$K,ROW()-1-$L$2+1,11),""),IF(ROW()-1&lt;=$L$2+$M$2+$N$2,IFERROR(INDEX(CLOZE_LIST!$A:$K,ROW()-1-$L$2-$M$2+1,11),""),IF(ROW()-1&lt;=$L$2+$M$2+$N$2+$O$2,IFERROR(INDEX(PROFORMA!$A:$K,ROW()-1-$L$2-$M$2-$N$2+1,11),""),"")))))</f>
        <v>0</v>
      </c>
      <c r="L33" s="3">
        <f>COUNTA(MCQ!$A:$A)-1</f>
        <v>143</v>
      </c>
      <c r="M33" s="3">
        <f>COUNTA(CLOZE_AB!$A:$A)-1</f>
        <v>168</v>
      </c>
      <c r="N33" s="3">
        <f>COUNTA(CLOZE_LIST!$A:$A)-1</f>
        <v>199</v>
      </c>
      <c r="O33" s="3">
        <f>COUNTA(PROFORMA!$A:$A)-1</f>
        <v>199</v>
      </c>
    </row>
    <row r="34" spans="1:15" x14ac:dyDescent="0.3">
      <c r="A34" s="3" t="str">
        <f>IF(ROW()-1&lt;=0,"",IF(ROW()-1&lt;=$L$2,IFERROR(INDEX(MCQ!$A:$K,ROW()-1+1,1),""),IF(ROW()-1&lt;=$L$2+$M$2,IFERROR(INDEX(CLOZE_AB!$A:$K,ROW()-1-$L$2+1,1),""),IF(ROW()-1&lt;=$L$2+$M$2+$N$2,IFERROR(INDEX(CLOZE_LIST!$A:$K,ROW()-1-$L$2-$M$2+1,1),""),IF(ROW()-1&lt;=$L$2+$M$2+$N$2+$O$2,IFERROR(INDEX(PROFORMA!$A:$K,ROW()-1-$L$2-$M$2-$N$2+1,1),""),"")))))</f>
        <v/>
      </c>
      <c r="B34" s="3">
        <f>IF(ROW()-1&lt;=0,"",IF(ROW()-1&lt;=$L$2,IFERROR(INDEX(MCQ!$A:$K,ROW()-1+1,2),""),IF(ROW()-1&lt;=$L$2+$M$2,IFERROR(INDEX(CLOZE_AB!$A:$K,ROW()-1-$L$2+1,2),""),IF(ROW()-1&lt;=$L$2+$M$2+$N$2,IFERROR(INDEX(CLOZE_LIST!$A:$K,ROW()-1-$L$2-$M$2+1,2),""),IF(ROW()-1&lt;=$L$2+$M$2+$N$2+$O$2,IFERROR(INDEX(PROFORMA!$A:$K,ROW()-1-$L$2-$M$2-$N$2+1,2),""),"")))))</f>
        <v>0</v>
      </c>
      <c r="C34" s="3">
        <f>IF(ROW()-1&lt;=0,"",IF(ROW()-1&lt;=$L$2,IFERROR(INDEX(MCQ!$A:$K,ROW()-1+1,3),""),IF(ROW()-1&lt;=$L$2+$M$2,IFERROR(INDEX(CLOZE_AB!$A:$K,ROW()-1-$L$2+1,3),""),IF(ROW()-1&lt;=$L$2+$M$2+$N$2,IFERROR(INDEX(CLOZE_LIST!$A:$K,ROW()-1-$L$2-$M$2+1,3),""),IF(ROW()-1&lt;=$L$2+$M$2+$N$2+$O$2,IFERROR(INDEX(PROFORMA!$A:$K,ROW()-1-$L$2-$M$2-$N$2+1,3),""),"")))))</f>
        <v>0</v>
      </c>
      <c r="D34" s="3">
        <f>IF(ROW()-1&lt;=0,"",IF(ROW()-1&lt;=$L$2,IFERROR(INDEX(MCQ!$A:$K,ROW()-1+1,4),""),IF(ROW()-1&lt;=$L$2+$M$2,IFERROR(INDEX(CLOZE_AB!$A:$K,ROW()-1-$L$2+1,4),""),IF(ROW()-1&lt;=$L$2+$M$2+$N$2,IFERROR(INDEX(CLOZE_LIST!$A:$K,ROW()-1-$L$2-$M$2+1,4),""),IF(ROW()-1&lt;=$L$2+$M$2+$N$2+$O$2,IFERROR(INDEX(PROFORMA!$A:$K,ROW()-1-$L$2-$M$2-$N$2+1,4),""),"")))))</f>
        <v>0</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0</v>
      </c>
      <c r="G34" s="3">
        <f>IF(ROW()-1&lt;=0,"",IF(ROW()-1&lt;=$L$2,IFERROR(INDEX(MCQ!$A:$K,ROW()-1+1,7),""),IF(ROW()-1&lt;=$L$2+$M$2,IFERROR(INDEX(CLOZE_AB!$A:$K,ROW()-1-$L$2+1,7),""),IF(ROW()-1&lt;=$L$2+$M$2+$N$2,IFERROR(INDEX(CLOZE_LIST!$A:$K,ROW()-1-$L$2-$M$2+1,7),""),IF(ROW()-1&lt;=$L$2+$M$2+$N$2+$O$2,IFERROR(INDEX(PROFORMA!$A:$K,ROW()-1-$L$2-$M$2-$N$2+1,7),""),"")))))</f>
        <v>0</v>
      </c>
      <c r="H34" s="3">
        <f>IF(ROW()-1&lt;=0,"",IF(ROW()-1&lt;=$L$2,IFERROR(INDEX(MCQ!$A:$K,ROW()-1+1,8),""),IF(ROW()-1&lt;=$L$2+$M$2,IFERROR(INDEX(CLOZE_AB!$A:$K,ROW()-1-$L$2+1,8),""),IF(ROW()-1&lt;=$L$2+$M$2+$N$2,IFERROR(INDEX(CLOZE_LIST!$A:$K,ROW()-1-$L$2-$M$2+1,8),""),IF(ROW()-1&lt;=$L$2+$M$2+$N$2+$O$2,IFERROR(INDEX(PROFORMA!$A:$K,ROW()-1-$L$2-$M$2-$N$2+1,8),""),"")))))</f>
        <v>0</v>
      </c>
      <c r="I34" s="3">
        <f>IF(ROW()-1&lt;=0,"",IF(ROW()-1&lt;=$L$2,IFERROR(INDEX(MCQ!$A:$K,ROW()-1+1,9),""),IF(ROW()-1&lt;=$L$2+$M$2,IFERROR(INDEX(CLOZE_AB!$A:$K,ROW()-1-$L$2+1,9),""),IF(ROW()-1&lt;=$L$2+$M$2+$N$2,IFERROR(INDEX(CLOZE_LIST!$A:$K,ROW()-1-$L$2-$M$2+1,9),""),IF(ROW()-1&lt;=$L$2+$M$2+$N$2+$O$2,IFERROR(INDEX(PROFORMA!$A:$K,ROW()-1-$L$2-$M$2-$N$2+1,9),""),"")))))</f>
        <v>0</v>
      </c>
      <c r="J34" s="3">
        <f>IF(ROW()-1&lt;=0,"",IF(ROW()-1&lt;=$L$2,IFERROR(INDEX(MCQ!$A:$K,ROW()-1+1,10),""),IF(ROW()-1&lt;=$L$2+$M$2,IFERROR(INDEX(CLOZE_AB!$A:$K,ROW()-1-$L$2+1,10),""),IF(ROW()-1&lt;=$L$2+$M$2+$N$2,IFERROR(INDEX(CLOZE_LIST!$A:$K,ROW()-1-$L$2-$M$2+1,10),""),IF(ROW()-1&lt;=$L$2+$M$2+$N$2+$O$2,IFERROR(INDEX(PROFORMA!$A:$K,ROW()-1-$L$2-$M$2-$N$2+1,10),""),"")))))</f>
        <v>0</v>
      </c>
      <c r="K34" s="3">
        <f>IF(ROW()-1&lt;=0,"",IF(ROW()-1&lt;=$L$2,IFERROR(INDEX(MCQ!$A:$K,ROW()-1+1,11),""),IF(ROW()-1&lt;=$L$2+$M$2,IFERROR(INDEX(CLOZE_AB!$A:$K,ROW()-1-$L$2+1,11),""),IF(ROW()-1&lt;=$L$2+$M$2+$N$2,IFERROR(INDEX(CLOZE_LIST!$A:$K,ROW()-1-$L$2-$M$2+1,11),""),IF(ROW()-1&lt;=$L$2+$M$2+$N$2+$O$2,IFERROR(INDEX(PROFORMA!$A:$K,ROW()-1-$L$2-$M$2-$N$2+1,11),""),"")))))</f>
        <v>0</v>
      </c>
      <c r="L34" s="3">
        <f>COUNTA(MCQ!$A:$A)-1</f>
        <v>143</v>
      </c>
      <c r="M34" s="3">
        <f>COUNTA(CLOZE_AB!$A:$A)-1</f>
        <v>168</v>
      </c>
      <c r="N34" s="3">
        <f>COUNTA(CLOZE_LIST!$A:$A)-1</f>
        <v>199</v>
      </c>
      <c r="O34" s="3">
        <f>COUNTA(PROFORMA!$A:$A)-1</f>
        <v>199</v>
      </c>
    </row>
    <row r="35" spans="1:15" x14ac:dyDescent="0.3">
      <c r="A35" s="3" t="str">
        <f>IF(ROW()-1&lt;=0,"",IF(ROW()-1&lt;=$L$2,IFERROR(INDEX(MCQ!$A:$K,ROW()-1+1,1),""),IF(ROW()-1&lt;=$L$2+$M$2,IFERROR(INDEX(CLOZE_AB!$A:$K,ROW()-1-$L$2+1,1),""),IF(ROW()-1&lt;=$L$2+$M$2+$N$2,IFERROR(INDEX(CLOZE_LIST!$A:$K,ROW()-1-$L$2-$M$2+1,1),""),IF(ROW()-1&lt;=$L$2+$M$2+$N$2+$O$2,IFERROR(INDEX(PROFORMA!$A:$K,ROW()-1-$L$2-$M$2-$N$2+1,1),""),"")))))</f>
        <v/>
      </c>
      <c r="B35" s="3">
        <f>IF(ROW()-1&lt;=0,"",IF(ROW()-1&lt;=$L$2,IFERROR(INDEX(MCQ!$A:$K,ROW()-1+1,2),""),IF(ROW()-1&lt;=$L$2+$M$2,IFERROR(INDEX(CLOZE_AB!$A:$K,ROW()-1-$L$2+1,2),""),IF(ROW()-1&lt;=$L$2+$M$2+$N$2,IFERROR(INDEX(CLOZE_LIST!$A:$K,ROW()-1-$L$2-$M$2+1,2),""),IF(ROW()-1&lt;=$L$2+$M$2+$N$2+$O$2,IFERROR(INDEX(PROFORMA!$A:$K,ROW()-1-$L$2-$M$2-$N$2+1,2),""),"")))))</f>
        <v>0</v>
      </c>
      <c r="C35" s="3">
        <f>IF(ROW()-1&lt;=0,"",IF(ROW()-1&lt;=$L$2,IFERROR(INDEX(MCQ!$A:$K,ROW()-1+1,3),""),IF(ROW()-1&lt;=$L$2+$M$2,IFERROR(INDEX(CLOZE_AB!$A:$K,ROW()-1-$L$2+1,3),""),IF(ROW()-1&lt;=$L$2+$M$2+$N$2,IFERROR(INDEX(CLOZE_LIST!$A:$K,ROW()-1-$L$2-$M$2+1,3),""),IF(ROW()-1&lt;=$L$2+$M$2+$N$2+$O$2,IFERROR(INDEX(PROFORMA!$A:$K,ROW()-1-$L$2-$M$2-$N$2+1,3),""),"")))))</f>
        <v>0</v>
      </c>
      <c r="D35" s="3">
        <f>IF(ROW()-1&lt;=0,"",IF(ROW()-1&lt;=$L$2,IFERROR(INDEX(MCQ!$A:$K,ROW()-1+1,4),""),IF(ROW()-1&lt;=$L$2+$M$2,IFERROR(INDEX(CLOZE_AB!$A:$K,ROW()-1-$L$2+1,4),""),IF(ROW()-1&lt;=$L$2+$M$2+$N$2,IFERROR(INDEX(CLOZE_LIST!$A:$K,ROW()-1-$L$2-$M$2+1,4),""),IF(ROW()-1&lt;=$L$2+$M$2+$N$2+$O$2,IFERROR(INDEX(PROFORMA!$A:$K,ROW()-1-$L$2-$M$2-$N$2+1,4),""),"")))))</f>
        <v>0</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0</v>
      </c>
      <c r="G35" s="3">
        <f>IF(ROW()-1&lt;=0,"",IF(ROW()-1&lt;=$L$2,IFERROR(INDEX(MCQ!$A:$K,ROW()-1+1,7),""),IF(ROW()-1&lt;=$L$2+$M$2,IFERROR(INDEX(CLOZE_AB!$A:$K,ROW()-1-$L$2+1,7),""),IF(ROW()-1&lt;=$L$2+$M$2+$N$2,IFERROR(INDEX(CLOZE_LIST!$A:$K,ROW()-1-$L$2-$M$2+1,7),""),IF(ROW()-1&lt;=$L$2+$M$2+$N$2+$O$2,IFERROR(INDEX(PROFORMA!$A:$K,ROW()-1-$L$2-$M$2-$N$2+1,7),""),"")))))</f>
        <v>0</v>
      </c>
      <c r="H35" s="3">
        <f>IF(ROW()-1&lt;=0,"",IF(ROW()-1&lt;=$L$2,IFERROR(INDEX(MCQ!$A:$K,ROW()-1+1,8),""),IF(ROW()-1&lt;=$L$2+$M$2,IFERROR(INDEX(CLOZE_AB!$A:$K,ROW()-1-$L$2+1,8),""),IF(ROW()-1&lt;=$L$2+$M$2+$N$2,IFERROR(INDEX(CLOZE_LIST!$A:$K,ROW()-1-$L$2-$M$2+1,8),""),IF(ROW()-1&lt;=$L$2+$M$2+$N$2+$O$2,IFERROR(INDEX(PROFORMA!$A:$K,ROW()-1-$L$2-$M$2-$N$2+1,8),""),"")))))</f>
        <v>0</v>
      </c>
      <c r="I35" s="3">
        <f>IF(ROW()-1&lt;=0,"",IF(ROW()-1&lt;=$L$2,IFERROR(INDEX(MCQ!$A:$K,ROW()-1+1,9),""),IF(ROW()-1&lt;=$L$2+$M$2,IFERROR(INDEX(CLOZE_AB!$A:$K,ROW()-1-$L$2+1,9),""),IF(ROW()-1&lt;=$L$2+$M$2+$N$2,IFERROR(INDEX(CLOZE_LIST!$A:$K,ROW()-1-$L$2-$M$2+1,9),""),IF(ROW()-1&lt;=$L$2+$M$2+$N$2+$O$2,IFERROR(INDEX(PROFORMA!$A:$K,ROW()-1-$L$2-$M$2-$N$2+1,9),""),"")))))</f>
        <v>0</v>
      </c>
      <c r="J35" s="3">
        <f>IF(ROW()-1&lt;=0,"",IF(ROW()-1&lt;=$L$2,IFERROR(INDEX(MCQ!$A:$K,ROW()-1+1,10),""),IF(ROW()-1&lt;=$L$2+$M$2,IFERROR(INDEX(CLOZE_AB!$A:$K,ROW()-1-$L$2+1,10),""),IF(ROW()-1&lt;=$L$2+$M$2+$N$2,IFERROR(INDEX(CLOZE_LIST!$A:$K,ROW()-1-$L$2-$M$2+1,10),""),IF(ROW()-1&lt;=$L$2+$M$2+$N$2+$O$2,IFERROR(INDEX(PROFORMA!$A:$K,ROW()-1-$L$2-$M$2-$N$2+1,10),""),"")))))</f>
        <v>0</v>
      </c>
      <c r="K35" s="3">
        <f>IF(ROW()-1&lt;=0,"",IF(ROW()-1&lt;=$L$2,IFERROR(INDEX(MCQ!$A:$K,ROW()-1+1,11),""),IF(ROW()-1&lt;=$L$2+$M$2,IFERROR(INDEX(CLOZE_AB!$A:$K,ROW()-1-$L$2+1,11),""),IF(ROW()-1&lt;=$L$2+$M$2+$N$2,IFERROR(INDEX(CLOZE_LIST!$A:$K,ROW()-1-$L$2-$M$2+1,11),""),IF(ROW()-1&lt;=$L$2+$M$2+$N$2+$O$2,IFERROR(INDEX(PROFORMA!$A:$K,ROW()-1-$L$2-$M$2-$N$2+1,11),""),"")))))</f>
        <v>0</v>
      </c>
      <c r="L35" s="3">
        <f>COUNTA(MCQ!$A:$A)-1</f>
        <v>143</v>
      </c>
      <c r="M35" s="3">
        <f>COUNTA(CLOZE_AB!$A:$A)-1</f>
        <v>168</v>
      </c>
      <c r="N35" s="3">
        <f>COUNTA(CLOZE_LIST!$A:$A)-1</f>
        <v>199</v>
      </c>
      <c r="O35" s="3">
        <f>COUNTA(PROFORMA!$A:$A)-1</f>
        <v>199</v>
      </c>
    </row>
    <row r="36" spans="1:15" x14ac:dyDescent="0.3">
      <c r="A36" s="3" t="str">
        <f>IF(ROW()-1&lt;=0,"",IF(ROW()-1&lt;=$L$2,IFERROR(INDEX(MCQ!$A:$K,ROW()-1+1,1),""),IF(ROW()-1&lt;=$L$2+$M$2,IFERROR(INDEX(CLOZE_AB!$A:$K,ROW()-1-$L$2+1,1),""),IF(ROW()-1&lt;=$L$2+$M$2+$N$2,IFERROR(INDEX(CLOZE_LIST!$A:$K,ROW()-1-$L$2-$M$2+1,1),""),IF(ROW()-1&lt;=$L$2+$M$2+$N$2+$O$2,IFERROR(INDEX(PROFORMA!$A:$K,ROW()-1-$L$2-$M$2-$N$2+1,1),""),"")))))</f>
        <v/>
      </c>
      <c r="B36" s="3">
        <f>IF(ROW()-1&lt;=0,"",IF(ROW()-1&lt;=$L$2,IFERROR(INDEX(MCQ!$A:$K,ROW()-1+1,2),""),IF(ROW()-1&lt;=$L$2+$M$2,IFERROR(INDEX(CLOZE_AB!$A:$K,ROW()-1-$L$2+1,2),""),IF(ROW()-1&lt;=$L$2+$M$2+$N$2,IFERROR(INDEX(CLOZE_LIST!$A:$K,ROW()-1-$L$2-$M$2+1,2),""),IF(ROW()-1&lt;=$L$2+$M$2+$N$2+$O$2,IFERROR(INDEX(PROFORMA!$A:$K,ROW()-1-$L$2-$M$2-$N$2+1,2),""),"")))))</f>
        <v>0</v>
      </c>
      <c r="C36" s="3">
        <f>IF(ROW()-1&lt;=0,"",IF(ROW()-1&lt;=$L$2,IFERROR(INDEX(MCQ!$A:$K,ROW()-1+1,3),""),IF(ROW()-1&lt;=$L$2+$M$2,IFERROR(INDEX(CLOZE_AB!$A:$K,ROW()-1-$L$2+1,3),""),IF(ROW()-1&lt;=$L$2+$M$2+$N$2,IFERROR(INDEX(CLOZE_LIST!$A:$K,ROW()-1-$L$2-$M$2+1,3),""),IF(ROW()-1&lt;=$L$2+$M$2+$N$2+$O$2,IFERROR(INDEX(PROFORMA!$A:$K,ROW()-1-$L$2-$M$2-$N$2+1,3),""),"")))))</f>
        <v>0</v>
      </c>
      <c r="D36" s="3">
        <f>IF(ROW()-1&lt;=0,"",IF(ROW()-1&lt;=$L$2,IFERROR(INDEX(MCQ!$A:$K,ROW()-1+1,4),""),IF(ROW()-1&lt;=$L$2+$M$2,IFERROR(INDEX(CLOZE_AB!$A:$K,ROW()-1-$L$2+1,4),""),IF(ROW()-1&lt;=$L$2+$M$2+$N$2,IFERROR(INDEX(CLOZE_LIST!$A:$K,ROW()-1-$L$2-$M$2+1,4),""),IF(ROW()-1&lt;=$L$2+$M$2+$N$2+$O$2,IFERROR(INDEX(PROFORMA!$A:$K,ROW()-1-$L$2-$M$2-$N$2+1,4),""),"")))))</f>
        <v>0</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0</v>
      </c>
      <c r="G36" s="3">
        <f>IF(ROW()-1&lt;=0,"",IF(ROW()-1&lt;=$L$2,IFERROR(INDEX(MCQ!$A:$K,ROW()-1+1,7),""),IF(ROW()-1&lt;=$L$2+$M$2,IFERROR(INDEX(CLOZE_AB!$A:$K,ROW()-1-$L$2+1,7),""),IF(ROW()-1&lt;=$L$2+$M$2+$N$2,IFERROR(INDEX(CLOZE_LIST!$A:$K,ROW()-1-$L$2-$M$2+1,7),""),IF(ROW()-1&lt;=$L$2+$M$2+$N$2+$O$2,IFERROR(INDEX(PROFORMA!$A:$K,ROW()-1-$L$2-$M$2-$N$2+1,7),""),"")))))</f>
        <v>0</v>
      </c>
      <c r="H36" s="3">
        <f>IF(ROW()-1&lt;=0,"",IF(ROW()-1&lt;=$L$2,IFERROR(INDEX(MCQ!$A:$K,ROW()-1+1,8),""),IF(ROW()-1&lt;=$L$2+$M$2,IFERROR(INDEX(CLOZE_AB!$A:$K,ROW()-1-$L$2+1,8),""),IF(ROW()-1&lt;=$L$2+$M$2+$N$2,IFERROR(INDEX(CLOZE_LIST!$A:$K,ROW()-1-$L$2-$M$2+1,8),""),IF(ROW()-1&lt;=$L$2+$M$2+$N$2+$O$2,IFERROR(INDEX(PROFORMA!$A:$K,ROW()-1-$L$2-$M$2-$N$2+1,8),""),"")))))</f>
        <v>0</v>
      </c>
      <c r="I36" s="3">
        <f>IF(ROW()-1&lt;=0,"",IF(ROW()-1&lt;=$L$2,IFERROR(INDEX(MCQ!$A:$K,ROW()-1+1,9),""),IF(ROW()-1&lt;=$L$2+$M$2,IFERROR(INDEX(CLOZE_AB!$A:$K,ROW()-1-$L$2+1,9),""),IF(ROW()-1&lt;=$L$2+$M$2+$N$2,IFERROR(INDEX(CLOZE_LIST!$A:$K,ROW()-1-$L$2-$M$2+1,9),""),IF(ROW()-1&lt;=$L$2+$M$2+$N$2+$O$2,IFERROR(INDEX(PROFORMA!$A:$K,ROW()-1-$L$2-$M$2-$N$2+1,9),""),"")))))</f>
        <v>0</v>
      </c>
      <c r="J36" s="3">
        <f>IF(ROW()-1&lt;=0,"",IF(ROW()-1&lt;=$L$2,IFERROR(INDEX(MCQ!$A:$K,ROW()-1+1,10),""),IF(ROW()-1&lt;=$L$2+$M$2,IFERROR(INDEX(CLOZE_AB!$A:$K,ROW()-1-$L$2+1,10),""),IF(ROW()-1&lt;=$L$2+$M$2+$N$2,IFERROR(INDEX(CLOZE_LIST!$A:$K,ROW()-1-$L$2-$M$2+1,10),""),IF(ROW()-1&lt;=$L$2+$M$2+$N$2+$O$2,IFERROR(INDEX(PROFORMA!$A:$K,ROW()-1-$L$2-$M$2-$N$2+1,10),""),"")))))</f>
        <v>0</v>
      </c>
      <c r="K36" s="3">
        <f>IF(ROW()-1&lt;=0,"",IF(ROW()-1&lt;=$L$2,IFERROR(INDEX(MCQ!$A:$K,ROW()-1+1,11),""),IF(ROW()-1&lt;=$L$2+$M$2,IFERROR(INDEX(CLOZE_AB!$A:$K,ROW()-1-$L$2+1,11),""),IF(ROW()-1&lt;=$L$2+$M$2+$N$2,IFERROR(INDEX(CLOZE_LIST!$A:$K,ROW()-1-$L$2-$M$2+1,11),""),IF(ROW()-1&lt;=$L$2+$M$2+$N$2+$O$2,IFERROR(INDEX(PROFORMA!$A:$K,ROW()-1-$L$2-$M$2-$N$2+1,11),""),"")))))</f>
        <v>0</v>
      </c>
      <c r="L36" s="3">
        <f>COUNTA(MCQ!$A:$A)-1</f>
        <v>143</v>
      </c>
      <c r="M36" s="3">
        <f>COUNTA(CLOZE_AB!$A:$A)-1</f>
        <v>168</v>
      </c>
      <c r="N36" s="3">
        <f>COUNTA(CLOZE_LIST!$A:$A)-1</f>
        <v>199</v>
      </c>
      <c r="O36" s="3">
        <f>COUNTA(PROFORMA!$A:$A)-1</f>
        <v>199</v>
      </c>
    </row>
    <row r="37" spans="1:15" x14ac:dyDescent="0.3">
      <c r="A37" s="3" t="str">
        <f>IF(ROW()-1&lt;=0,"",IF(ROW()-1&lt;=$L$2,IFERROR(INDEX(MCQ!$A:$K,ROW()-1+1,1),""),IF(ROW()-1&lt;=$L$2+$M$2,IFERROR(INDEX(CLOZE_AB!$A:$K,ROW()-1-$L$2+1,1),""),IF(ROW()-1&lt;=$L$2+$M$2+$N$2,IFERROR(INDEX(CLOZE_LIST!$A:$K,ROW()-1-$L$2-$M$2+1,1),""),IF(ROW()-1&lt;=$L$2+$M$2+$N$2+$O$2,IFERROR(INDEX(PROFORMA!$A:$K,ROW()-1-$L$2-$M$2-$N$2+1,1),""),"")))))</f>
        <v/>
      </c>
      <c r="B37" s="3">
        <f>IF(ROW()-1&lt;=0,"",IF(ROW()-1&lt;=$L$2,IFERROR(INDEX(MCQ!$A:$K,ROW()-1+1,2),""),IF(ROW()-1&lt;=$L$2+$M$2,IFERROR(INDEX(CLOZE_AB!$A:$K,ROW()-1-$L$2+1,2),""),IF(ROW()-1&lt;=$L$2+$M$2+$N$2,IFERROR(INDEX(CLOZE_LIST!$A:$K,ROW()-1-$L$2-$M$2+1,2),""),IF(ROW()-1&lt;=$L$2+$M$2+$N$2+$O$2,IFERROR(INDEX(PROFORMA!$A:$K,ROW()-1-$L$2-$M$2-$N$2+1,2),""),"")))))</f>
        <v>0</v>
      </c>
      <c r="C37" s="3">
        <f>IF(ROW()-1&lt;=0,"",IF(ROW()-1&lt;=$L$2,IFERROR(INDEX(MCQ!$A:$K,ROW()-1+1,3),""),IF(ROW()-1&lt;=$L$2+$M$2,IFERROR(INDEX(CLOZE_AB!$A:$K,ROW()-1-$L$2+1,3),""),IF(ROW()-1&lt;=$L$2+$M$2+$N$2,IFERROR(INDEX(CLOZE_LIST!$A:$K,ROW()-1-$L$2-$M$2+1,3),""),IF(ROW()-1&lt;=$L$2+$M$2+$N$2+$O$2,IFERROR(INDEX(PROFORMA!$A:$K,ROW()-1-$L$2-$M$2-$N$2+1,3),""),"")))))</f>
        <v>0</v>
      </c>
      <c r="D37" s="3">
        <f>IF(ROW()-1&lt;=0,"",IF(ROW()-1&lt;=$L$2,IFERROR(INDEX(MCQ!$A:$K,ROW()-1+1,4),""),IF(ROW()-1&lt;=$L$2+$M$2,IFERROR(INDEX(CLOZE_AB!$A:$K,ROW()-1-$L$2+1,4),""),IF(ROW()-1&lt;=$L$2+$M$2+$N$2,IFERROR(INDEX(CLOZE_LIST!$A:$K,ROW()-1-$L$2-$M$2+1,4),""),IF(ROW()-1&lt;=$L$2+$M$2+$N$2+$O$2,IFERROR(INDEX(PROFORMA!$A:$K,ROW()-1-$L$2-$M$2-$N$2+1,4),""),"")))))</f>
        <v>0</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0</v>
      </c>
      <c r="G37" s="3">
        <f>IF(ROW()-1&lt;=0,"",IF(ROW()-1&lt;=$L$2,IFERROR(INDEX(MCQ!$A:$K,ROW()-1+1,7),""),IF(ROW()-1&lt;=$L$2+$M$2,IFERROR(INDEX(CLOZE_AB!$A:$K,ROW()-1-$L$2+1,7),""),IF(ROW()-1&lt;=$L$2+$M$2+$N$2,IFERROR(INDEX(CLOZE_LIST!$A:$K,ROW()-1-$L$2-$M$2+1,7),""),IF(ROW()-1&lt;=$L$2+$M$2+$N$2+$O$2,IFERROR(INDEX(PROFORMA!$A:$K,ROW()-1-$L$2-$M$2-$N$2+1,7),""),"")))))</f>
        <v>0</v>
      </c>
      <c r="H37" s="3">
        <f>IF(ROW()-1&lt;=0,"",IF(ROW()-1&lt;=$L$2,IFERROR(INDEX(MCQ!$A:$K,ROW()-1+1,8),""),IF(ROW()-1&lt;=$L$2+$M$2,IFERROR(INDEX(CLOZE_AB!$A:$K,ROW()-1-$L$2+1,8),""),IF(ROW()-1&lt;=$L$2+$M$2+$N$2,IFERROR(INDEX(CLOZE_LIST!$A:$K,ROW()-1-$L$2-$M$2+1,8),""),IF(ROW()-1&lt;=$L$2+$M$2+$N$2+$O$2,IFERROR(INDEX(PROFORMA!$A:$K,ROW()-1-$L$2-$M$2-$N$2+1,8),""),"")))))</f>
        <v>0</v>
      </c>
      <c r="I37" s="3">
        <f>IF(ROW()-1&lt;=0,"",IF(ROW()-1&lt;=$L$2,IFERROR(INDEX(MCQ!$A:$K,ROW()-1+1,9),""),IF(ROW()-1&lt;=$L$2+$M$2,IFERROR(INDEX(CLOZE_AB!$A:$K,ROW()-1-$L$2+1,9),""),IF(ROW()-1&lt;=$L$2+$M$2+$N$2,IFERROR(INDEX(CLOZE_LIST!$A:$K,ROW()-1-$L$2-$M$2+1,9),""),IF(ROW()-1&lt;=$L$2+$M$2+$N$2+$O$2,IFERROR(INDEX(PROFORMA!$A:$K,ROW()-1-$L$2-$M$2-$N$2+1,9),""),"")))))</f>
        <v>0</v>
      </c>
      <c r="J37" s="3">
        <f>IF(ROW()-1&lt;=0,"",IF(ROW()-1&lt;=$L$2,IFERROR(INDEX(MCQ!$A:$K,ROW()-1+1,10),""),IF(ROW()-1&lt;=$L$2+$M$2,IFERROR(INDEX(CLOZE_AB!$A:$K,ROW()-1-$L$2+1,10),""),IF(ROW()-1&lt;=$L$2+$M$2+$N$2,IFERROR(INDEX(CLOZE_LIST!$A:$K,ROW()-1-$L$2-$M$2+1,10),""),IF(ROW()-1&lt;=$L$2+$M$2+$N$2+$O$2,IFERROR(INDEX(PROFORMA!$A:$K,ROW()-1-$L$2-$M$2-$N$2+1,10),""),"")))))</f>
        <v>0</v>
      </c>
      <c r="K37" s="3">
        <f>IF(ROW()-1&lt;=0,"",IF(ROW()-1&lt;=$L$2,IFERROR(INDEX(MCQ!$A:$K,ROW()-1+1,11),""),IF(ROW()-1&lt;=$L$2+$M$2,IFERROR(INDEX(CLOZE_AB!$A:$K,ROW()-1-$L$2+1,11),""),IF(ROW()-1&lt;=$L$2+$M$2+$N$2,IFERROR(INDEX(CLOZE_LIST!$A:$K,ROW()-1-$L$2-$M$2+1,11),""),IF(ROW()-1&lt;=$L$2+$M$2+$N$2+$O$2,IFERROR(INDEX(PROFORMA!$A:$K,ROW()-1-$L$2-$M$2-$N$2+1,11),""),"")))))</f>
        <v>0</v>
      </c>
      <c r="L37" s="3">
        <f>COUNTA(MCQ!$A:$A)-1</f>
        <v>143</v>
      </c>
      <c r="M37" s="3">
        <f>COUNTA(CLOZE_AB!$A:$A)-1</f>
        <v>168</v>
      </c>
      <c r="N37" s="3">
        <f>COUNTA(CLOZE_LIST!$A:$A)-1</f>
        <v>199</v>
      </c>
      <c r="O37" s="3">
        <f>COUNTA(PROFORMA!$A:$A)-1</f>
        <v>199</v>
      </c>
    </row>
    <row r="38" spans="1:15" x14ac:dyDescent="0.3">
      <c r="A38" s="3" t="str">
        <f>IF(ROW()-1&lt;=0,"",IF(ROW()-1&lt;=$L$2,IFERROR(INDEX(MCQ!$A:$K,ROW()-1+1,1),""),IF(ROW()-1&lt;=$L$2+$M$2,IFERROR(INDEX(CLOZE_AB!$A:$K,ROW()-1-$L$2+1,1),""),IF(ROW()-1&lt;=$L$2+$M$2+$N$2,IFERROR(INDEX(CLOZE_LIST!$A:$K,ROW()-1-$L$2-$M$2+1,1),""),IF(ROW()-1&lt;=$L$2+$M$2+$N$2+$O$2,IFERROR(INDEX(PROFORMA!$A:$K,ROW()-1-$L$2-$M$2-$N$2+1,1),""),"")))))</f>
        <v/>
      </c>
      <c r="B38" s="3">
        <f>IF(ROW()-1&lt;=0,"",IF(ROW()-1&lt;=$L$2,IFERROR(INDEX(MCQ!$A:$K,ROW()-1+1,2),""),IF(ROW()-1&lt;=$L$2+$M$2,IFERROR(INDEX(CLOZE_AB!$A:$K,ROW()-1-$L$2+1,2),""),IF(ROW()-1&lt;=$L$2+$M$2+$N$2,IFERROR(INDEX(CLOZE_LIST!$A:$K,ROW()-1-$L$2-$M$2+1,2),""),IF(ROW()-1&lt;=$L$2+$M$2+$N$2+$O$2,IFERROR(INDEX(PROFORMA!$A:$K,ROW()-1-$L$2-$M$2-$N$2+1,2),""),"")))))</f>
        <v>0</v>
      </c>
      <c r="C38" s="3">
        <f>IF(ROW()-1&lt;=0,"",IF(ROW()-1&lt;=$L$2,IFERROR(INDEX(MCQ!$A:$K,ROW()-1+1,3),""),IF(ROW()-1&lt;=$L$2+$M$2,IFERROR(INDEX(CLOZE_AB!$A:$K,ROW()-1-$L$2+1,3),""),IF(ROW()-1&lt;=$L$2+$M$2+$N$2,IFERROR(INDEX(CLOZE_LIST!$A:$K,ROW()-1-$L$2-$M$2+1,3),""),IF(ROW()-1&lt;=$L$2+$M$2+$N$2+$O$2,IFERROR(INDEX(PROFORMA!$A:$K,ROW()-1-$L$2-$M$2-$N$2+1,3),""),"")))))</f>
        <v>0</v>
      </c>
      <c r="D38" s="3">
        <f>IF(ROW()-1&lt;=0,"",IF(ROW()-1&lt;=$L$2,IFERROR(INDEX(MCQ!$A:$K,ROW()-1+1,4),""),IF(ROW()-1&lt;=$L$2+$M$2,IFERROR(INDEX(CLOZE_AB!$A:$K,ROW()-1-$L$2+1,4),""),IF(ROW()-1&lt;=$L$2+$M$2+$N$2,IFERROR(INDEX(CLOZE_LIST!$A:$K,ROW()-1-$L$2-$M$2+1,4),""),IF(ROW()-1&lt;=$L$2+$M$2+$N$2+$O$2,IFERROR(INDEX(PROFORMA!$A:$K,ROW()-1-$L$2-$M$2-$N$2+1,4),""),"")))))</f>
        <v>0</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0</v>
      </c>
      <c r="G38" s="3">
        <f>IF(ROW()-1&lt;=0,"",IF(ROW()-1&lt;=$L$2,IFERROR(INDEX(MCQ!$A:$K,ROW()-1+1,7),""),IF(ROW()-1&lt;=$L$2+$M$2,IFERROR(INDEX(CLOZE_AB!$A:$K,ROW()-1-$L$2+1,7),""),IF(ROW()-1&lt;=$L$2+$M$2+$N$2,IFERROR(INDEX(CLOZE_LIST!$A:$K,ROW()-1-$L$2-$M$2+1,7),""),IF(ROW()-1&lt;=$L$2+$M$2+$N$2+$O$2,IFERROR(INDEX(PROFORMA!$A:$K,ROW()-1-$L$2-$M$2-$N$2+1,7),""),"")))))</f>
        <v>0</v>
      </c>
      <c r="H38" s="3">
        <f>IF(ROW()-1&lt;=0,"",IF(ROW()-1&lt;=$L$2,IFERROR(INDEX(MCQ!$A:$K,ROW()-1+1,8),""),IF(ROW()-1&lt;=$L$2+$M$2,IFERROR(INDEX(CLOZE_AB!$A:$K,ROW()-1-$L$2+1,8),""),IF(ROW()-1&lt;=$L$2+$M$2+$N$2,IFERROR(INDEX(CLOZE_LIST!$A:$K,ROW()-1-$L$2-$M$2+1,8),""),IF(ROW()-1&lt;=$L$2+$M$2+$N$2+$O$2,IFERROR(INDEX(PROFORMA!$A:$K,ROW()-1-$L$2-$M$2-$N$2+1,8),""),"")))))</f>
        <v>0</v>
      </c>
      <c r="I38" s="3">
        <f>IF(ROW()-1&lt;=0,"",IF(ROW()-1&lt;=$L$2,IFERROR(INDEX(MCQ!$A:$K,ROW()-1+1,9),""),IF(ROW()-1&lt;=$L$2+$M$2,IFERROR(INDEX(CLOZE_AB!$A:$K,ROW()-1-$L$2+1,9),""),IF(ROW()-1&lt;=$L$2+$M$2+$N$2,IFERROR(INDEX(CLOZE_LIST!$A:$K,ROW()-1-$L$2-$M$2+1,9),""),IF(ROW()-1&lt;=$L$2+$M$2+$N$2+$O$2,IFERROR(INDEX(PROFORMA!$A:$K,ROW()-1-$L$2-$M$2-$N$2+1,9),""),"")))))</f>
        <v>0</v>
      </c>
      <c r="J38" s="3">
        <f>IF(ROW()-1&lt;=0,"",IF(ROW()-1&lt;=$L$2,IFERROR(INDEX(MCQ!$A:$K,ROW()-1+1,10),""),IF(ROW()-1&lt;=$L$2+$M$2,IFERROR(INDEX(CLOZE_AB!$A:$K,ROW()-1-$L$2+1,10),""),IF(ROW()-1&lt;=$L$2+$M$2+$N$2,IFERROR(INDEX(CLOZE_LIST!$A:$K,ROW()-1-$L$2-$M$2+1,10),""),IF(ROW()-1&lt;=$L$2+$M$2+$N$2+$O$2,IFERROR(INDEX(PROFORMA!$A:$K,ROW()-1-$L$2-$M$2-$N$2+1,10),""),"")))))</f>
        <v>0</v>
      </c>
      <c r="K38" s="3">
        <f>IF(ROW()-1&lt;=0,"",IF(ROW()-1&lt;=$L$2,IFERROR(INDEX(MCQ!$A:$K,ROW()-1+1,11),""),IF(ROW()-1&lt;=$L$2+$M$2,IFERROR(INDEX(CLOZE_AB!$A:$K,ROW()-1-$L$2+1,11),""),IF(ROW()-1&lt;=$L$2+$M$2+$N$2,IFERROR(INDEX(CLOZE_LIST!$A:$K,ROW()-1-$L$2-$M$2+1,11),""),IF(ROW()-1&lt;=$L$2+$M$2+$N$2+$O$2,IFERROR(INDEX(PROFORMA!$A:$K,ROW()-1-$L$2-$M$2-$N$2+1,11),""),"")))))</f>
        <v>0</v>
      </c>
      <c r="L38" s="3">
        <f>COUNTA(MCQ!$A:$A)-1</f>
        <v>143</v>
      </c>
      <c r="M38" s="3">
        <f>COUNTA(CLOZE_AB!$A:$A)-1</f>
        <v>168</v>
      </c>
      <c r="N38" s="3">
        <f>COUNTA(CLOZE_LIST!$A:$A)-1</f>
        <v>199</v>
      </c>
      <c r="O38" s="3">
        <f>COUNTA(PROFORMA!$A:$A)-1</f>
        <v>199</v>
      </c>
    </row>
    <row r="39" spans="1:15" x14ac:dyDescent="0.3">
      <c r="A39" s="3" t="str">
        <f>IF(ROW()-1&lt;=0,"",IF(ROW()-1&lt;=$L$2,IFERROR(INDEX(MCQ!$A:$K,ROW()-1+1,1),""),IF(ROW()-1&lt;=$L$2+$M$2,IFERROR(INDEX(CLOZE_AB!$A:$K,ROW()-1-$L$2+1,1),""),IF(ROW()-1&lt;=$L$2+$M$2+$N$2,IFERROR(INDEX(CLOZE_LIST!$A:$K,ROW()-1-$L$2-$M$2+1,1),""),IF(ROW()-1&lt;=$L$2+$M$2+$N$2+$O$2,IFERROR(INDEX(PROFORMA!$A:$K,ROW()-1-$L$2-$M$2-$N$2+1,1),""),"")))))</f>
        <v/>
      </c>
      <c r="B39" s="3">
        <f>IF(ROW()-1&lt;=0,"",IF(ROW()-1&lt;=$L$2,IFERROR(INDEX(MCQ!$A:$K,ROW()-1+1,2),""),IF(ROW()-1&lt;=$L$2+$M$2,IFERROR(INDEX(CLOZE_AB!$A:$K,ROW()-1-$L$2+1,2),""),IF(ROW()-1&lt;=$L$2+$M$2+$N$2,IFERROR(INDEX(CLOZE_LIST!$A:$K,ROW()-1-$L$2-$M$2+1,2),""),IF(ROW()-1&lt;=$L$2+$M$2+$N$2+$O$2,IFERROR(INDEX(PROFORMA!$A:$K,ROW()-1-$L$2-$M$2-$N$2+1,2),""),"")))))</f>
        <v>0</v>
      </c>
      <c r="C39" s="3">
        <f>IF(ROW()-1&lt;=0,"",IF(ROW()-1&lt;=$L$2,IFERROR(INDEX(MCQ!$A:$K,ROW()-1+1,3),""),IF(ROW()-1&lt;=$L$2+$M$2,IFERROR(INDEX(CLOZE_AB!$A:$K,ROW()-1-$L$2+1,3),""),IF(ROW()-1&lt;=$L$2+$M$2+$N$2,IFERROR(INDEX(CLOZE_LIST!$A:$K,ROW()-1-$L$2-$M$2+1,3),""),IF(ROW()-1&lt;=$L$2+$M$2+$N$2+$O$2,IFERROR(INDEX(PROFORMA!$A:$K,ROW()-1-$L$2-$M$2-$N$2+1,3),""),"")))))</f>
        <v>0</v>
      </c>
      <c r="D39" s="3">
        <f>IF(ROW()-1&lt;=0,"",IF(ROW()-1&lt;=$L$2,IFERROR(INDEX(MCQ!$A:$K,ROW()-1+1,4),""),IF(ROW()-1&lt;=$L$2+$M$2,IFERROR(INDEX(CLOZE_AB!$A:$K,ROW()-1-$L$2+1,4),""),IF(ROW()-1&lt;=$L$2+$M$2+$N$2,IFERROR(INDEX(CLOZE_LIST!$A:$K,ROW()-1-$L$2-$M$2+1,4),""),IF(ROW()-1&lt;=$L$2+$M$2+$N$2+$O$2,IFERROR(INDEX(PROFORMA!$A:$K,ROW()-1-$L$2-$M$2-$N$2+1,4),""),"")))))</f>
        <v>0</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0</v>
      </c>
      <c r="G39" s="3">
        <f>IF(ROW()-1&lt;=0,"",IF(ROW()-1&lt;=$L$2,IFERROR(INDEX(MCQ!$A:$K,ROW()-1+1,7),""),IF(ROW()-1&lt;=$L$2+$M$2,IFERROR(INDEX(CLOZE_AB!$A:$K,ROW()-1-$L$2+1,7),""),IF(ROW()-1&lt;=$L$2+$M$2+$N$2,IFERROR(INDEX(CLOZE_LIST!$A:$K,ROW()-1-$L$2-$M$2+1,7),""),IF(ROW()-1&lt;=$L$2+$M$2+$N$2+$O$2,IFERROR(INDEX(PROFORMA!$A:$K,ROW()-1-$L$2-$M$2-$N$2+1,7),""),"")))))</f>
        <v>0</v>
      </c>
      <c r="H39" s="3">
        <f>IF(ROW()-1&lt;=0,"",IF(ROW()-1&lt;=$L$2,IFERROR(INDEX(MCQ!$A:$K,ROW()-1+1,8),""),IF(ROW()-1&lt;=$L$2+$M$2,IFERROR(INDEX(CLOZE_AB!$A:$K,ROW()-1-$L$2+1,8),""),IF(ROW()-1&lt;=$L$2+$M$2+$N$2,IFERROR(INDEX(CLOZE_LIST!$A:$K,ROW()-1-$L$2-$M$2+1,8),""),IF(ROW()-1&lt;=$L$2+$M$2+$N$2+$O$2,IFERROR(INDEX(PROFORMA!$A:$K,ROW()-1-$L$2-$M$2-$N$2+1,8),""),"")))))</f>
        <v>0</v>
      </c>
      <c r="I39" s="3">
        <f>IF(ROW()-1&lt;=0,"",IF(ROW()-1&lt;=$L$2,IFERROR(INDEX(MCQ!$A:$K,ROW()-1+1,9),""),IF(ROW()-1&lt;=$L$2+$M$2,IFERROR(INDEX(CLOZE_AB!$A:$K,ROW()-1-$L$2+1,9),""),IF(ROW()-1&lt;=$L$2+$M$2+$N$2,IFERROR(INDEX(CLOZE_LIST!$A:$K,ROW()-1-$L$2-$M$2+1,9),""),IF(ROW()-1&lt;=$L$2+$M$2+$N$2+$O$2,IFERROR(INDEX(PROFORMA!$A:$K,ROW()-1-$L$2-$M$2-$N$2+1,9),""),"")))))</f>
        <v>0</v>
      </c>
      <c r="J39" s="3">
        <f>IF(ROW()-1&lt;=0,"",IF(ROW()-1&lt;=$L$2,IFERROR(INDEX(MCQ!$A:$K,ROW()-1+1,10),""),IF(ROW()-1&lt;=$L$2+$M$2,IFERROR(INDEX(CLOZE_AB!$A:$K,ROW()-1-$L$2+1,10),""),IF(ROW()-1&lt;=$L$2+$M$2+$N$2,IFERROR(INDEX(CLOZE_LIST!$A:$K,ROW()-1-$L$2-$M$2+1,10),""),IF(ROW()-1&lt;=$L$2+$M$2+$N$2+$O$2,IFERROR(INDEX(PROFORMA!$A:$K,ROW()-1-$L$2-$M$2-$N$2+1,10),""),"")))))</f>
        <v>0</v>
      </c>
      <c r="K39" s="3">
        <f>IF(ROW()-1&lt;=0,"",IF(ROW()-1&lt;=$L$2,IFERROR(INDEX(MCQ!$A:$K,ROW()-1+1,11),""),IF(ROW()-1&lt;=$L$2+$M$2,IFERROR(INDEX(CLOZE_AB!$A:$K,ROW()-1-$L$2+1,11),""),IF(ROW()-1&lt;=$L$2+$M$2+$N$2,IFERROR(INDEX(CLOZE_LIST!$A:$K,ROW()-1-$L$2-$M$2+1,11),""),IF(ROW()-1&lt;=$L$2+$M$2+$N$2+$O$2,IFERROR(INDEX(PROFORMA!$A:$K,ROW()-1-$L$2-$M$2-$N$2+1,11),""),"")))))</f>
        <v>0</v>
      </c>
      <c r="L39" s="3">
        <f>COUNTA(MCQ!$A:$A)-1</f>
        <v>143</v>
      </c>
      <c r="M39" s="3">
        <f>COUNTA(CLOZE_AB!$A:$A)-1</f>
        <v>168</v>
      </c>
      <c r="N39" s="3">
        <f>COUNTA(CLOZE_LIST!$A:$A)-1</f>
        <v>199</v>
      </c>
      <c r="O39" s="3">
        <f>COUNTA(PROFORMA!$A:$A)-1</f>
        <v>199</v>
      </c>
    </row>
    <row r="40" spans="1:15" x14ac:dyDescent="0.3">
      <c r="A40" s="3" t="str">
        <f>IF(ROW()-1&lt;=0,"",IF(ROW()-1&lt;=$L$2,IFERROR(INDEX(MCQ!$A:$K,ROW()-1+1,1),""),IF(ROW()-1&lt;=$L$2+$M$2,IFERROR(INDEX(CLOZE_AB!$A:$K,ROW()-1-$L$2+1,1),""),IF(ROW()-1&lt;=$L$2+$M$2+$N$2,IFERROR(INDEX(CLOZE_LIST!$A:$K,ROW()-1-$L$2-$M$2+1,1),""),IF(ROW()-1&lt;=$L$2+$M$2+$N$2+$O$2,IFERROR(INDEX(PROFORMA!$A:$K,ROW()-1-$L$2-$M$2-$N$2+1,1),""),"")))))</f>
        <v/>
      </c>
      <c r="B40" s="3">
        <f>IF(ROW()-1&lt;=0,"",IF(ROW()-1&lt;=$L$2,IFERROR(INDEX(MCQ!$A:$K,ROW()-1+1,2),""),IF(ROW()-1&lt;=$L$2+$M$2,IFERROR(INDEX(CLOZE_AB!$A:$K,ROW()-1-$L$2+1,2),""),IF(ROW()-1&lt;=$L$2+$M$2+$N$2,IFERROR(INDEX(CLOZE_LIST!$A:$K,ROW()-1-$L$2-$M$2+1,2),""),IF(ROW()-1&lt;=$L$2+$M$2+$N$2+$O$2,IFERROR(INDEX(PROFORMA!$A:$K,ROW()-1-$L$2-$M$2-$N$2+1,2),""),"")))))</f>
        <v>0</v>
      </c>
      <c r="C40" s="3">
        <f>IF(ROW()-1&lt;=0,"",IF(ROW()-1&lt;=$L$2,IFERROR(INDEX(MCQ!$A:$K,ROW()-1+1,3),""),IF(ROW()-1&lt;=$L$2+$M$2,IFERROR(INDEX(CLOZE_AB!$A:$K,ROW()-1-$L$2+1,3),""),IF(ROW()-1&lt;=$L$2+$M$2+$N$2,IFERROR(INDEX(CLOZE_LIST!$A:$K,ROW()-1-$L$2-$M$2+1,3),""),IF(ROW()-1&lt;=$L$2+$M$2+$N$2+$O$2,IFERROR(INDEX(PROFORMA!$A:$K,ROW()-1-$L$2-$M$2-$N$2+1,3),""),"")))))</f>
        <v>0</v>
      </c>
      <c r="D40" s="3">
        <f>IF(ROW()-1&lt;=0,"",IF(ROW()-1&lt;=$L$2,IFERROR(INDEX(MCQ!$A:$K,ROW()-1+1,4),""),IF(ROW()-1&lt;=$L$2+$M$2,IFERROR(INDEX(CLOZE_AB!$A:$K,ROW()-1-$L$2+1,4),""),IF(ROW()-1&lt;=$L$2+$M$2+$N$2,IFERROR(INDEX(CLOZE_LIST!$A:$K,ROW()-1-$L$2-$M$2+1,4),""),IF(ROW()-1&lt;=$L$2+$M$2+$N$2+$O$2,IFERROR(INDEX(PROFORMA!$A:$K,ROW()-1-$L$2-$M$2-$N$2+1,4),""),"")))))</f>
        <v>0</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0</v>
      </c>
      <c r="G40" s="3">
        <f>IF(ROW()-1&lt;=0,"",IF(ROW()-1&lt;=$L$2,IFERROR(INDEX(MCQ!$A:$K,ROW()-1+1,7),""),IF(ROW()-1&lt;=$L$2+$M$2,IFERROR(INDEX(CLOZE_AB!$A:$K,ROW()-1-$L$2+1,7),""),IF(ROW()-1&lt;=$L$2+$M$2+$N$2,IFERROR(INDEX(CLOZE_LIST!$A:$K,ROW()-1-$L$2-$M$2+1,7),""),IF(ROW()-1&lt;=$L$2+$M$2+$N$2+$O$2,IFERROR(INDEX(PROFORMA!$A:$K,ROW()-1-$L$2-$M$2-$N$2+1,7),""),"")))))</f>
        <v>0</v>
      </c>
      <c r="H40" s="3">
        <f>IF(ROW()-1&lt;=0,"",IF(ROW()-1&lt;=$L$2,IFERROR(INDEX(MCQ!$A:$K,ROW()-1+1,8),""),IF(ROW()-1&lt;=$L$2+$M$2,IFERROR(INDEX(CLOZE_AB!$A:$K,ROW()-1-$L$2+1,8),""),IF(ROW()-1&lt;=$L$2+$M$2+$N$2,IFERROR(INDEX(CLOZE_LIST!$A:$K,ROW()-1-$L$2-$M$2+1,8),""),IF(ROW()-1&lt;=$L$2+$M$2+$N$2+$O$2,IFERROR(INDEX(PROFORMA!$A:$K,ROW()-1-$L$2-$M$2-$N$2+1,8),""),"")))))</f>
        <v>0</v>
      </c>
      <c r="I40" s="3">
        <f>IF(ROW()-1&lt;=0,"",IF(ROW()-1&lt;=$L$2,IFERROR(INDEX(MCQ!$A:$K,ROW()-1+1,9),""),IF(ROW()-1&lt;=$L$2+$M$2,IFERROR(INDEX(CLOZE_AB!$A:$K,ROW()-1-$L$2+1,9),""),IF(ROW()-1&lt;=$L$2+$M$2+$N$2,IFERROR(INDEX(CLOZE_LIST!$A:$K,ROW()-1-$L$2-$M$2+1,9),""),IF(ROW()-1&lt;=$L$2+$M$2+$N$2+$O$2,IFERROR(INDEX(PROFORMA!$A:$K,ROW()-1-$L$2-$M$2-$N$2+1,9),""),"")))))</f>
        <v>0</v>
      </c>
      <c r="J40" s="3">
        <f>IF(ROW()-1&lt;=0,"",IF(ROW()-1&lt;=$L$2,IFERROR(INDEX(MCQ!$A:$K,ROW()-1+1,10),""),IF(ROW()-1&lt;=$L$2+$M$2,IFERROR(INDEX(CLOZE_AB!$A:$K,ROW()-1-$L$2+1,10),""),IF(ROW()-1&lt;=$L$2+$M$2+$N$2,IFERROR(INDEX(CLOZE_LIST!$A:$K,ROW()-1-$L$2-$M$2+1,10),""),IF(ROW()-1&lt;=$L$2+$M$2+$N$2+$O$2,IFERROR(INDEX(PROFORMA!$A:$K,ROW()-1-$L$2-$M$2-$N$2+1,10),""),"")))))</f>
        <v>0</v>
      </c>
      <c r="K40" s="3">
        <f>IF(ROW()-1&lt;=0,"",IF(ROW()-1&lt;=$L$2,IFERROR(INDEX(MCQ!$A:$K,ROW()-1+1,11),""),IF(ROW()-1&lt;=$L$2+$M$2,IFERROR(INDEX(CLOZE_AB!$A:$K,ROW()-1-$L$2+1,11),""),IF(ROW()-1&lt;=$L$2+$M$2+$N$2,IFERROR(INDEX(CLOZE_LIST!$A:$K,ROW()-1-$L$2-$M$2+1,11),""),IF(ROW()-1&lt;=$L$2+$M$2+$N$2+$O$2,IFERROR(INDEX(PROFORMA!$A:$K,ROW()-1-$L$2-$M$2-$N$2+1,11),""),"")))))</f>
        <v>0</v>
      </c>
      <c r="L40" s="3">
        <f>COUNTA(MCQ!$A:$A)-1</f>
        <v>143</v>
      </c>
      <c r="M40" s="3">
        <f>COUNTA(CLOZE_AB!$A:$A)-1</f>
        <v>168</v>
      </c>
      <c r="N40" s="3">
        <f>COUNTA(CLOZE_LIST!$A:$A)-1</f>
        <v>199</v>
      </c>
      <c r="O40" s="3">
        <f>COUNTA(PROFORMA!$A:$A)-1</f>
        <v>199</v>
      </c>
    </row>
    <row r="41" spans="1:15" x14ac:dyDescent="0.3">
      <c r="A41" s="3" t="str">
        <f>IF(ROW()-1&lt;=0,"",IF(ROW()-1&lt;=$L$2,IFERROR(INDEX(MCQ!$A:$K,ROW()-1+1,1),""),IF(ROW()-1&lt;=$L$2+$M$2,IFERROR(INDEX(CLOZE_AB!$A:$K,ROW()-1-$L$2+1,1),""),IF(ROW()-1&lt;=$L$2+$M$2+$N$2,IFERROR(INDEX(CLOZE_LIST!$A:$K,ROW()-1-$L$2-$M$2+1,1),""),IF(ROW()-1&lt;=$L$2+$M$2+$N$2+$O$2,IFERROR(INDEX(PROFORMA!$A:$K,ROW()-1-$L$2-$M$2-$N$2+1,1),""),"")))))</f>
        <v/>
      </c>
      <c r="B41" s="3">
        <f>IF(ROW()-1&lt;=0,"",IF(ROW()-1&lt;=$L$2,IFERROR(INDEX(MCQ!$A:$K,ROW()-1+1,2),""),IF(ROW()-1&lt;=$L$2+$M$2,IFERROR(INDEX(CLOZE_AB!$A:$K,ROW()-1-$L$2+1,2),""),IF(ROW()-1&lt;=$L$2+$M$2+$N$2,IFERROR(INDEX(CLOZE_LIST!$A:$K,ROW()-1-$L$2-$M$2+1,2),""),IF(ROW()-1&lt;=$L$2+$M$2+$N$2+$O$2,IFERROR(INDEX(PROFORMA!$A:$K,ROW()-1-$L$2-$M$2-$N$2+1,2),""),"")))))</f>
        <v>0</v>
      </c>
      <c r="C41" s="3">
        <f>IF(ROW()-1&lt;=0,"",IF(ROW()-1&lt;=$L$2,IFERROR(INDEX(MCQ!$A:$K,ROW()-1+1,3),""),IF(ROW()-1&lt;=$L$2+$M$2,IFERROR(INDEX(CLOZE_AB!$A:$K,ROW()-1-$L$2+1,3),""),IF(ROW()-1&lt;=$L$2+$M$2+$N$2,IFERROR(INDEX(CLOZE_LIST!$A:$K,ROW()-1-$L$2-$M$2+1,3),""),IF(ROW()-1&lt;=$L$2+$M$2+$N$2+$O$2,IFERROR(INDEX(PROFORMA!$A:$K,ROW()-1-$L$2-$M$2-$N$2+1,3),""),"")))))</f>
        <v>0</v>
      </c>
      <c r="D41" s="3">
        <f>IF(ROW()-1&lt;=0,"",IF(ROW()-1&lt;=$L$2,IFERROR(INDEX(MCQ!$A:$K,ROW()-1+1,4),""),IF(ROW()-1&lt;=$L$2+$M$2,IFERROR(INDEX(CLOZE_AB!$A:$K,ROW()-1-$L$2+1,4),""),IF(ROW()-1&lt;=$L$2+$M$2+$N$2,IFERROR(INDEX(CLOZE_LIST!$A:$K,ROW()-1-$L$2-$M$2+1,4),""),IF(ROW()-1&lt;=$L$2+$M$2+$N$2+$O$2,IFERROR(INDEX(PROFORMA!$A:$K,ROW()-1-$L$2-$M$2-$N$2+1,4),""),"")))))</f>
        <v>0</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0</v>
      </c>
      <c r="G41" s="3">
        <f>IF(ROW()-1&lt;=0,"",IF(ROW()-1&lt;=$L$2,IFERROR(INDEX(MCQ!$A:$K,ROW()-1+1,7),""),IF(ROW()-1&lt;=$L$2+$M$2,IFERROR(INDEX(CLOZE_AB!$A:$K,ROW()-1-$L$2+1,7),""),IF(ROW()-1&lt;=$L$2+$M$2+$N$2,IFERROR(INDEX(CLOZE_LIST!$A:$K,ROW()-1-$L$2-$M$2+1,7),""),IF(ROW()-1&lt;=$L$2+$M$2+$N$2+$O$2,IFERROR(INDEX(PROFORMA!$A:$K,ROW()-1-$L$2-$M$2-$N$2+1,7),""),"")))))</f>
        <v>0</v>
      </c>
      <c r="H41" s="3">
        <f>IF(ROW()-1&lt;=0,"",IF(ROW()-1&lt;=$L$2,IFERROR(INDEX(MCQ!$A:$K,ROW()-1+1,8),""),IF(ROW()-1&lt;=$L$2+$M$2,IFERROR(INDEX(CLOZE_AB!$A:$K,ROW()-1-$L$2+1,8),""),IF(ROW()-1&lt;=$L$2+$M$2+$N$2,IFERROR(INDEX(CLOZE_LIST!$A:$K,ROW()-1-$L$2-$M$2+1,8),""),IF(ROW()-1&lt;=$L$2+$M$2+$N$2+$O$2,IFERROR(INDEX(PROFORMA!$A:$K,ROW()-1-$L$2-$M$2-$N$2+1,8),""),"")))))</f>
        <v>0</v>
      </c>
      <c r="I41" s="3">
        <f>IF(ROW()-1&lt;=0,"",IF(ROW()-1&lt;=$L$2,IFERROR(INDEX(MCQ!$A:$K,ROW()-1+1,9),""),IF(ROW()-1&lt;=$L$2+$M$2,IFERROR(INDEX(CLOZE_AB!$A:$K,ROW()-1-$L$2+1,9),""),IF(ROW()-1&lt;=$L$2+$M$2+$N$2,IFERROR(INDEX(CLOZE_LIST!$A:$K,ROW()-1-$L$2-$M$2+1,9),""),IF(ROW()-1&lt;=$L$2+$M$2+$N$2+$O$2,IFERROR(INDEX(PROFORMA!$A:$K,ROW()-1-$L$2-$M$2-$N$2+1,9),""),"")))))</f>
        <v>0</v>
      </c>
      <c r="J41" s="3">
        <f>IF(ROW()-1&lt;=0,"",IF(ROW()-1&lt;=$L$2,IFERROR(INDEX(MCQ!$A:$K,ROW()-1+1,10),""),IF(ROW()-1&lt;=$L$2+$M$2,IFERROR(INDEX(CLOZE_AB!$A:$K,ROW()-1-$L$2+1,10),""),IF(ROW()-1&lt;=$L$2+$M$2+$N$2,IFERROR(INDEX(CLOZE_LIST!$A:$K,ROW()-1-$L$2-$M$2+1,10),""),IF(ROW()-1&lt;=$L$2+$M$2+$N$2+$O$2,IFERROR(INDEX(PROFORMA!$A:$K,ROW()-1-$L$2-$M$2-$N$2+1,10),""),"")))))</f>
        <v>0</v>
      </c>
      <c r="K41" s="3">
        <f>IF(ROW()-1&lt;=0,"",IF(ROW()-1&lt;=$L$2,IFERROR(INDEX(MCQ!$A:$K,ROW()-1+1,11),""),IF(ROW()-1&lt;=$L$2+$M$2,IFERROR(INDEX(CLOZE_AB!$A:$K,ROW()-1-$L$2+1,11),""),IF(ROW()-1&lt;=$L$2+$M$2+$N$2,IFERROR(INDEX(CLOZE_LIST!$A:$K,ROW()-1-$L$2-$M$2+1,11),""),IF(ROW()-1&lt;=$L$2+$M$2+$N$2+$O$2,IFERROR(INDEX(PROFORMA!$A:$K,ROW()-1-$L$2-$M$2-$N$2+1,11),""),"")))))</f>
        <v>0</v>
      </c>
      <c r="L41" s="3">
        <f>COUNTA(MCQ!$A:$A)-1</f>
        <v>143</v>
      </c>
      <c r="M41" s="3">
        <f>COUNTA(CLOZE_AB!$A:$A)-1</f>
        <v>168</v>
      </c>
      <c r="N41" s="3">
        <f>COUNTA(CLOZE_LIST!$A:$A)-1</f>
        <v>199</v>
      </c>
      <c r="O41" s="3">
        <f>COUNTA(PROFORMA!$A:$A)-1</f>
        <v>199</v>
      </c>
    </row>
    <row r="42" spans="1:15" x14ac:dyDescent="0.3">
      <c r="A42" s="3" t="str">
        <f>IF(ROW()-1&lt;=0,"",IF(ROW()-1&lt;=$L$2,IFERROR(INDEX(MCQ!$A:$K,ROW()-1+1,1),""),IF(ROW()-1&lt;=$L$2+$M$2,IFERROR(INDEX(CLOZE_AB!$A:$K,ROW()-1-$L$2+1,1),""),IF(ROW()-1&lt;=$L$2+$M$2+$N$2,IFERROR(INDEX(CLOZE_LIST!$A:$K,ROW()-1-$L$2-$M$2+1,1),""),IF(ROW()-1&lt;=$L$2+$M$2+$N$2+$O$2,IFERROR(INDEX(PROFORMA!$A:$K,ROW()-1-$L$2-$M$2-$N$2+1,1),""),"")))))</f>
        <v/>
      </c>
      <c r="B42" s="3">
        <f>IF(ROW()-1&lt;=0,"",IF(ROW()-1&lt;=$L$2,IFERROR(INDEX(MCQ!$A:$K,ROW()-1+1,2),""),IF(ROW()-1&lt;=$L$2+$M$2,IFERROR(INDEX(CLOZE_AB!$A:$K,ROW()-1-$L$2+1,2),""),IF(ROW()-1&lt;=$L$2+$M$2+$N$2,IFERROR(INDEX(CLOZE_LIST!$A:$K,ROW()-1-$L$2-$M$2+1,2),""),IF(ROW()-1&lt;=$L$2+$M$2+$N$2+$O$2,IFERROR(INDEX(PROFORMA!$A:$K,ROW()-1-$L$2-$M$2-$N$2+1,2),""),"")))))</f>
        <v>0</v>
      </c>
      <c r="C42" s="3">
        <f>IF(ROW()-1&lt;=0,"",IF(ROW()-1&lt;=$L$2,IFERROR(INDEX(MCQ!$A:$K,ROW()-1+1,3),""),IF(ROW()-1&lt;=$L$2+$M$2,IFERROR(INDEX(CLOZE_AB!$A:$K,ROW()-1-$L$2+1,3),""),IF(ROW()-1&lt;=$L$2+$M$2+$N$2,IFERROR(INDEX(CLOZE_LIST!$A:$K,ROW()-1-$L$2-$M$2+1,3),""),IF(ROW()-1&lt;=$L$2+$M$2+$N$2+$O$2,IFERROR(INDEX(PROFORMA!$A:$K,ROW()-1-$L$2-$M$2-$N$2+1,3),""),"")))))</f>
        <v>0</v>
      </c>
      <c r="D42" s="3">
        <f>IF(ROW()-1&lt;=0,"",IF(ROW()-1&lt;=$L$2,IFERROR(INDEX(MCQ!$A:$K,ROW()-1+1,4),""),IF(ROW()-1&lt;=$L$2+$M$2,IFERROR(INDEX(CLOZE_AB!$A:$K,ROW()-1-$L$2+1,4),""),IF(ROW()-1&lt;=$L$2+$M$2+$N$2,IFERROR(INDEX(CLOZE_LIST!$A:$K,ROW()-1-$L$2-$M$2+1,4),""),IF(ROW()-1&lt;=$L$2+$M$2+$N$2+$O$2,IFERROR(INDEX(PROFORMA!$A:$K,ROW()-1-$L$2-$M$2-$N$2+1,4),""),"")))))</f>
        <v>0</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0</v>
      </c>
      <c r="G42" s="3">
        <f>IF(ROW()-1&lt;=0,"",IF(ROW()-1&lt;=$L$2,IFERROR(INDEX(MCQ!$A:$K,ROW()-1+1,7),""),IF(ROW()-1&lt;=$L$2+$M$2,IFERROR(INDEX(CLOZE_AB!$A:$K,ROW()-1-$L$2+1,7),""),IF(ROW()-1&lt;=$L$2+$M$2+$N$2,IFERROR(INDEX(CLOZE_LIST!$A:$K,ROW()-1-$L$2-$M$2+1,7),""),IF(ROW()-1&lt;=$L$2+$M$2+$N$2+$O$2,IFERROR(INDEX(PROFORMA!$A:$K,ROW()-1-$L$2-$M$2-$N$2+1,7),""),"")))))</f>
        <v>0</v>
      </c>
      <c r="H42" s="3">
        <f>IF(ROW()-1&lt;=0,"",IF(ROW()-1&lt;=$L$2,IFERROR(INDEX(MCQ!$A:$K,ROW()-1+1,8),""),IF(ROW()-1&lt;=$L$2+$M$2,IFERROR(INDEX(CLOZE_AB!$A:$K,ROW()-1-$L$2+1,8),""),IF(ROW()-1&lt;=$L$2+$M$2+$N$2,IFERROR(INDEX(CLOZE_LIST!$A:$K,ROW()-1-$L$2-$M$2+1,8),""),IF(ROW()-1&lt;=$L$2+$M$2+$N$2+$O$2,IFERROR(INDEX(PROFORMA!$A:$K,ROW()-1-$L$2-$M$2-$N$2+1,8),""),"")))))</f>
        <v>0</v>
      </c>
      <c r="I42" s="3">
        <f>IF(ROW()-1&lt;=0,"",IF(ROW()-1&lt;=$L$2,IFERROR(INDEX(MCQ!$A:$K,ROW()-1+1,9),""),IF(ROW()-1&lt;=$L$2+$M$2,IFERROR(INDEX(CLOZE_AB!$A:$K,ROW()-1-$L$2+1,9),""),IF(ROW()-1&lt;=$L$2+$M$2+$N$2,IFERROR(INDEX(CLOZE_LIST!$A:$K,ROW()-1-$L$2-$M$2+1,9),""),IF(ROW()-1&lt;=$L$2+$M$2+$N$2+$O$2,IFERROR(INDEX(PROFORMA!$A:$K,ROW()-1-$L$2-$M$2-$N$2+1,9),""),"")))))</f>
        <v>0</v>
      </c>
      <c r="J42" s="3">
        <f>IF(ROW()-1&lt;=0,"",IF(ROW()-1&lt;=$L$2,IFERROR(INDEX(MCQ!$A:$K,ROW()-1+1,10),""),IF(ROW()-1&lt;=$L$2+$M$2,IFERROR(INDEX(CLOZE_AB!$A:$K,ROW()-1-$L$2+1,10),""),IF(ROW()-1&lt;=$L$2+$M$2+$N$2,IFERROR(INDEX(CLOZE_LIST!$A:$K,ROW()-1-$L$2-$M$2+1,10),""),IF(ROW()-1&lt;=$L$2+$M$2+$N$2+$O$2,IFERROR(INDEX(PROFORMA!$A:$K,ROW()-1-$L$2-$M$2-$N$2+1,10),""),"")))))</f>
        <v>0</v>
      </c>
      <c r="K42" s="3">
        <f>IF(ROW()-1&lt;=0,"",IF(ROW()-1&lt;=$L$2,IFERROR(INDEX(MCQ!$A:$K,ROW()-1+1,11),""),IF(ROW()-1&lt;=$L$2+$M$2,IFERROR(INDEX(CLOZE_AB!$A:$K,ROW()-1-$L$2+1,11),""),IF(ROW()-1&lt;=$L$2+$M$2+$N$2,IFERROR(INDEX(CLOZE_LIST!$A:$K,ROW()-1-$L$2-$M$2+1,11),""),IF(ROW()-1&lt;=$L$2+$M$2+$N$2+$O$2,IFERROR(INDEX(PROFORMA!$A:$K,ROW()-1-$L$2-$M$2-$N$2+1,11),""),"")))))</f>
        <v>0</v>
      </c>
      <c r="L42" s="3">
        <f>COUNTA(MCQ!$A:$A)-1</f>
        <v>143</v>
      </c>
      <c r="M42" s="3">
        <f>COUNTA(CLOZE_AB!$A:$A)-1</f>
        <v>168</v>
      </c>
      <c r="N42" s="3">
        <f>COUNTA(CLOZE_LIST!$A:$A)-1</f>
        <v>199</v>
      </c>
      <c r="O42" s="3">
        <f>COUNTA(PROFORMA!$A:$A)-1</f>
        <v>199</v>
      </c>
    </row>
    <row r="43" spans="1:15" x14ac:dyDescent="0.3">
      <c r="A43" s="3" t="str">
        <f>IF(ROW()-1&lt;=0,"",IF(ROW()-1&lt;=$L$2,IFERROR(INDEX(MCQ!$A:$K,ROW()-1+1,1),""),IF(ROW()-1&lt;=$L$2+$M$2,IFERROR(INDEX(CLOZE_AB!$A:$K,ROW()-1-$L$2+1,1),""),IF(ROW()-1&lt;=$L$2+$M$2+$N$2,IFERROR(INDEX(CLOZE_LIST!$A:$K,ROW()-1-$L$2-$M$2+1,1),""),IF(ROW()-1&lt;=$L$2+$M$2+$N$2+$O$2,IFERROR(INDEX(PROFORMA!$A:$K,ROW()-1-$L$2-$M$2-$N$2+1,1),""),"")))))</f>
        <v/>
      </c>
      <c r="B43" s="3">
        <f>IF(ROW()-1&lt;=0,"",IF(ROW()-1&lt;=$L$2,IFERROR(INDEX(MCQ!$A:$K,ROW()-1+1,2),""),IF(ROW()-1&lt;=$L$2+$M$2,IFERROR(INDEX(CLOZE_AB!$A:$K,ROW()-1-$L$2+1,2),""),IF(ROW()-1&lt;=$L$2+$M$2+$N$2,IFERROR(INDEX(CLOZE_LIST!$A:$K,ROW()-1-$L$2-$M$2+1,2),""),IF(ROW()-1&lt;=$L$2+$M$2+$N$2+$O$2,IFERROR(INDEX(PROFORMA!$A:$K,ROW()-1-$L$2-$M$2-$N$2+1,2),""),"")))))</f>
        <v>0</v>
      </c>
      <c r="C43" s="3">
        <f>IF(ROW()-1&lt;=0,"",IF(ROW()-1&lt;=$L$2,IFERROR(INDEX(MCQ!$A:$K,ROW()-1+1,3),""),IF(ROW()-1&lt;=$L$2+$M$2,IFERROR(INDEX(CLOZE_AB!$A:$K,ROW()-1-$L$2+1,3),""),IF(ROW()-1&lt;=$L$2+$M$2+$N$2,IFERROR(INDEX(CLOZE_LIST!$A:$K,ROW()-1-$L$2-$M$2+1,3),""),IF(ROW()-1&lt;=$L$2+$M$2+$N$2+$O$2,IFERROR(INDEX(PROFORMA!$A:$K,ROW()-1-$L$2-$M$2-$N$2+1,3),""),"")))))</f>
        <v>0</v>
      </c>
      <c r="D43" s="3">
        <f>IF(ROW()-1&lt;=0,"",IF(ROW()-1&lt;=$L$2,IFERROR(INDEX(MCQ!$A:$K,ROW()-1+1,4),""),IF(ROW()-1&lt;=$L$2+$M$2,IFERROR(INDEX(CLOZE_AB!$A:$K,ROW()-1-$L$2+1,4),""),IF(ROW()-1&lt;=$L$2+$M$2+$N$2,IFERROR(INDEX(CLOZE_LIST!$A:$K,ROW()-1-$L$2-$M$2+1,4),""),IF(ROW()-1&lt;=$L$2+$M$2+$N$2+$O$2,IFERROR(INDEX(PROFORMA!$A:$K,ROW()-1-$L$2-$M$2-$N$2+1,4),""),"")))))</f>
        <v>0</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0</v>
      </c>
      <c r="G43" s="3">
        <f>IF(ROW()-1&lt;=0,"",IF(ROW()-1&lt;=$L$2,IFERROR(INDEX(MCQ!$A:$K,ROW()-1+1,7),""),IF(ROW()-1&lt;=$L$2+$M$2,IFERROR(INDEX(CLOZE_AB!$A:$K,ROW()-1-$L$2+1,7),""),IF(ROW()-1&lt;=$L$2+$M$2+$N$2,IFERROR(INDEX(CLOZE_LIST!$A:$K,ROW()-1-$L$2-$M$2+1,7),""),IF(ROW()-1&lt;=$L$2+$M$2+$N$2+$O$2,IFERROR(INDEX(PROFORMA!$A:$K,ROW()-1-$L$2-$M$2-$N$2+1,7),""),"")))))</f>
        <v>0</v>
      </c>
      <c r="H43" s="3">
        <f>IF(ROW()-1&lt;=0,"",IF(ROW()-1&lt;=$L$2,IFERROR(INDEX(MCQ!$A:$K,ROW()-1+1,8),""),IF(ROW()-1&lt;=$L$2+$M$2,IFERROR(INDEX(CLOZE_AB!$A:$K,ROW()-1-$L$2+1,8),""),IF(ROW()-1&lt;=$L$2+$M$2+$N$2,IFERROR(INDEX(CLOZE_LIST!$A:$K,ROW()-1-$L$2-$M$2+1,8),""),IF(ROW()-1&lt;=$L$2+$M$2+$N$2+$O$2,IFERROR(INDEX(PROFORMA!$A:$K,ROW()-1-$L$2-$M$2-$N$2+1,8),""),"")))))</f>
        <v>0</v>
      </c>
      <c r="I43" s="3">
        <f>IF(ROW()-1&lt;=0,"",IF(ROW()-1&lt;=$L$2,IFERROR(INDEX(MCQ!$A:$K,ROW()-1+1,9),""),IF(ROW()-1&lt;=$L$2+$M$2,IFERROR(INDEX(CLOZE_AB!$A:$K,ROW()-1-$L$2+1,9),""),IF(ROW()-1&lt;=$L$2+$M$2+$N$2,IFERROR(INDEX(CLOZE_LIST!$A:$K,ROW()-1-$L$2-$M$2+1,9),""),IF(ROW()-1&lt;=$L$2+$M$2+$N$2+$O$2,IFERROR(INDEX(PROFORMA!$A:$K,ROW()-1-$L$2-$M$2-$N$2+1,9),""),"")))))</f>
        <v>0</v>
      </c>
      <c r="J43" s="3">
        <f>IF(ROW()-1&lt;=0,"",IF(ROW()-1&lt;=$L$2,IFERROR(INDEX(MCQ!$A:$K,ROW()-1+1,10),""),IF(ROW()-1&lt;=$L$2+$M$2,IFERROR(INDEX(CLOZE_AB!$A:$K,ROW()-1-$L$2+1,10),""),IF(ROW()-1&lt;=$L$2+$M$2+$N$2,IFERROR(INDEX(CLOZE_LIST!$A:$K,ROW()-1-$L$2-$M$2+1,10),""),IF(ROW()-1&lt;=$L$2+$M$2+$N$2+$O$2,IFERROR(INDEX(PROFORMA!$A:$K,ROW()-1-$L$2-$M$2-$N$2+1,10),""),"")))))</f>
        <v>0</v>
      </c>
      <c r="K43" s="3">
        <f>IF(ROW()-1&lt;=0,"",IF(ROW()-1&lt;=$L$2,IFERROR(INDEX(MCQ!$A:$K,ROW()-1+1,11),""),IF(ROW()-1&lt;=$L$2+$M$2,IFERROR(INDEX(CLOZE_AB!$A:$K,ROW()-1-$L$2+1,11),""),IF(ROW()-1&lt;=$L$2+$M$2+$N$2,IFERROR(INDEX(CLOZE_LIST!$A:$K,ROW()-1-$L$2-$M$2+1,11),""),IF(ROW()-1&lt;=$L$2+$M$2+$N$2+$O$2,IFERROR(INDEX(PROFORMA!$A:$K,ROW()-1-$L$2-$M$2-$N$2+1,11),""),"")))))</f>
        <v>0</v>
      </c>
      <c r="L43" s="3">
        <f>COUNTA(MCQ!$A:$A)-1</f>
        <v>143</v>
      </c>
      <c r="M43" s="3">
        <f>COUNTA(CLOZE_AB!$A:$A)-1</f>
        <v>168</v>
      </c>
      <c r="N43" s="3">
        <f>COUNTA(CLOZE_LIST!$A:$A)-1</f>
        <v>199</v>
      </c>
      <c r="O43" s="3">
        <f>COUNTA(PROFORMA!$A:$A)-1</f>
        <v>199</v>
      </c>
    </row>
    <row r="44" spans="1:15" x14ac:dyDescent="0.3">
      <c r="A44" s="3" t="str">
        <f>IF(ROW()-1&lt;=0,"",IF(ROW()-1&lt;=$L$2,IFERROR(INDEX(MCQ!$A:$K,ROW()-1+1,1),""),IF(ROW()-1&lt;=$L$2+$M$2,IFERROR(INDEX(CLOZE_AB!$A:$K,ROW()-1-$L$2+1,1),""),IF(ROW()-1&lt;=$L$2+$M$2+$N$2,IFERROR(INDEX(CLOZE_LIST!$A:$K,ROW()-1-$L$2-$M$2+1,1),""),IF(ROW()-1&lt;=$L$2+$M$2+$N$2+$O$2,IFERROR(INDEX(PROFORMA!$A:$K,ROW()-1-$L$2-$M$2-$N$2+1,1),""),"")))))</f>
        <v/>
      </c>
      <c r="B44" s="3">
        <f>IF(ROW()-1&lt;=0,"",IF(ROW()-1&lt;=$L$2,IFERROR(INDEX(MCQ!$A:$K,ROW()-1+1,2),""),IF(ROW()-1&lt;=$L$2+$M$2,IFERROR(INDEX(CLOZE_AB!$A:$K,ROW()-1-$L$2+1,2),""),IF(ROW()-1&lt;=$L$2+$M$2+$N$2,IFERROR(INDEX(CLOZE_LIST!$A:$K,ROW()-1-$L$2-$M$2+1,2),""),IF(ROW()-1&lt;=$L$2+$M$2+$N$2+$O$2,IFERROR(INDEX(PROFORMA!$A:$K,ROW()-1-$L$2-$M$2-$N$2+1,2),""),"")))))</f>
        <v>0</v>
      </c>
      <c r="C44" s="3">
        <f>IF(ROW()-1&lt;=0,"",IF(ROW()-1&lt;=$L$2,IFERROR(INDEX(MCQ!$A:$K,ROW()-1+1,3),""),IF(ROW()-1&lt;=$L$2+$M$2,IFERROR(INDEX(CLOZE_AB!$A:$K,ROW()-1-$L$2+1,3),""),IF(ROW()-1&lt;=$L$2+$M$2+$N$2,IFERROR(INDEX(CLOZE_LIST!$A:$K,ROW()-1-$L$2-$M$2+1,3),""),IF(ROW()-1&lt;=$L$2+$M$2+$N$2+$O$2,IFERROR(INDEX(PROFORMA!$A:$K,ROW()-1-$L$2-$M$2-$N$2+1,3),""),"")))))</f>
        <v>0</v>
      </c>
      <c r="D44" s="3">
        <f>IF(ROW()-1&lt;=0,"",IF(ROW()-1&lt;=$L$2,IFERROR(INDEX(MCQ!$A:$K,ROW()-1+1,4),""),IF(ROW()-1&lt;=$L$2+$M$2,IFERROR(INDEX(CLOZE_AB!$A:$K,ROW()-1-$L$2+1,4),""),IF(ROW()-1&lt;=$L$2+$M$2+$N$2,IFERROR(INDEX(CLOZE_LIST!$A:$K,ROW()-1-$L$2-$M$2+1,4),""),IF(ROW()-1&lt;=$L$2+$M$2+$N$2+$O$2,IFERROR(INDEX(PROFORMA!$A:$K,ROW()-1-$L$2-$M$2-$N$2+1,4),""),"")))))</f>
        <v>0</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0</v>
      </c>
      <c r="G44" s="3">
        <f>IF(ROW()-1&lt;=0,"",IF(ROW()-1&lt;=$L$2,IFERROR(INDEX(MCQ!$A:$K,ROW()-1+1,7),""),IF(ROW()-1&lt;=$L$2+$M$2,IFERROR(INDEX(CLOZE_AB!$A:$K,ROW()-1-$L$2+1,7),""),IF(ROW()-1&lt;=$L$2+$M$2+$N$2,IFERROR(INDEX(CLOZE_LIST!$A:$K,ROW()-1-$L$2-$M$2+1,7),""),IF(ROW()-1&lt;=$L$2+$M$2+$N$2+$O$2,IFERROR(INDEX(PROFORMA!$A:$K,ROW()-1-$L$2-$M$2-$N$2+1,7),""),"")))))</f>
        <v>0</v>
      </c>
      <c r="H44" s="3">
        <f>IF(ROW()-1&lt;=0,"",IF(ROW()-1&lt;=$L$2,IFERROR(INDEX(MCQ!$A:$K,ROW()-1+1,8),""),IF(ROW()-1&lt;=$L$2+$M$2,IFERROR(INDEX(CLOZE_AB!$A:$K,ROW()-1-$L$2+1,8),""),IF(ROW()-1&lt;=$L$2+$M$2+$N$2,IFERROR(INDEX(CLOZE_LIST!$A:$K,ROW()-1-$L$2-$M$2+1,8),""),IF(ROW()-1&lt;=$L$2+$M$2+$N$2+$O$2,IFERROR(INDEX(PROFORMA!$A:$K,ROW()-1-$L$2-$M$2-$N$2+1,8),""),"")))))</f>
        <v>0</v>
      </c>
      <c r="I44" s="3">
        <f>IF(ROW()-1&lt;=0,"",IF(ROW()-1&lt;=$L$2,IFERROR(INDEX(MCQ!$A:$K,ROW()-1+1,9),""),IF(ROW()-1&lt;=$L$2+$M$2,IFERROR(INDEX(CLOZE_AB!$A:$K,ROW()-1-$L$2+1,9),""),IF(ROW()-1&lt;=$L$2+$M$2+$N$2,IFERROR(INDEX(CLOZE_LIST!$A:$K,ROW()-1-$L$2-$M$2+1,9),""),IF(ROW()-1&lt;=$L$2+$M$2+$N$2+$O$2,IFERROR(INDEX(PROFORMA!$A:$K,ROW()-1-$L$2-$M$2-$N$2+1,9),""),"")))))</f>
        <v>0</v>
      </c>
      <c r="J44" s="3">
        <f>IF(ROW()-1&lt;=0,"",IF(ROW()-1&lt;=$L$2,IFERROR(INDEX(MCQ!$A:$K,ROW()-1+1,10),""),IF(ROW()-1&lt;=$L$2+$M$2,IFERROR(INDEX(CLOZE_AB!$A:$K,ROW()-1-$L$2+1,10),""),IF(ROW()-1&lt;=$L$2+$M$2+$N$2,IFERROR(INDEX(CLOZE_LIST!$A:$K,ROW()-1-$L$2-$M$2+1,10),""),IF(ROW()-1&lt;=$L$2+$M$2+$N$2+$O$2,IFERROR(INDEX(PROFORMA!$A:$K,ROW()-1-$L$2-$M$2-$N$2+1,10),""),"")))))</f>
        <v>0</v>
      </c>
      <c r="K44" s="3">
        <f>IF(ROW()-1&lt;=0,"",IF(ROW()-1&lt;=$L$2,IFERROR(INDEX(MCQ!$A:$K,ROW()-1+1,11),""),IF(ROW()-1&lt;=$L$2+$M$2,IFERROR(INDEX(CLOZE_AB!$A:$K,ROW()-1-$L$2+1,11),""),IF(ROW()-1&lt;=$L$2+$M$2+$N$2,IFERROR(INDEX(CLOZE_LIST!$A:$K,ROW()-1-$L$2-$M$2+1,11),""),IF(ROW()-1&lt;=$L$2+$M$2+$N$2+$O$2,IFERROR(INDEX(PROFORMA!$A:$K,ROW()-1-$L$2-$M$2-$N$2+1,11),""),"")))))</f>
        <v>0</v>
      </c>
      <c r="L44" s="3">
        <f>COUNTA(MCQ!$A:$A)-1</f>
        <v>143</v>
      </c>
      <c r="M44" s="3">
        <f>COUNTA(CLOZE_AB!$A:$A)-1</f>
        <v>168</v>
      </c>
      <c r="N44" s="3">
        <f>COUNTA(CLOZE_LIST!$A:$A)-1</f>
        <v>199</v>
      </c>
      <c r="O44" s="3">
        <f>COUNTA(PROFORMA!$A:$A)-1</f>
        <v>199</v>
      </c>
    </row>
    <row r="45" spans="1:15" x14ac:dyDescent="0.3">
      <c r="A45" s="3" t="str">
        <f>IF(ROW()-1&lt;=0,"",IF(ROW()-1&lt;=$L$2,IFERROR(INDEX(MCQ!$A:$K,ROW()-1+1,1),""),IF(ROW()-1&lt;=$L$2+$M$2,IFERROR(INDEX(CLOZE_AB!$A:$K,ROW()-1-$L$2+1,1),""),IF(ROW()-1&lt;=$L$2+$M$2+$N$2,IFERROR(INDEX(CLOZE_LIST!$A:$K,ROW()-1-$L$2-$M$2+1,1),""),IF(ROW()-1&lt;=$L$2+$M$2+$N$2+$O$2,IFERROR(INDEX(PROFORMA!$A:$K,ROW()-1-$L$2-$M$2-$N$2+1,1),""),"")))))</f>
        <v/>
      </c>
      <c r="B45" s="3">
        <f>IF(ROW()-1&lt;=0,"",IF(ROW()-1&lt;=$L$2,IFERROR(INDEX(MCQ!$A:$K,ROW()-1+1,2),""),IF(ROW()-1&lt;=$L$2+$M$2,IFERROR(INDEX(CLOZE_AB!$A:$K,ROW()-1-$L$2+1,2),""),IF(ROW()-1&lt;=$L$2+$M$2+$N$2,IFERROR(INDEX(CLOZE_LIST!$A:$K,ROW()-1-$L$2-$M$2+1,2),""),IF(ROW()-1&lt;=$L$2+$M$2+$N$2+$O$2,IFERROR(INDEX(PROFORMA!$A:$K,ROW()-1-$L$2-$M$2-$N$2+1,2),""),"")))))</f>
        <v>0</v>
      </c>
      <c r="C45" s="3">
        <f>IF(ROW()-1&lt;=0,"",IF(ROW()-1&lt;=$L$2,IFERROR(INDEX(MCQ!$A:$K,ROW()-1+1,3),""),IF(ROW()-1&lt;=$L$2+$M$2,IFERROR(INDEX(CLOZE_AB!$A:$K,ROW()-1-$L$2+1,3),""),IF(ROW()-1&lt;=$L$2+$M$2+$N$2,IFERROR(INDEX(CLOZE_LIST!$A:$K,ROW()-1-$L$2-$M$2+1,3),""),IF(ROW()-1&lt;=$L$2+$M$2+$N$2+$O$2,IFERROR(INDEX(PROFORMA!$A:$K,ROW()-1-$L$2-$M$2-$N$2+1,3),""),"")))))</f>
        <v>0</v>
      </c>
      <c r="D45" s="3">
        <f>IF(ROW()-1&lt;=0,"",IF(ROW()-1&lt;=$L$2,IFERROR(INDEX(MCQ!$A:$K,ROW()-1+1,4),""),IF(ROW()-1&lt;=$L$2+$M$2,IFERROR(INDEX(CLOZE_AB!$A:$K,ROW()-1-$L$2+1,4),""),IF(ROW()-1&lt;=$L$2+$M$2+$N$2,IFERROR(INDEX(CLOZE_LIST!$A:$K,ROW()-1-$L$2-$M$2+1,4),""),IF(ROW()-1&lt;=$L$2+$M$2+$N$2+$O$2,IFERROR(INDEX(PROFORMA!$A:$K,ROW()-1-$L$2-$M$2-$N$2+1,4),""),"")))))</f>
        <v>0</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0</v>
      </c>
      <c r="G45" s="3">
        <f>IF(ROW()-1&lt;=0,"",IF(ROW()-1&lt;=$L$2,IFERROR(INDEX(MCQ!$A:$K,ROW()-1+1,7),""),IF(ROW()-1&lt;=$L$2+$M$2,IFERROR(INDEX(CLOZE_AB!$A:$K,ROW()-1-$L$2+1,7),""),IF(ROW()-1&lt;=$L$2+$M$2+$N$2,IFERROR(INDEX(CLOZE_LIST!$A:$K,ROW()-1-$L$2-$M$2+1,7),""),IF(ROW()-1&lt;=$L$2+$M$2+$N$2+$O$2,IFERROR(INDEX(PROFORMA!$A:$K,ROW()-1-$L$2-$M$2-$N$2+1,7),""),"")))))</f>
        <v>0</v>
      </c>
      <c r="H45" s="3">
        <f>IF(ROW()-1&lt;=0,"",IF(ROW()-1&lt;=$L$2,IFERROR(INDEX(MCQ!$A:$K,ROW()-1+1,8),""),IF(ROW()-1&lt;=$L$2+$M$2,IFERROR(INDEX(CLOZE_AB!$A:$K,ROW()-1-$L$2+1,8),""),IF(ROW()-1&lt;=$L$2+$M$2+$N$2,IFERROR(INDEX(CLOZE_LIST!$A:$K,ROW()-1-$L$2-$M$2+1,8),""),IF(ROW()-1&lt;=$L$2+$M$2+$N$2+$O$2,IFERROR(INDEX(PROFORMA!$A:$K,ROW()-1-$L$2-$M$2-$N$2+1,8),""),"")))))</f>
        <v>0</v>
      </c>
      <c r="I45" s="3">
        <f>IF(ROW()-1&lt;=0,"",IF(ROW()-1&lt;=$L$2,IFERROR(INDEX(MCQ!$A:$K,ROW()-1+1,9),""),IF(ROW()-1&lt;=$L$2+$M$2,IFERROR(INDEX(CLOZE_AB!$A:$K,ROW()-1-$L$2+1,9),""),IF(ROW()-1&lt;=$L$2+$M$2+$N$2,IFERROR(INDEX(CLOZE_LIST!$A:$K,ROW()-1-$L$2-$M$2+1,9),""),IF(ROW()-1&lt;=$L$2+$M$2+$N$2+$O$2,IFERROR(INDEX(PROFORMA!$A:$K,ROW()-1-$L$2-$M$2-$N$2+1,9),""),"")))))</f>
        <v>0</v>
      </c>
      <c r="J45" s="3">
        <f>IF(ROW()-1&lt;=0,"",IF(ROW()-1&lt;=$L$2,IFERROR(INDEX(MCQ!$A:$K,ROW()-1+1,10),""),IF(ROW()-1&lt;=$L$2+$M$2,IFERROR(INDEX(CLOZE_AB!$A:$K,ROW()-1-$L$2+1,10),""),IF(ROW()-1&lt;=$L$2+$M$2+$N$2,IFERROR(INDEX(CLOZE_LIST!$A:$K,ROW()-1-$L$2-$M$2+1,10),""),IF(ROW()-1&lt;=$L$2+$M$2+$N$2+$O$2,IFERROR(INDEX(PROFORMA!$A:$K,ROW()-1-$L$2-$M$2-$N$2+1,10),""),"")))))</f>
        <v>0</v>
      </c>
      <c r="K45" s="3">
        <f>IF(ROW()-1&lt;=0,"",IF(ROW()-1&lt;=$L$2,IFERROR(INDEX(MCQ!$A:$K,ROW()-1+1,11),""),IF(ROW()-1&lt;=$L$2+$M$2,IFERROR(INDEX(CLOZE_AB!$A:$K,ROW()-1-$L$2+1,11),""),IF(ROW()-1&lt;=$L$2+$M$2+$N$2,IFERROR(INDEX(CLOZE_LIST!$A:$K,ROW()-1-$L$2-$M$2+1,11),""),IF(ROW()-1&lt;=$L$2+$M$2+$N$2+$O$2,IFERROR(INDEX(PROFORMA!$A:$K,ROW()-1-$L$2-$M$2-$N$2+1,11),""),"")))))</f>
        <v>0</v>
      </c>
      <c r="L45" s="3">
        <f>COUNTA(MCQ!$A:$A)-1</f>
        <v>143</v>
      </c>
      <c r="M45" s="3">
        <f>COUNTA(CLOZE_AB!$A:$A)-1</f>
        <v>168</v>
      </c>
      <c r="N45" s="3">
        <f>COUNTA(CLOZE_LIST!$A:$A)-1</f>
        <v>199</v>
      </c>
      <c r="O45" s="3">
        <f>COUNTA(PROFORMA!$A:$A)-1</f>
        <v>199</v>
      </c>
    </row>
    <row r="46" spans="1:15" x14ac:dyDescent="0.3">
      <c r="A46" s="3" t="str">
        <f>IF(ROW()-1&lt;=0,"",IF(ROW()-1&lt;=$L$2,IFERROR(INDEX(MCQ!$A:$K,ROW()-1+1,1),""),IF(ROW()-1&lt;=$L$2+$M$2,IFERROR(INDEX(CLOZE_AB!$A:$K,ROW()-1-$L$2+1,1),""),IF(ROW()-1&lt;=$L$2+$M$2+$N$2,IFERROR(INDEX(CLOZE_LIST!$A:$K,ROW()-1-$L$2-$M$2+1,1),""),IF(ROW()-1&lt;=$L$2+$M$2+$N$2+$O$2,IFERROR(INDEX(PROFORMA!$A:$K,ROW()-1-$L$2-$M$2-$N$2+1,1),""),"")))))</f>
        <v/>
      </c>
      <c r="B46" s="3">
        <f>IF(ROW()-1&lt;=0,"",IF(ROW()-1&lt;=$L$2,IFERROR(INDEX(MCQ!$A:$K,ROW()-1+1,2),""),IF(ROW()-1&lt;=$L$2+$M$2,IFERROR(INDEX(CLOZE_AB!$A:$K,ROW()-1-$L$2+1,2),""),IF(ROW()-1&lt;=$L$2+$M$2+$N$2,IFERROR(INDEX(CLOZE_LIST!$A:$K,ROW()-1-$L$2-$M$2+1,2),""),IF(ROW()-1&lt;=$L$2+$M$2+$N$2+$O$2,IFERROR(INDEX(PROFORMA!$A:$K,ROW()-1-$L$2-$M$2-$N$2+1,2),""),"")))))</f>
        <v>0</v>
      </c>
      <c r="C46" s="3">
        <f>IF(ROW()-1&lt;=0,"",IF(ROW()-1&lt;=$L$2,IFERROR(INDEX(MCQ!$A:$K,ROW()-1+1,3),""),IF(ROW()-1&lt;=$L$2+$M$2,IFERROR(INDEX(CLOZE_AB!$A:$K,ROW()-1-$L$2+1,3),""),IF(ROW()-1&lt;=$L$2+$M$2+$N$2,IFERROR(INDEX(CLOZE_LIST!$A:$K,ROW()-1-$L$2-$M$2+1,3),""),IF(ROW()-1&lt;=$L$2+$M$2+$N$2+$O$2,IFERROR(INDEX(PROFORMA!$A:$K,ROW()-1-$L$2-$M$2-$N$2+1,3),""),"")))))</f>
        <v>0</v>
      </c>
      <c r="D46" s="3">
        <f>IF(ROW()-1&lt;=0,"",IF(ROW()-1&lt;=$L$2,IFERROR(INDEX(MCQ!$A:$K,ROW()-1+1,4),""),IF(ROW()-1&lt;=$L$2+$M$2,IFERROR(INDEX(CLOZE_AB!$A:$K,ROW()-1-$L$2+1,4),""),IF(ROW()-1&lt;=$L$2+$M$2+$N$2,IFERROR(INDEX(CLOZE_LIST!$A:$K,ROW()-1-$L$2-$M$2+1,4),""),IF(ROW()-1&lt;=$L$2+$M$2+$N$2+$O$2,IFERROR(INDEX(PROFORMA!$A:$K,ROW()-1-$L$2-$M$2-$N$2+1,4),""),"")))))</f>
        <v>0</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0</v>
      </c>
      <c r="G46" s="3">
        <f>IF(ROW()-1&lt;=0,"",IF(ROW()-1&lt;=$L$2,IFERROR(INDEX(MCQ!$A:$K,ROW()-1+1,7),""),IF(ROW()-1&lt;=$L$2+$M$2,IFERROR(INDEX(CLOZE_AB!$A:$K,ROW()-1-$L$2+1,7),""),IF(ROW()-1&lt;=$L$2+$M$2+$N$2,IFERROR(INDEX(CLOZE_LIST!$A:$K,ROW()-1-$L$2-$M$2+1,7),""),IF(ROW()-1&lt;=$L$2+$M$2+$N$2+$O$2,IFERROR(INDEX(PROFORMA!$A:$K,ROW()-1-$L$2-$M$2-$N$2+1,7),""),"")))))</f>
        <v>0</v>
      </c>
      <c r="H46" s="3">
        <f>IF(ROW()-1&lt;=0,"",IF(ROW()-1&lt;=$L$2,IFERROR(INDEX(MCQ!$A:$K,ROW()-1+1,8),""),IF(ROW()-1&lt;=$L$2+$M$2,IFERROR(INDEX(CLOZE_AB!$A:$K,ROW()-1-$L$2+1,8),""),IF(ROW()-1&lt;=$L$2+$M$2+$N$2,IFERROR(INDEX(CLOZE_LIST!$A:$K,ROW()-1-$L$2-$M$2+1,8),""),IF(ROW()-1&lt;=$L$2+$M$2+$N$2+$O$2,IFERROR(INDEX(PROFORMA!$A:$K,ROW()-1-$L$2-$M$2-$N$2+1,8),""),"")))))</f>
        <v>0</v>
      </c>
      <c r="I46" s="3">
        <f>IF(ROW()-1&lt;=0,"",IF(ROW()-1&lt;=$L$2,IFERROR(INDEX(MCQ!$A:$K,ROW()-1+1,9),""),IF(ROW()-1&lt;=$L$2+$M$2,IFERROR(INDEX(CLOZE_AB!$A:$K,ROW()-1-$L$2+1,9),""),IF(ROW()-1&lt;=$L$2+$M$2+$N$2,IFERROR(INDEX(CLOZE_LIST!$A:$K,ROW()-1-$L$2-$M$2+1,9),""),IF(ROW()-1&lt;=$L$2+$M$2+$N$2+$O$2,IFERROR(INDEX(PROFORMA!$A:$K,ROW()-1-$L$2-$M$2-$N$2+1,9),""),"")))))</f>
        <v>0</v>
      </c>
      <c r="J46" s="3">
        <f>IF(ROW()-1&lt;=0,"",IF(ROW()-1&lt;=$L$2,IFERROR(INDEX(MCQ!$A:$K,ROW()-1+1,10),""),IF(ROW()-1&lt;=$L$2+$M$2,IFERROR(INDEX(CLOZE_AB!$A:$K,ROW()-1-$L$2+1,10),""),IF(ROW()-1&lt;=$L$2+$M$2+$N$2,IFERROR(INDEX(CLOZE_LIST!$A:$K,ROW()-1-$L$2-$M$2+1,10),""),IF(ROW()-1&lt;=$L$2+$M$2+$N$2+$O$2,IFERROR(INDEX(PROFORMA!$A:$K,ROW()-1-$L$2-$M$2-$N$2+1,10),""),"")))))</f>
        <v>0</v>
      </c>
      <c r="K46" s="3">
        <f>IF(ROW()-1&lt;=0,"",IF(ROW()-1&lt;=$L$2,IFERROR(INDEX(MCQ!$A:$K,ROW()-1+1,11),""),IF(ROW()-1&lt;=$L$2+$M$2,IFERROR(INDEX(CLOZE_AB!$A:$K,ROW()-1-$L$2+1,11),""),IF(ROW()-1&lt;=$L$2+$M$2+$N$2,IFERROR(INDEX(CLOZE_LIST!$A:$K,ROW()-1-$L$2-$M$2+1,11),""),IF(ROW()-1&lt;=$L$2+$M$2+$N$2+$O$2,IFERROR(INDEX(PROFORMA!$A:$K,ROW()-1-$L$2-$M$2-$N$2+1,11),""),"")))))</f>
        <v>0</v>
      </c>
      <c r="L46" s="3">
        <f>COUNTA(MCQ!$A:$A)-1</f>
        <v>143</v>
      </c>
      <c r="M46" s="3">
        <f>COUNTA(CLOZE_AB!$A:$A)-1</f>
        <v>168</v>
      </c>
      <c r="N46" s="3">
        <f>COUNTA(CLOZE_LIST!$A:$A)-1</f>
        <v>199</v>
      </c>
      <c r="O46" s="3">
        <f>COUNTA(PROFORMA!$A:$A)-1</f>
        <v>199</v>
      </c>
    </row>
    <row r="47" spans="1:15" x14ac:dyDescent="0.3">
      <c r="A47" s="3" t="str">
        <f>IF(ROW()-1&lt;=0,"",IF(ROW()-1&lt;=$L$2,IFERROR(INDEX(MCQ!$A:$K,ROW()-1+1,1),""),IF(ROW()-1&lt;=$L$2+$M$2,IFERROR(INDEX(CLOZE_AB!$A:$K,ROW()-1-$L$2+1,1),""),IF(ROW()-1&lt;=$L$2+$M$2+$N$2,IFERROR(INDEX(CLOZE_LIST!$A:$K,ROW()-1-$L$2-$M$2+1,1),""),IF(ROW()-1&lt;=$L$2+$M$2+$N$2+$O$2,IFERROR(INDEX(PROFORMA!$A:$K,ROW()-1-$L$2-$M$2-$N$2+1,1),""),"")))))</f>
        <v/>
      </c>
      <c r="B47" s="3">
        <f>IF(ROW()-1&lt;=0,"",IF(ROW()-1&lt;=$L$2,IFERROR(INDEX(MCQ!$A:$K,ROW()-1+1,2),""),IF(ROW()-1&lt;=$L$2+$M$2,IFERROR(INDEX(CLOZE_AB!$A:$K,ROW()-1-$L$2+1,2),""),IF(ROW()-1&lt;=$L$2+$M$2+$N$2,IFERROR(INDEX(CLOZE_LIST!$A:$K,ROW()-1-$L$2-$M$2+1,2),""),IF(ROW()-1&lt;=$L$2+$M$2+$N$2+$O$2,IFERROR(INDEX(PROFORMA!$A:$K,ROW()-1-$L$2-$M$2-$N$2+1,2),""),"")))))</f>
        <v>0</v>
      </c>
      <c r="C47" s="3">
        <f>IF(ROW()-1&lt;=0,"",IF(ROW()-1&lt;=$L$2,IFERROR(INDEX(MCQ!$A:$K,ROW()-1+1,3),""),IF(ROW()-1&lt;=$L$2+$M$2,IFERROR(INDEX(CLOZE_AB!$A:$K,ROW()-1-$L$2+1,3),""),IF(ROW()-1&lt;=$L$2+$M$2+$N$2,IFERROR(INDEX(CLOZE_LIST!$A:$K,ROW()-1-$L$2-$M$2+1,3),""),IF(ROW()-1&lt;=$L$2+$M$2+$N$2+$O$2,IFERROR(INDEX(PROFORMA!$A:$K,ROW()-1-$L$2-$M$2-$N$2+1,3),""),"")))))</f>
        <v>0</v>
      </c>
      <c r="D47" s="3">
        <f>IF(ROW()-1&lt;=0,"",IF(ROW()-1&lt;=$L$2,IFERROR(INDEX(MCQ!$A:$K,ROW()-1+1,4),""),IF(ROW()-1&lt;=$L$2+$M$2,IFERROR(INDEX(CLOZE_AB!$A:$K,ROW()-1-$L$2+1,4),""),IF(ROW()-1&lt;=$L$2+$M$2+$N$2,IFERROR(INDEX(CLOZE_LIST!$A:$K,ROW()-1-$L$2-$M$2+1,4),""),IF(ROW()-1&lt;=$L$2+$M$2+$N$2+$O$2,IFERROR(INDEX(PROFORMA!$A:$K,ROW()-1-$L$2-$M$2-$N$2+1,4),""),"")))))</f>
        <v>0</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0</v>
      </c>
      <c r="G47" s="3">
        <f>IF(ROW()-1&lt;=0,"",IF(ROW()-1&lt;=$L$2,IFERROR(INDEX(MCQ!$A:$K,ROW()-1+1,7),""),IF(ROW()-1&lt;=$L$2+$M$2,IFERROR(INDEX(CLOZE_AB!$A:$K,ROW()-1-$L$2+1,7),""),IF(ROW()-1&lt;=$L$2+$M$2+$N$2,IFERROR(INDEX(CLOZE_LIST!$A:$K,ROW()-1-$L$2-$M$2+1,7),""),IF(ROW()-1&lt;=$L$2+$M$2+$N$2+$O$2,IFERROR(INDEX(PROFORMA!$A:$K,ROW()-1-$L$2-$M$2-$N$2+1,7),""),"")))))</f>
        <v>0</v>
      </c>
      <c r="H47" s="3">
        <f>IF(ROW()-1&lt;=0,"",IF(ROW()-1&lt;=$L$2,IFERROR(INDEX(MCQ!$A:$K,ROW()-1+1,8),""),IF(ROW()-1&lt;=$L$2+$M$2,IFERROR(INDEX(CLOZE_AB!$A:$K,ROW()-1-$L$2+1,8),""),IF(ROW()-1&lt;=$L$2+$M$2+$N$2,IFERROR(INDEX(CLOZE_LIST!$A:$K,ROW()-1-$L$2-$M$2+1,8),""),IF(ROW()-1&lt;=$L$2+$M$2+$N$2+$O$2,IFERROR(INDEX(PROFORMA!$A:$K,ROW()-1-$L$2-$M$2-$N$2+1,8),""),"")))))</f>
        <v>0</v>
      </c>
      <c r="I47" s="3">
        <f>IF(ROW()-1&lt;=0,"",IF(ROW()-1&lt;=$L$2,IFERROR(INDEX(MCQ!$A:$K,ROW()-1+1,9),""),IF(ROW()-1&lt;=$L$2+$M$2,IFERROR(INDEX(CLOZE_AB!$A:$K,ROW()-1-$L$2+1,9),""),IF(ROW()-1&lt;=$L$2+$M$2+$N$2,IFERROR(INDEX(CLOZE_LIST!$A:$K,ROW()-1-$L$2-$M$2+1,9),""),IF(ROW()-1&lt;=$L$2+$M$2+$N$2+$O$2,IFERROR(INDEX(PROFORMA!$A:$K,ROW()-1-$L$2-$M$2-$N$2+1,9),""),"")))))</f>
        <v>0</v>
      </c>
      <c r="J47" s="3">
        <f>IF(ROW()-1&lt;=0,"",IF(ROW()-1&lt;=$L$2,IFERROR(INDEX(MCQ!$A:$K,ROW()-1+1,10),""),IF(ROW()-1&lt;=$L$2+$M$2,IFERROR(INDEX(CLOZE_AB!$A:$K,ROW()-1-$L$2+1,10),""),IF(ROW()-1&lt;=$L$2+$M$2+$N$2,IFERROR(INDEX(CLOZE_LIST!$A:$K,ROW()-1-$L$2-$M$2+1,10),""),IF(ROW()-1&lt;=$L$2+$M$2+$N$2+$O$2,IFERROR(INDEX(PROFORMA!$A:$K,ROW()-1-$L$2-$M$2-$N$2+1,10),""),"")))))</f>
        <v>0</v>
      </c>
      <c r="K47" s="3">
        <f>IF(ROW()-1&lt;=0,"",IF(ROW()-1&lt;=$L$2,IFERROR(INDEX(MCQ!$A:$K,ROW()-1+1,11),""),IF(ROW()-1&lt;=$L$2+$M$2,IFERROR(INDEX(CLOZE_AB!$A:$K,ROW()-1-$L$2+1,11),""),IF(ROW()-1&lt;=$L$2+$M$2+$N$2,IFERROR(INDEX(CLOZE_LIST!$A:$K,ROW()-1-$L$2-$M$2+1,11),""),IF(ROW()-1&lt;=$L$2+$M$2+$N$2+$O$2,IFERROR(INDEX(PROFORMA!$A:$K,ROW()-1-$L$2-$M$2-$N$2+1,11),""),"")))))</f>
        <v>0</v>
      </c>
      <c r="L47" s="3">
        <f>COUNTA(MCQ!$A:$A)-1</f>
        <v>143</v>
      </c>
      <c r="M47" s="3">
        <f>COUNTA(CLOZE_AB!$A:$A)-1</f>
        <v>168</v>
      </c>
      <c r="N47" s="3">
        <f>COUNTA(CLOZE_LIST!$A:$A)-1</f>
        <v>199</v>
      </c>
      <c r="O47" s="3">
        <f>COUNTA(PROFORMA!$A:$A)-1</f>
        <v>199</v>
      </c>
    </row>
    <row r="48" spans="1:15" x14ac:dyDescent="0.3">
      <c r="A48" s="3" t="str">
        <f>IF(ROW()-1&lt;=0,"",IF(ROW()-1&lt;=$L$2,IFERROR(INDEX(MCQ!$A:$K,ROW()-1+1,1),""),IF(ROW()-1&lt;=$L$2+$M$2,IFERROR(INDEX(CLOZE_AB!$A:$K,ROW()-1-$L$2+1,1),""),IF(ROW()-1&lt;=$L$2+$M$2+$N$2,IFERROR(INDEX(CLOZE_LIST!$A:$K,ROW()-1-$L$2-$M$2+1,1),""),IF(ROW()-1&lt;=$L$2+$M$2+$N$2+$O$2,IFERROR(INDEX(PROFORMA!$A:$K,ROW()-1-$L$2-$M$2-$N$2+1,1),""),"")))))</f>
        <v/>
      </c>
      <c r="B48" s="3">
        <f>IF(ROW()-1&lt;=0,"",IF(ROW()-1&lt;=$L$2,IFERROR(INDEX(MCQ!$A:$K,ROW()-1+1,2),""),IF(ROW()-1&lt;=$L$2+$M$2,IFERROR(INDEX(CLOZE_AB!$A:$K,ROW()-1-$L$2+1,2),""),IF(ROW()-1&lt;=$L$2+$M$2+$N$2,IFERROR(INDEX(CLOZE_LIST!$A:$K,ROW()-1-$L$2-$M$2+1,2),""),IF(ROW()-1&lt;=$L$2+$M$2+$N$2+$O$2,IFERROR(INDEX(PROFORMA!$A:$K,ROW()-1-$L$2-$M$2-$N$2+1,2),""),"")))))</f>
        <v>0</v>
      </c>
      <c r="C48" s="3">
        <f>IF(ROW()-1&lt;=0,"",IF(ROW()-1&lt;=$L$2,IFERROR(INDEX(MCQ!$A:$K,ROW()-1+1,3),""),IF(ROW()-1&lt;=$L$2+$M$2,IFERROR(INDEX(CLOZE_AB!$A:$K,ROW()-1-$L$2+1,3),""),IF(ROW()-1&lt;=$L$2+$M$2+$N$2,IFERROR(INDEX(CLOZE_LIST!$A:$K,ROW()-1-$L$2-$M$2+1,3),""),IF(ROW()-1&lt;=$L$2+$M$2+$N$2+$O$2,IFERROR(INDEX(PROFORMA!$A:$K,ROW()-1-$L$2-$M$2-$N$2+1,3),""),"")))))</f>
        <v>0</v>
      </c>
      <c r="D48" s="3">
        <f>IF(ROW()-1&lt;=0,"",IF(ROW()-1&lt;=$L$2,IFERROR(INDEX(MCQ!$A:$K,ROW()-1+1,4),""),IF(ROW()-1&lt;=$L$2+$M$2,IFERROR(INDEX(CLOZE_AB!$A:$K,ROW()-1-$L$2+1,4),""),IF(ROW()-1&lt;=$L$2+$M$2+$N$2,IFERROR(INDEX(CLOZE_LIST!$A:$K,ROW()-1-$L$2-$M$2+1,4),""),IF(ROW()-1&lt;=$L$2+$M$2+$N$2+$O$2,IFERROR(INDEX(PROFORMA!$A:$K,ROW()-1-$L$2-$M$2-$N$2+1,4),""),"")))))</f>
        <v>0</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0</v>
      </c>
      <c r="G48" s="3">
        <f>IF(ROW()-1&lt;=0,"",IF(ROW()-1&lt;=$L$2,IFERROR(INDEX(MCQ!$A:$K,ROW()-1+1,7),""),IF(ROW()-1&lt;=$L$2+$M$2,IFERROR(INDEX(CLOZE_AB!$A:$K,ROW()-1-$L$2+1,7),""),IF(ROW()-1&lt;=$L$2+$M$2+$N$2,IFERROR(INDEX(CLOZE_LIST!$A:$K,ROW()-1-$L$2-$M$2+1,7),""),IF(ROW()-1&lt;=$L$2+$M$2+$N$2+$O$2,IFERROR(INDEX(PROFORMA!$A:$K,ROW()-1-$L$2-$M$2-$N$2+1,7),""),"")))))</f>
        <v>0</v>
      </c>
      <c r="H48" s="3">
        <f>IF(ROW()-1&lt;=0,"",IF(ROW()-1&lt;=$L$2,IFERROR(INDEX(MCQ!$A:$K,ROW()-1+1,8),""),IF(ROW()-1&lt;=$L$2+$M$2,IFERROR(INDEX(CLOZE_AB!$A:$K,ROW()-1-$L$2+1,8),""),IF(ROW()-1&lt;=$L$2+$M$2+$N$2,IFERROR(INDEX(CLOZE_LIST!$A:$K,ROW()-1-$L$2-$M$2+1,8),""),IF(ROW()-1&lt;=$L$2+$M$2+$N$2+$O$2,IFERROR(INDEX(PROFORMA!$A:$K,ROW()-1-$L$2-$M$2-$N$2+1,8),""),"")))))</f>
        <v>0</v>
      </c>
      <c r="I48" s="3">
        <f>IF(ROW()-1&lt;=0,"",IF(ROW()-1&lt;=$L$2,IFERROR(INDEX(MCQ!$A:$K,ROW()-1+1,9),""),IF(ROW()-1&lt;=$L$2+$M$2,IFERROR(INDEX(CLOZE_AB!$A:$K,ROW()-1-$L$2+1,9),""),IF(ROW()-1&lt;=$L$2+$M$2+$N$2,IFERROR(INDEX(CLOZE_LIST!$A:$K,ROW()-1-$L$2-$M$2+1,9),""),IF(ROW()-1&lt;=$L$2+$M$2+$N$2+$O$2,IFERROR(INDEX(PROFORMA!$A:$K,ROW()-1-$L$2-$M$2-$N$2+1,9),""),"")))))</f>
        <v>0</v>
      </c>
      <c r="J48" s="3">
        <f>IF(ROW()-1&lt;=0,"",IF(ROW()-1&lt;=$L$2,IFERROR(INDEX(MCQ!$A:$K,ROW()-1+1,10),""),IF(ROW()-1&lt;=$L$2+$M$2,IFERROR(INDEX(CLOZE_AB!$A:$K,ROW()-1-$L$2+1,10),""),IF(ROW()-1&lt;=$L$2+$M$2+$N$2,IFERROR(INDEX(CLOZE_LIST!$A:$K,ROW()-1-$L$2-$M$2+1,10),""),IF(ROW()-1&lt;=$L$2+$M$2+$N$2+$O$2,IFERROR(INDEX(PROFORMA!$A:$K,ROW()-1-$L$2-$M$2-$N$2+1,10),""),"")))))</f>
        <v>0</v>
      </c>
      <c r="K48" s="3">
        <f>IF(ROW()-1&lt;=0,"",IF(ROW()-1&lt;=$L$2,IFERROR(INDEX(MCQ!$A:$K,ROW()-1+1,11),""),IF(ROW()-1&lt;=$L$2+$M$2,IFERROR(INDEX(CLOZE_AB!$A:$K,ROW()-1-$L$2+1,11),""),IF(ROW()-1&lt;=$L$2+$M$2+$N$2,IFERROR(INDEX(CLOZE_LIST!$A:$K,ROW()-1-$L$2-$M$2+1,11),""),IF(ROW()-1&lt;=$L$2+$M$2+$N$2+$O$2,IFERROR(INDEX(PROFORMA!$A:$K,ROW()-1-$L$2-$M$2-$N$2+1,11),""),"")))))</f>
        <v>0</v>
      </c>
      <c r="L48" s="3">
        <f>COUNTA(MCQ!$A:$A)-1</f>
        <v>143</v>
      </c>
      <c r="M48" s="3">
        <f>COUNTA(CLOZE_AB!$A:$A)-1</f>
        <v>168</v>
      </c>
      <c r="N48" s="3">
        <f>COUNTA(CLOZE_LIST!$A:$A)-1</f>
        <v>199</v>
      </c>
      <c r="O48" s="3">
        <f>COUNTA(PROFORMA!$A:$A)-1</f>
        <v>199</v>
      </c>
    </row>
    <row r="49" spans="1:15" x14ac:dyDescent="0.3">
      <c r="A49" s="3" t="str">
        <f>IF(ROW()-1&lt;=0,"",IF(ROW()-1&lt;=$L$2,IFERROR(INDEX(MCQ!$A:$K,ROW()-1+1,1),""),IF(ROW()-1&lt;=$L$2+$M$2,IFERROR(INDEX(CLOZE_AB!$A:$K,ROW()-1-$L$2+1,1),""),IF(ROW()-1&lt;=$L$2+$M$2+$N$2,IFERROR(INDEX(CLOZE_LIST!$A:$K,ROW()-1-$L$2-$M$2+1,1),""),IF(ROW()-1&lt;=$L$2+$M$2+$N$2+$O$2,IFERROR(INDEX(PROFORMA!$A:$K,ROW()-1-$L$2-$M$2-$N$2+1,1),""),"")))))</f>
        <v/>
      </c>
      <c r="B49" s="3">
        <f>IF(ROW()-1&lt;=0,"",IF(ROW()-1&lt;=$L$2,IFERROR(INDEX(MCQ!$A:$K,ROW()-1+1,2),""),IF(ROW()-1&lt;=$L$2+$M$2,IFERROR(INDEX(CLOZE_AB!$A:$K,ROW()-1-$L$2+1,2),""),IF(ROW()-1&lt;=$L$2+$M$2+$N$2,IFERROR(INDEX(CLOZE_LIST!$A:$K,ROW()-1-$L$2-$M$2+1,2),""),IF(ROW()-1&lt;=$L$2+$M$2+$N$2+$O$2,IFERROR(INDEX(PROFORMA!$A:$K,ROW()-1-$L$2-$M$2-$N$2+1,2),""),"")))))</f>
        <v>0</v>
      </c>
      <c r="C49" s="3">
        <f>IF(ROW()-1&lt;=0,"",IF(ROW()-1&lt;=$L$2,IFERROR(INDEX(MCQ!$A:$K,ROW()-1+1,3),""),IF(ROW()-1&lt;=$L$2+$M$2,IFERROR(INDEX(CLOZE_AB!$A:$K,ROW()-1-$L$2+1,3),""),IF(ROW()-1&lt;=$L$2+$M$2+$N$2,IFERROR(INDEX(CLOZE_LIST!$A:$K,ROW()-1-$L$2-$M$2+1,3),""),IF(ROW()-1&lt;=$L$2+$M$2+$N$2+$O$2,IFERROR(INDEX(PROFORMA!$A:$K,ROW()-1-$L$2-$M$2-$N$2+1,3),""),"")))))</f>
        <v>0</v>
      </c>
      <c r="D49" s="3">
        <f>IF(ROW()-1&lt;=0,"",IF(ROW()-1&lt;=$L$2,IFERROR(INDEX(MCQ!$A:$K,ROW()-1+1,4),""),IF(ROW()-1&lt;=$L$2+$M$2,IFERROR(INDEX(CLOZE_AB!$A:$K,ROW()-1-$L$2+1,4),""),IF(ROW()-1&lt;=$L$2+$M$2+$N$2,IFERROR(INDEX(CLOZE_LIST!$A:$K,ROW()-1-$L$2-$M$2+1,4),""),IF(ROW()-1&lt;=$L$2+$M$2+$N$2+$O$2,IFERROR(INDEX(PROFORMA!$A:$K,ROW()-1-$L$2-$M$2-$N$2+1,4),""),"")))))</f>
        <v>0</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0</v>
      </c>
      <c r="G49" s="3">
        <f>IF(ROW()-1&lt;=0,"",IF(ROW()-1&lt;=$L$2,IFERROR(INDEX(MCQ!$A:$K,ROW()-1+1,7),""),IF(ROW()-1&lt;=$L$2+$M$2,IFERROR(INDEX(CLOZE_AB!$A:$K,ROW()-1-$L$2+1,7),""),IF(ROW()-1&lt;=$L$2+$M$2+$N$2,IFERROR(INDEX(CLOZE_LIST!$A:$K,ROW()-1-$L$2-$M$2+1,7),""),IF(ROW()-1&lt;=$L$2+$M$2+$N$2+$O$2,IFERROR(INDEX(PROFORMA!$A:$K,ROW()-1-$L$2-$M$2-$N$2+1,7),""),"")))))</f>
        <v>0</v>
      </c>
      <c r="H49" s="3">
        <f>IF(ROW()-1&lt;=0,"",IF(ROW()-1&lt;=$L$2,IFERROR(INDEX(MCQ!$A:$K,ROW()-1+1,8),""),IF(ROW()-1&lt;=$L$2+$M$2,IFERROR(INDEX(CLOZE_AB!$A:$K,ROW()-1-$L$2+1,8),""),IF(ROW()-1&lt;=$L$2+$M$2+$N$2,IFERROR(INDEX(CLOZE_LIST!$A:$K,ROW()-1-$L$2-$M$2+1,8),""),IF(ROW()-1&lt;=$L$2+$M$2+$N$2+$O$2,IFERROR(INDEX(PROFORMA!$A:$K,ROW()-1-$L$2-$M$2-$N$2+1,8),""),"")))))</f>
        <v>0</v>
      </c>
      <c r="I49" s="3">
        <f>IF(ROW()-1&lt;=0,"",IF(ROW()-1&lt;=$L$2,IFERROR(INDEX(MCQ!$A:$K,ROW()-1+1,9),""),IF(ROW()-1&lt;=$L$2+$M$2,IFERROR(INDEX(CLOZE_AB!$A:$K,ROW()-1-$L$2+1,9),""),IF(ROW()-1&lt;=$L$2+$M$2+$N$2,IFERROR(INDEX(CLOZE_LIST!$A:$K,ROW()-1-$L$2-$M$2+1,9),""),IF(ROW()-1&lt;=$L$2+$M$2+$N$2+$O$2,IFERROR(INDEX(PROFORMA!$A:$K,ROW()-1-$L$2-$M$2-$N$2+1,9),""),"")))))</f>
        <v>0</v>
      </c>
      <c r="J49" s="3">
        <f>IF(ROW()-1&lt;=0,"",IF(ROW()-1&lt;=$L$2,IFERROR(INDEX(MCQ!$A:$K,ROW()-1+1,10),""),IF(ROW()-1&lt;=$L$2+$M$2,IFERROR(INDEX(CLOZE_AB!$A:$K,ROW()-1-$L$2+1,10),""),IF(ROW()-1&lt;=$L$2+$M$2+$N$2,IFERROR(INDEX(CLOZE_LIST!$A:$K,ROW()-1-$L$2-$M$2+1,10),""),IF(ROW()-1&lt;=$L$2+$M$2+$N$2+$O$2,IFERROR(INDEX(PROFORMA!$A:$K,ROW()-1-$L$2-$M$2-$N$2+1,10),""),"")))))</f>
        <v>0</v>
      </c>
      <c r="K49" s="3">
        <f>IF(ROW()-1&lt;=0,"",IF(ROW()-1&lt;=$L$2,IFERROR(INDEX(MCQ!$A:$K,ROW()-1+1,11),""),IF(ROW()-1&lt;=$L$2+$M$2,IFERROR(INDEX(CLOZE_AB!$A:$K,ROW()-1-$L$2+1,11),""),IF(ROW()-1&lt;=$L$2+$M$2+$N$2,IFERROR(INDEX(CLOZE_LIST!$A:$K,ROW()-1-$L$2-$M$2+1,11),""),IF(ROW()-1&lt;=$L$2+$M$2+$N$2+$O$2,IFERROR(INDEX(PROFORMA!$A:$K,ROW()-1-$L$2-$M$2-$N$2+1,11),""),"")))))</f>
        <v>0</v>
      </c>
      <c r="L49" s="3">
        <f>COUNTA(MCQ!$A:$A)-1</f>
        <v>143</v>
      </c>
      <c r="M49" s="3">
        <f>COUNTA(CLOZE_AB!$A:$A)-1</f>
        <v>168</v>
      </c>
      <c r="N49" s="3">
        <f>COUNTA(CLOZE_LIST!$A:$A)-1</f>
        <v>199</v>
      </c>
      <c r="O49" s="3">
        <f>COUNTA(PROFORMA!$A:$A)-1</f>
        <v>199</v>
      </c>
    </row>
    <row r="50" spans="1:15" x14ac:dyDescent="0.3">
      <c r="A50" s="3" t="str">
        <f>IF(ROW()-1&lt;=0,"",IF(ROW()-1&lt;=$L$2,IFERROR(INDEX(MCQ!$A:$K,ROW()-1+1,1),""),IF(ROW()-1&lt;=$L$2+$M$2,IFERROR(INDEX(CLOZE_AB!$A:$K,ROW()-1-$L$2+1,1),""),IF(ROW()-1&lt;=$L$2+$M$2+$N$2,IFERROR(INDEX(CLOZE_LIST!$A:$K,ROW()-1-$L$2-$M$2+1,1),""),IF(ROW()-1&lt;=$L$2+$M$2+$N$2+$O$2,IFERROR(INDEX(PROFORMA!$A:$K,ROW()-1-$L$2-$M$2-$N$2+1,1),""),"")))))</f>
        <v/>
      </c>
      <c r="B50" s="3">
        <f>IF(ROW()-1&lt;=0,"",IF(ROW()-1&lt;=$L$2,IFERROR(INDEX(MCQ!$A:$K,ROW()-1+1,2),""),IF(ROW()-1&lt;=$L$2+$M$2,IFERROR(INDEX(CLOZE_AB!$A:$K,ROW()-1-$L$2+1,2),""),IF(ROW()-1&lt;=$L$2+$M$2+$N$2,IFERROR(INDEX(CLOZE_LIST!$A:$K,ROW()-1-$L$2-$M$2+1,2),""),IF(ROW()-1&lt;=$L$2+$M$2+$N$2+$O$2,IFERROR(INDEX(PROFORMA!$A:$K,ROW()-1-$L$2-$M$2-$N$2+1,2),""),"")))))</f>
        <v>0</v>
      </c>
      <c r="C50" s="3">
        <f>IF(ROW()-1&lt;=0,"",IF(ROW()-1&lt;=$L$2,IFERROR(INDEX(MCQ!$A:$K,ROW()-1+1,3),""),IF(ROW()-1&lt;=$L$2+$M$2,IFERROR(INDEX(CLOZE_AB!$A:$K,ROW()-1-$L$2+1,3),""),IF(ROW()-1&lt;=$L$2+$M$2+$N$2,IFERROR(INDEX(CLOZE_LIST!$A:$K,ROW()-1-$L$2-$M$2+1,3),""),IF(ROW()-1&lt;=$L$2+$M$2+$N$2+$O$2,IFERROR(INDEX(PROFORMA!$A:$K,ROW()-1-$L$2-$M$2-$N$2+1,3),""),"")))))</f>
        <v>0</v>
      </c>
      <c r="D50" s="3">
        <f>IF(ROW()-1&lt;=0,"",IF(ROW()-1&lt;=$L$2,IFERROR(INDEX(MCQ!$A:$K,ROW()-1+1,4),""),IF(ROW()-1&lt;=$L$2+$M$2,IFERROR(INDEX(CLOZE_AB!$A:$K,ROW()-1-$L$2+1,4),""),IF(ROW()-1&lt;=$L$2+$M$2+$N$2,IFERROR(INDEX(CLOZE_LIST!$A:$K,ROW()-1-$L$2-$M$2+1,4),""),IF(ROW()-1&lt;=$L$2+$M$2+$N$2+$O$2,IFERROR(INDEX(PROFORMA!$A:$K,ROW()-1-$L$2-$M$2-$N$2+1,4),""),"")))))</f>
        <v>0</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0</v>
      </c>
      <c r="G50" s="3">
        <f>IF(ROW()-1&lt;=0,"",IF(ROW()-1&lt;=$L$2,IFERROR(INDEX(MCQ!$A:$K,ROW()-1+1,7),""),IF(ROW()-1&lt;=$L$2+$M$2,IFERROR(INDEX(CLOZE_AB!$A:$K,ROW()-1-$L$2+1,7),""),IF(ROW()-1&lt;=$L$2+$M$2+$N$2,IFERROR(INDEX(CLOZE_LIST!$A:$K,ROW()-1-$L$2-$M$2+1,7),""),IF(ROW()-1&lt;=$L$2+$M$2+$N$2+$O$2,IFERROR(INDEX(PROFORMA!$A:$K,ROW()-1-$L$2-$M$2-$N$2+1,7),""),"")))))</f>
        <v>0</v>
      </c>
      <c r="H50" s="3">
        <f>IF(ROW()-1&lt;=0,"",IF(ROW()-1&lt;=$L$2,IFERROR(INDEX(MCQ!$A:$K,ROW()-1+1,8),""),IF(ROW()-1&lt;=$L$2+$M$2,IFERROR(INDEX(CLOZE_AB!$A:$K,ROW()-1-$L$2+1,8),""),IF(ROW()-1&lt;=$L$2+$M$2+$N$2,IFERROR(INDEX(CLOZE_LIST!$A:$K,ROW()-1-$L$2-$M$2+1,8),""),IF(ROW()-1&lt;=$L$2+$M$2+$N$2+$O$2,IFERROR(INDEX(PROFORMA!$A:$K,ROW()-1-$L$2-$M$2-$N$2+1,8),""),"")))))</f>
        <v>0</v>
      </c>
      <c r="I50" s="3">
        <f>IF(ROW()-1&lt;=0,"",IF(ROW()-1&lt;=$L$2,IFERROR(INDEX(MCQ!$A:$K,ROW()-1+1,9),""),IF(ROW()-1&lt;=$L$2+$M$2,IFERROR(INDEX(CLOZE_AB!$A:$K,ROW()-1-$L$2+1,9),""),IF(ROW()-1&lt;=$L$2+$M$2+$N$2,IFERROR(INDEX(CLOZE_LIST!$A:$K,ROW()-1-$L$2-$M$2+1,9),""),IF(ROW()-1&lt;=$L$2+$M$2+$N$2+$O$2,IFERROR(INDEX(PROFORMA!$A:$K,ROW()-1-$L$2-$M$2-$N$2+1,9),""),"")))))</f>
        <v>0</v>
      </c>
      <c r="J50" s="3">
        <f>IF(ROW()-1&lt;=0,"",IF(ROW()-1&lt;=$L$2,IFERROR(INDEX(MCQ!$A:$K,ROW()-1+1,10),""),IF(ROW()-1&lt;=$L$2+$M$2,IFERROR(INDEX(CLOZE_AB!$A:$K,ROW()-1-$L$2+1,10),""),IF(ROW()-1&lt;=$L$2+$M$2+$N$2,IFERROR(INDEX(CLOZE_LIST!$A:$K,ROW()-1-$L$2-$M$2+1,10),""),IF(ROW()-1&lt;=$L$2+$M$2+$N$2+$O$2,IFERROR(INDEX(PROFORMA!$A:$K,ROW()-1-$L$2-$M$2-$N$2+1,10),""),"")))))</f>
        <v>0</v>
      </c>
      <c r="K50" s="3">
        <f>IF(ROW()-1&lt;=0,"",IF(ROW()-1&lt;=$L$2,IFERROR(INDEX(MCQ!$A:$K,ROW()-1+1,11),""),IF(ROW()-1&lt;=$L$2+$M$2,IFERROR(INDEX(CLOZE_AB!$A:$K,ROW()-1-$L$2+1,11),""),IF(ROW()-1&lt;=$L$2+$M$2+$N$2,IFERROR(INDEX(CLOZE_LIST!$A:$K,ROW()-1-$L$2-$M$2+1,11),""),IF(ROW()-1&lt;=$L$2+$M$2+$N$2+$O$2,IFERROR(INDEX(PROFORMA!$A:$K,ROW()-1-$L$2-$M$2-$N$2+1,11),""),"")))))</f>
        <v>0</v>
      </c>
      <c r="L50" s="3">
        <f>COUNTA(MCQ!$A:$A)-1</f>
        <v>143</v>
      </c>
      <c r="M50" s="3">
        <f>COUNTA(CLOZE_AB!$A:$A)-1</f>
        <v>168</v>
      </c>
      <c r="N50" s="3">
        <f>COUNTA(CLOZE_LIST!$A:$A)-1</f>
        <v>199</v>
      </c>
      <c r="O50" s="3">
        <f>COUNTA(PROFORMA!$A:$A)-1</f>
        <v>199</v>
      </c>
    </row>
    <row r="51" spans="1:15" x14ac:dyDescent="0.3">
      <c r="A51" s="3" t="str">
        <f>IF(ROW()-1&lt;=0,"",IF(ROW()-1&lt;=$L$2,IFERROR(INDEX(MCQ!$A:$K,ROW()-1+1,1),""),IF(ROW()-1&lt;=$L$2+$M$2,IFERROR(INDEX(CLOZE_AB!$A:$K,ROW()-1-$L$2+1,1),""),IF(ROW()-1&lt;=$L$2+$M$2+$N$2,IFERROR(INDEX(CLOZE_LIST!$A:$K,ROW()-1-$L$2-$M$2+1,1),""),IF(ROW()-1&lt;=$L$2+$M$2+$N$2+$O$2,IFERROR(INDEX(PROFORMA!$A:$K,ROW()-1-$L$2-$M$2-$N$2+1,1),""),"")))))</f>
        <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t="str">
        <f>IF(ROW()-1&lt;=0,"",IF(ROW()-1&lt;=$L$2,IFERROR(INDEX(MCQ!$A:$K,ROW()-1+1,5),""),IF(ROW()-1&lt;=$L$2+$M$2,IFERROR(INDEX(CLOZE_AB!$A:$K,ROW()-1-$L$2+1,5),""),IF(ROW()-1&lt;=$L$2+$M$2+$N$2,IFERROR(INDEX(CLOZE_LIST!$A:$K,ROW()-1-$L$2-$M$2+1,5),""),IF(ROW()-1&lt;=$L$2+$M$2+$N$2+$O$2,IFERROR(INDEX(PROFORMA!$A:$K,ROW()-1-$L$2-$M$2-$N$2+1,5),""),"")))))</f>
        <v>mcq_radio</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143</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t="str">
        <f>IF(ROW()-1&lt;=0,"",IF(ROW()-1&lt;=$L$2,IFERROR(INDEX(MCQ!$A:$K,ROW()-1+1,5),""),IF(ROW()-1&lt;=$L$2+$M$2,IFERROR(INDEX(CLOZE_AB!$A:$K,ROW()-1-$L$2+1,5),""),IF(ROW()-1&lt;=$L$2+$M$2+$N$2,IFERROR(INDEX(CLOZE_LIST!$A:$K,ROW()-1-$L$2-$M$2+1,5),""),IF(ROW()-1&lt;=$L$2+$M$2+$N$2+$O$2,IFERROR(INDEX(PROFORMA!$A:$K,ROW()-1-$L$2-$M$2-$N$2+1,5),""),"")))))</f>
        <v>mcq_radio</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143</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t="str">
        <f>IF(ROW()-1&lt;=0,"",IF(ROW()-1&lt;=$L$2,IFERROR(INDEX(MCQ!$A:$K,ROW()-1+1,5),""),IF(ROW()-1&lt;=$L$2+$M$2,IFERROR(INDEX(CLOZE_AB!$A:$K,ROW()-1-$L$2+1,5),""),IF(ROW()-1&lt;=$L$2+$M$2+$N$2,IFERROR(INDEX(CLOZE_LIST!$A:$K,ROW()-1-$L$2-$M$2+1,5),""),IF(ROW()-1&lt;=$L$2+$M$2+$N$2+$O$2,IFERROR(INDEX(PROFORMA!$A:$K,ROW()-1-$L$2-$M$2-$N$2+1,5),""),"")))))</f>
        <v>mcq_radio</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143</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t="str">
        <f>IF(ROW()-1&lt;=0,"",IF(ROW()-1&lt;=$L$2,IFERROR(INDEX(MCQ!$A:$K,ROW()-1+1,5),""),IF(ROW()-1&lt;=$L$2+$M$2,IFERROR(INDEX(CLOZE_AB!$A:$K,ROW()-1-$L$2+1,5),""),IF(ROW()-1&lt;=$L$2+$M$2+$N$2,IFERROR(INDEX(CLOZE_LIST!$A:$K,ROW()-1-$L$2-$M$2+1,5),""),IF(ROW()-1&lt;=$L$2+$M$2+$N$2+$O$2,IFERROR(INDEX(PROFORMA!$A:$K,ROW()-1-$L$2-$M$2-$N$2+1,5),""),"")))))</f>
        <v>mcq_radio</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143</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t="str">
        <f>IF(ROW()-1&lt;=0,"",IF(ROW()-1&lt;=$L$2,IFERROR(INDEX(MCQ!$A:$K,ROW()-1+1,5),""),IF(ROW()-1&lt;=$L$2+$M$2,IFERROR(INDEX(CLOZE_AB!$A:$K,ROW()-1-$L$2+1,5),""),IF(ROW()-1&lt;=$L$2+$M$2+$N$2,IFERROR(INDEX(CLOZE_LIST!$A:$K,ROW()-1-$L$2-$M$2+1,5),""),IF(ROW()-1&lt;=$L$2+$M$2+$N$2+$O$2,IFERROR(INDEX(PROFORMA!$A:$K,ROW()-1-$L$2-$M$2-$N$2+1,5),""),"")))))</f>
        <v>mcq_radio</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143</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t="str">
        <f>IF(ROW()-1&lt;=0,"",IF(ROW()-1&lt;=$L$2,IFERROR(INDEX(MCQ!$A:$K,ROW()-1+1,5),""),IF(ROW()-1&lt;=$L$2+$M$2,IFERROR(INDEX(CLOZE_AB!$A:$K,ROW()-1-$L$2+1,5),""),IF(ROW()-1&lt;=$L$2+$M$2+$N$2,IFERROR(INDEX(CLOZE_LIST!$A:$K,ROW()-1-$L$2-$M$2+1,5),""),IF(ROW()-1&lt;=$L$2+$M$2+$N$2+$O$2,IFERROR(INDEX(PROFORMA!$A:$K,ROW()-1-$L$2-$M$2-$N$2+1,5),""),"")))))</f>
        <v>mcq_radio</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143</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t="str">
        <f>IF(ROW()-1&lt;=0,"",IF(ROW()-1&lt;=$L$2,IFERROR(INDEX(MCQ!$A:$K,ROW()-1+1,5),""),IF(ROW()-1&lt;=$L$2+$M$2,IFERROR(INDEX(CLOZE_AB!$A:$K,ROW()-1-$L$2+1,5),""),IF(ROW()-1&lt;=$L$2+$M$2+$N$2,IFERROR(INDEX(CLOZE_LIST!$A:$K,ROW()-1-$L$2-$M$2+1,5),""),IF(ROW()-1&lt;=$L$2+$M$2+$N$2+$O$2,IFERROR(INDEX(PROFORMA!$A:$K,ROW()-1-$L$2-$M$2-$N$2+1,5),""),"")))))</f>
        <v>mcq_radio</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143</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t="str">
        <f>IF(ROW()-1&lt;=0,"",IF(ROW()-1&lt;=$L$2,IFERROR(INDEX(MCQ!$A:$K,ROW()-1+1,5),""),IF(ROW()-1&lt;=$L$2+$M$2,IFERROR(INDEX(CLOZE_AB!$A:$K,ROW()-1-$L$2+1,5),""),IF(ROW()-1&lt;=$L$2+$M$2+$N$2,IFERROR(INDEX(CLOZE_LIST!$A:$K,ROW()-1-$L$2-$M$2+1,5),""),IF(ROW()-1&lt;=$L$2+$M$2+$N$2+$O$2,IFERROR(INDEX(PROFORMA!$A:$K,ROW()-1-$L$2-$M$2-$N$2+1,5),""),"")))))</f>
        <v>mcq_radio</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143</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t="str">
        <f>IF(ROW()-1&lt;=0,"",IF(ROW()-1&lt;=$L$2,IFERROR(INDEX(MCQ!$A:$K,ROW()-1+1,5),""),IF(ROW()-1&lt;=$L$2+$M$2,IFERROR(INDEX(CLOZE_AB!$A:$K,ROW()-1-$L$2+1,5),""),IF(ROW()-1&lt;=$L$2+$M$2+$N$2,IFERROR(INDEX(CLOZE_LIST!$A:$K,ROW()-1-$L$2-$M$2+1,5),""),IF(ROW()-1&lt;=$L$2+$M$2+$N$2+$O$2,IFERROR(INDEX(PROFORMA!$A:$K,ROW()-1-$L$2-$M$2-$N$2+1,5),""),"")))))</f>
        <v>mcq_radio</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143</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t="str">
        <f>IF(ROW()-1&lt;=0,"",IF(ROW()-1&lt;=$L$2,IFERROR(INDEX(MCQ!$A:$K,ROW()-1+1,5),""),IF(ROW()-1&lt;=$L$2+$M$2,IFERROR(INDEX(CLOZE_AB!$A:$K,ROW()-1-$L$2+1,5),""),IF(ROW()-1&lt;=$L$2+$M$2+$N$2,IFERROR(INDEX(CLOZE_LIST!$A:$K,ROW()-1-$L$2-$M$2+1,5),""),IF(ROW()-1&lt;=$L$2+$M$2+$N$2+$O$2,IFERROR(INDEX(PROFORMA!$A:$K,ROW()-1-$L$2-$M$2-$N$2+1,5),""),"")))))</f>
        <v>mcq_radio</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143</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t="str">
        <f>IF(ROW()-1&lt;=0,"",IF(ROW()-1&lt;=$L$2,IFERROR(INDEX(MCQ!$A:$K,ROW()-1+1,5),""),IF(ROW()-1&lt;=$L$2+$M$2,IFERROR(INDEX(CLOZE_AB!$A:$K,ROW()-1-$L$2+1,5),""),IF(ROW()-1&lt;=$L$2+$M$2+$N$2,IFERROR(INDEX(CLOZE_LIST!$A:$K,ROW()-1-$L$2-$M$2+1,5),""),IF(ROW()-1&lt;=$L$2+$M$2+$N$2+$O$2,IFERROR(INDEX(PROFORMA!$A:$K,ROW()-1-$L$2-$M$2-$N$2+1,5),""),"")))))</f>
        <v>mcq_radio</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143</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t="str">
        <f>IF(ROW()-1&lt;=0,"",IF(ROW()-1&lt;=$L$2,IFERROR(INDEX(MCQ!$A:$K,ROW()-1+1,5),""),IF(ROW()-1&lt;=$L$2+$M$2,IFERROR(INDEX(CLOZE_AB!$A:$K,ROW()-1-$L$2+1,5),""),IF(ROW()-1&lt;=$L$2+$M$2+$N$2,IFERROR(INDEX(CLOZE_LIST!$A:$K,ROW()-1-$L$2-$M$2+1,5),""),IF(ROW()-1&lt;=$L$2+$M$2+$N$2+$O$2,IFERROR(INDEX(PROFORMA!$A:$K,ROW()-1-$L$2-$M$2-$N$2+1,5),""),"")))))</f>
        <v>mcq_radio</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143</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t="str">
        <f>IF(ROW()-1&lt;=0,"",IF(ROW()-1&lt;=$L$2,IFERROR(INDEX(MCQ!$A:$K,ROW()-1+1,5),""),IF(ROW()-1&lt;=$L$2+$M$2,IFERROR(INDEX(CLOZE_AB!$A:$K,ROW()-1-$L$2+1,5),""),IF(ROW()-1&lt;=$L$2+$M$2+$N$2,IFERROR(INDEX(CLOZE_LIST!$A:$K,ROW()-1-$L$2-$M$2+1,5),""),IF(ROW()-1&lt;=$L$2+$M$2+$N$2+$O$2,IFERROR(INDEX(PROFORMA!$A:$K,ROW()-1-$L$2-$M$2-$N$2+1,5),""),"")))))</f>
        <v>mcq_radio</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143</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t="str">
        <f>IF(ROW()-1&lt;=0,"",IF(ROW()-1&lt;=$L$2,IFERROR(INDEX(MCQ!$A:$K,ROW()-1+1,5),""),IF(ROW()-1&lt;=$L$2+$M$2,IFERROR(INDEX(CLOZE_AB!$A:$K,ROW()-1-$L$2+1,5),""),IF(ROW()-1&lt;=$L$2+$M$2+$N$2,IFERROR(INDEX(CLOZE_LIST!$A:$K,ROW()-1-$L$2-$M$2+1,5),""),IF(ROW()-1&lt;=$L$2+$M$2+$N$2+$O$2,IFERROR(INDEX(PROFORMA!$A:$K,ROW()-1-$L$2-$M$2-$N$2+1,5),""),"")))))</f>
        <v>mcq_radio</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143</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t="str">
        <f>IF(ROW()-1&lt;=0,"",IF(ROW()-1&lt;=$L$2,IFERROR(INDEX(MCQ!$A:$K,ROW()-1+1,5),""),IF(ROW()-1&lt;=$L$2+$M$2,IFERROR(INDEX(CLOZE_AB!$A:$K,ROW()-1-$L$2+1,5),""),IF(ROW()-1&lt;=$L$2+$M$2+$N$2,IFERROR(INDEX(CLOZE_LIST!$A:$K,ROW()-1-$L$2-$M$2+1,5),""),IF(ROW()-1&lt;=$L$2+$M$2+$N$2+$O$2,IFERROR(INDEX(PROFORMA!$A:$K,ROW()-1-$L$2-$M$2-$N$2+1,5),""),"")))))</f>
        <v>mcq_radio</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143</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t="str">
        <f>IF(ROW()-1&lt;=0,"",IF(ROW()-1&lt;=$L$2,IFERROR(INDEX(MCQ!$A:$K,ROW()-1+1,5),""),IF(ROW()-1&lt;=$L$2+$M$2,IFERROR(INDEX(CLOZE_AB!$A:$K,ROW()-1-$L$2+1,5),""),IF(ROW()-1&lt;=$L$2+$M$2+$N$2,IFERROR(INDEX(CLOZE_LIST!$A:$K,ROW()-1-$L$2-$M$2+1,5),""),IF(ROW()-1&lt;=$L$2+$M$2+$N$2+$O$2,IFERROR(INDEX(PROFORMA!$A:$K,ROW()-1-$L$2-$M$2-$N$2+1,5),""),"")))))</f>
        <v>mcq_radio</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143</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t="str">
        <f>IF(ROW()-1&lt;=0,"",IF(ROW()-1&lt;=$L$2,IFERROR(INDEX(MCQ!$A:$K,ROW()-1+1,5),""),IF(ROW()-1&lt;=$L$2+$M$2,IFERROR(INDEX(CLOZE_AB!$A:$K,ROW()-1-$L$2+1,5),""),IF(ROW()-1&lt;=$L$2+$M$2+$N$2,IFERROR(INDEX(CLOZE_LIST!$A:$K,ROW()-1-$L$2-$M$2+1,5),""),IF(ROW()-1&lt;=$L$2+$M$2+$N$2+$O$2,IFERROR(INDEX(PROFORMA!$A:$K,ROW()-1-$L$2-$M$2-$N$2+1,5),""),"")))))</f>
        <v>mcq_radio</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143</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t="str">
        <f>IF(ROW()-1&lt;=0,"",IF(ROW()-1&lt;=$L$2,IFERROR(INDEX(MCQ!$A:$K,ROW()-1+1,5),""),IF(ROW()-1&lt;=$L$2+$M$2,IFERROR(INDEX(CLOZE_AB!$A:$K,ROW()-1-$L$2+1,5),""),IF(ROW()-1&lt;=$L$2+$M$2+$N$2,IFERROR(INDEX(CLOZE_LIST!$A:$K,ROW()-1-$L$2-$M$2+1,5),""),IF(ROW()-1&lt;=$L$2+$M$2+$N$2+$O$2,IFERROR(INDEX(PROFORMA!$A:$K,ROW()-1-$L$2-$M$2-$N$2+1,5),""),"")))))</f>
        <v>mcq_radio</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143</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t="str">
        <f>IF(ROW()-1&lt;=0,"",IF(ROW()-1&lt;=$L$2,IFERROR(INDEX(MCQ!$A:$K,ROW()-1+1,5),""),IF(ROW()-1&lt;=$L$2+$M$2,IFERROR(INDEX(CLOZE_AB!$A:$K,ROW()-1-$L$2+1,5),""),IF(ROW()-1&lt;=$L$2+$M$2+$N$2,IFERROR(INDEX(CLOZE_LIST!$A:$K,ROW()-1-$L$2-$M$2+1,5),""),IF(ROW()-1&lt;=$L$2+$M$2+$N$2+$O$2,IFERROR(INDEX(PROFORMA!$A:$K,ROW()-1-$L$2-$M$2-$N$2+1,5),""),"")))))</f>
        <v>mcq_radio</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143</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t="str">
        <f>IF(ROW()-1&lt;=0,"",IF(ROW()-1&lt;=$L$2,IFERROR(INDEX(MCQ!$A:$K,ROW()-1+1,5),""),IF(ROW()-1&lt;=$L$2+$M$2,IFERROR(INDEX(CLOZE_AB!$A:$K,ROW()-1-$L$2+1,5),""),IF(ROW()-1&lt;=$L$2+$M$2+$N$2,IFERROR(INDEX(CLOZE_LIST!$A:$K,ROW()-1-$L$2-$M$2+1,5),""),IF(ROW()-1&lt;=$L$2+$M$2+$N$2+$O$2,IFERROR(INDEX(PROFORMA!$A:$K,ROW()-1-$L$2-$M$2-$N$2+1,5),""),"")))))</f>
        <v>mcq_radio</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143</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t="str">
        <f>IF(ROW()-1&lt;=0,"",IF(ROW()-1&lt;=$L$2,IFERROR(INDEX(MCQ!$A:$K,ROW()-1+1,5),""),IF(ROW()-1&lt;=$L$2+$M$2,IFERROR(INDEX(CLOZE_AB!$A:$K,ROW()-1-$L$2+1,5),""),IF(ROW()-1&lt;=$L$2+$M$2+$N$2,IFERROR(INDEX(CLOZE_LIST!$A:$K,ROW()-1-$L$2-$M$2+1,5),""),IF(ROW()-1&lt;=$L$2+$M$2+$N$2+$O$2,IFERROR(INDEX(PROFORMA!$A:$K,ROW()-1-$L$2-$M$2-$N$2+1,5),""),"")))))</f>
        <v>mcq_radio</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143</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t="str">
        <f>IF(ROW()-1&lt;=0,"",IF(ROW()-1&lt;=$L$2,IFERROR(INDEX(MCQ!$A:$K,ROW()-1+1,5),""),IF(ROW()-1&lt;=$L$2+$M$2,IFERROR(INDEX(CLOZE_AB!$A:$K,ROW()-1-$L$2+1,5),""),IF(ROW()-1&lt;=$L$2+$M$2+$N$2,IFERROR(INDEX(CLOZE_LIST!$A:$K,ROW()-1-$L$2-$M$2+1,5),""),IF(ROW()-1&lt;=$L$2+$M$2+$N$2+$O$2,IFERROR(INDEX(PROFORMA!$A:$K,ROW()-1-$L$2-$M$2-$N$2+1,5),""),"")))))</f>
        <v>mcq_radio</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143</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t="str">
        <f>IF(ROW()-1&lt;=0,"",IF(ROW()-1&lt;=$L$2,IFERROR(INDEX(MCQ!$A:$K,ROW()-1+1,5),""),IF(ROW()-1&lt;=$L$2+$M$2,IFERROR(INDEX(CLOZE_AB!$A:$K,ROW()-1-$L$2+1,5),""),IF(ROW()-1&lt;=$L$2+$M$2+$N$2,IFERROR(INDEX(CLOZE_LIST!$A:$K,ROW()-1-$L$2-$M$2+1,5),""),IF(ROW()-1&lt;=$L$2+$M$2+$N$2+$O$2,IFERROR(INDEX(PROFORMA!$A:$K,ROW()-1-$L$2-$M$2-$N$2+1,5),""),"")))))</f>
        <v>mcq_radio</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143</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t="str">
        <f>IF(ROW()-1&lt;=0,"",IF(ROW()-1&lt;=$L$2,IFERROR(INDEX(MCQ!$A:$K,ROW()-1+1,5),""),IF(ROW()-1&lt;=$L$2+$M$2,IFERROR(INDEX(CLOZE_AB!$A:$K,ROW()-1-$L$2+1,5),""),IF(ROW()-1&lt;=$L$2+$M$2+$N$2,IFERROR(INDEX(CLOZE_LIST!$A:$K,ROW()-1-$L$2-$M$2+1,5),""),IF(ROW()-1&lt;=$L$2+$M$2+$N$2+$O$2,IFERROR(INDEX(PROFORMA!$A:$K,ROW()-1-$L$2-$M$2-$N$2+1,5),""),"")))))</f>
        <v>mcq_radio</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143</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t="str">
        <f>IF(ROW()-1&lt;=0,"",IF(ROW()-1&lt;=$L$2,IFERROR(INDEX(MCQ!$A:$K,ROW()-1+1,5),""),IF(ROW()-1&lt;=$L$2+$M$2,IFERROR(INDEX(CLOZE_AB!$A:$K,ROW()-1-$L$2+1,5),""),IF(ROW()-1&lt;=$L$2+$M$2+$N$2,IFERROR(INDEX(CLOZE_LIST!$A:$K,ROW()-1-$L$2-$M$2+1,5),""),IF(ROW()-1&lt;=$L$2+$M$2+$N$2+$O$2,IFERROR(INDEX(PROFORMA!$A:$K,ROW()-1-$L$2-$M$2-$N$2+1,5),""),"")))))</f>
        <v>mcq_radio</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143</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t="str">
        <f>IF(ROW()-1&lt;=0,"",IF(ROW()-1&lt;=$L$2,IFERROR(INDEX(MCQ!$A:$K,ROW()-1+1,5),""),IF(ROW()-1&lt;=$L$2+$M$2,IFERROR(INDEX(CLOZE_AB!$A:$K,ROW()-1-$L$2+1,5),""),IF(ROW()-1&lt;=$L$2+$M$2+$N$2,IFERROR(INDEX(CLOZE_LIST!$A:$K,ROW()-1-$L$2-$M$2+1,5),""),IF(ROW()-1&lt;=$L$2+$M$2+$N$2+$O$2,IFERROR(INDEX(PROFORMA!$A:$K,ROW()-1-$L$2-$M$2-$N$2+1,5),""),"")))))</f>
        <v>mcq_radio</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143</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t="str">
        <f>IF(ROW()-1&lt;=0,"",IF(ROW()-1&lt;=$L$2,IFERROR(INDEX(MCQ!$A:$K,ROW()-1+1,5),""),IF(ROW()-1&lt;=$L$2+$M$2,IFERROR(INDEX(CLOZE_AB!$A:$K,ROW()-1-$L$2+1,5),""),IF(ROW()-1&lt;=$L$2+$M$2+$N$2,IFERROR(INDEX(CLOZE_LIST!$A:$K,ROW()-1-$L$2-$M$2+1,5),""),IF(ROW()-1&lt;=$L$2+$M$2+$N$2+$O$2,IFERROR(INDEX(PROFORMA!$A:$K,ROW()-1-$L$2-$M$2-$N$2+1,5),""),"")))))</f>
        <v>mcq_radio</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143</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t="str">
        <f>IF(ROW()-1&lt;=0,"",IF(ROW()-1&lt;=$L$2,IFERROR(INDEX(MCQ!$A:$K,ROW()-1+1,5),""),IF(ROW()-1&lt;=$L$2+$M$2,IFERROR(INDEX(CLOZE_AB!$A:$K,ROW()-1-$L$2+1,5),""),IF(ROW()-1&lt;=$L$2+$M$2+$N$2,IFERROR(INDEX(CLOZE_LIST!$A:$K,ROW()-1-$L$2-$M$2+1,5),""),IF(ROW()-1&lt;=$L$2+$M$2+$N$2+$O$2,IFERROR(INDEX(PROFORMA!$A:$K,ROW()-1-$L$2-$M$2-$N$2+1,5),""),"")))))</f>
        <v>mcq_radio</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143</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t="str">
        <f>IF(ROW()-1&lt;=0,"",IF(ROW()-1&lt;=$L$2,IFERROR(INDEX(MCQ!$A:$K,ROW()-1+1,5),""),IF(ROW()-1&lt;=$L$2+$M$2,IFERROR(INDEX(CLOZE_AB!$A:$K,ROW()-1-$L$2+1,5),""),IF(ROW()-1&lt;=$L$2+$M$2+$N$2,IFERROR(INDEX(CLOZE_LIST!$A:$K,ROW()-1-$L$2-$M$2+1,5),""),IF(ROW()-1&lt;=$L$2+$M$2+$N$2+$O$2,IFERROR(INDEX(PROFORMA!$A:$K,ROW()-1-$L$2-$M$2-$N$2+1,5),""),"")))))</f>
        <v>mcq_radio</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143</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t="str">
        <f>IF(ROW()-1&lt;=0,"",IF(ROW()-1&lt;=$L$2,IFERROR(INDEX(MCQ!$A:$K,ROW()-1+1,5),""),IF(ROW()-1&lt;=$L$2+$M$2,IFERROR(INDEX(CLOZE_AB!$A:$K,ROW()-1-$L$2+1,5),""),IF(ROW()-1&lt;=$L$2+$M$2+$N$2,IFERROR(INDEX(CLOZE_LIST!$A:$K,ROW()-1-$L$2-$M$2+1,5),""),IF(ROW()-1&lt;=$L$2+$M$2+$N$2+$O$2,IFERROR(INDEX(PROFORMA!$A:$K,ROW()-1-$L$2-$M$2-$N$2+1,5),""),"")))))</f>
        <v>mcq_radio</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143</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t="str">
        <f>IF(ROW()-1&lt;=0,"",IF(ROW()-1&lt;=$L$2,IFERROR(INDEX(MCQ!$A:$K,ROW()-1+1,5),""),IF(ROW()-1&lt;=$L$2+$M$2,IFERROR(INDEX(CLOZE_AB!$A:$K,ROW()-1-$L$2+1,5),""),IF(ROW()-1&lt;=$L$2+$M$2+$N$2,IFERROR(INDEX(CLOZE_LIST!$A:$K,ROW()-1-$L$2-$M$2+1,5),""),IF(ROW()-1&lt;=$L$2+$M$2+$N$2+$O$2,IFERROR(INDEX(PROFORMA!$A:$K,ROW()-1-$L$2-$M$2-$N$2+1,5),""),"")))))</f>
        <v>mcq_radio</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143</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t="str">
        <f>IF(ROW()-1&lt;=0,"",IF(ROW()-1&lt;=$L$2,IFERROR(INDEX(MCQ!$A:$K,ROW()-1+1,5),""),IF(ROW()-1&lt;=$L$2+$M$2,IFERROR(INDEX(CLOZE_AB!$A:$K,ROW()-1-$L$2+1,5),""),IF(ROW()-1&lt;=$L$2+$M$2+$N$2,IFERROR(INDEX(CLOZE_LIST!$A:$K,ROW()-1-$L$2-$M$2+1,5),""),IF(ROW()-1&lt;=$L$2+$M$2+$N$2+$O$2,IFERROR(INDEX(PROFORMA!$A:$K,ROW()-1-$L$2-$M$2-$N$2+1,5),""),"")))))</f>
        <v>mcq_radio</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143</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t="str">
        <f>IF(ROW()-1&lt;=0,"",IF(ROW()-1&lt;=$L$2,IFERROR(INDEX(MCQ!$A:$K,ROW()-1+1,5),""),IF(ROW()-1&lt;=$L$2+$M$2,IFERROR(INDEX(CLOZE_AB!$A:$K,ROW()-1-$L$2+1,5),""),IF(ROW()-1&lt;=$L$2+$M$2+$N$2,IFERROR(INDEX(CLOZE_LIST!$A:$K,ROW()-1-$L$2-$M$2+1,5),""),IF(ROW()-1&lt;=$L$2+$M$2+$N$2+$O$2,IFERROR(INDEX(PROFORMA!$A:$K,ROW()-1-$L$2-$M$2-$N$2+1,5),""),"")))))</f>
        <v>mcq_radio</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143</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t="str">
        <f>IF(ROW()-1&lt;=0,"",IF(ROW()-1&lt;=$L$2,IFERROR(INDEX(MCQ!$A:$K,ROW()-1+1,5),""),IF(ROW()-1&lt;=$L$2+$M$2,IFERROR(INDEX(CLOZE_AB!$A:$K,ROW()-1-$L$2+1,5),""),IF(ROW()-1&lt;=$L$2+$M$2+$N$2,IFERROR(INDEX(CLOZE_LIST!$A:$K,ROW()-1-$L$2-$M$2+1,5),""),IF(ROW()-1&lt;=$L$2+$M$2+$N$2+$O$2,IFERROR(INDEX(PROFORMA!$A:$K,ROW()-1-$L$2-$M$2-$N$2+1,5),""),"")))))</f>
        <v>mcq_radio</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143</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t="str">
        <f>IF(ROW()-1&lt;=0,"",IF(ROW()-1&lt;=$L$2,IFERROR(INDEX(MCQ!$A:$K,ROW()-1+1,5),""),IF(ROW()-1&lt;=$L$2+$M$2,IFERROR(INDEX(CLOZE_AB!$A:$K,ROW()-1-$L$2+1,5),""),IF(ROW()-1&lt;=$L$2+$M$2+$N$2,IFERROR(INDEX(CLOZE_LIST!$A:$K,ROW()-1-$L$2-$M$2+1,5),""),IF(ROW()-1&lt;=$L$2+$M$2+$N$2+$O$2,IFERROR(INDEX(PROFORMA!$A:$K,ROW()-1-$L$2-$M$2-$N$2+1,5),""),"")))))</f>
        <v>mcq_radio</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143</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t="str">
        <f>IF(ROW()-1&lt;=0,"",IF(ROW()-1&lt;=$L$2,IFERROR(INDEX(MCQ!$A:$K,ROW()-1+1,5),""),IF(ROW()-1&lt;=$L$2+$M$2,IFERROR(INDEX(CLOZE_AB!$A:$K,ROW()-1-$L$2+1,5),""),IF(ROW()-1&lt;=$L$2+$M$2+$N$2,IFERROR(INDEX(CLOZE_LIST!$A:$K,ROW()-1-$L$2-$M$2+1,5),""),IF(ROW()-1&lt;=$L$2+$M$2+$N$2+$O$2,IFERROR(INDEX(PROFORMA!$A:$K,ROW()-1-$L$2-$M$2-$N$2+1,5),""),"")))))</f>
        <v>mcq_radio</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143</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t="str">
        <f>IF(ROW()-1&lt;=0,"",IF(ROW()-1&lt;=$L$2,IFERROR(INDEX(MCQ!$A:$K,ROW()-1+1,5),""),IF(ROW()-1&lt;=$L$2+$M$2,IFERROR(INDEX(CLOZE_AB!$A:$K,ROW()-1-$L$2+1,5),""),IF(ROW()-1&lt;=$L$2+$M$2+$N$2,IFERROR(INDEX(CLOZE_LIST!$A:$K,ROW()-1-$L$2-$M$2+1,5),""),IF(ROW()-1&lt;=$L$2+$M$2+$N$2+$O$2,IFERROR(INDEX(PROFORMA!$A:$K,ROW()-1-$L$2-$M$2-$N$2+1,5),""),"")))))</f>
        <v>mcq_radio</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143</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t="str">
        <f>IF(ROW()-1&lt;=0,"",IF(ROW()-1&lt;=$L$2,IFERROR(INDEX(MCQ!$A:$K,ROW()-1+1,5),""),IF(ROW()-1&lt;=$L$2+$M$2,IFERROR(INDEX(CLOZE_AB!$A:$K,ROW()-1-$L$2+1,5),""),IF(ROW()-1&lt;=$L$2+$M$2+$N$2,IFERROR(INDEX(CLOZE_LIST!$A:$K,ROW()-1-$L$2-$M$2+1,5),""),IF(ROW()-1&lt;=$L$2+$M$2+$N$2+$O$2,IFERROR(INDEX(PROFORMA!$A:$K,ROW()-1-$L$2-$M$2-$N$2+1,5),""),"")))))</f>
        <v>mcq_radio</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143</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t="str">
        <f>IF(ROW()-1&lt;=0,"",IF(ROW()-1&lt;=$L$2,IFERROR(INDEX(MCQ!$A:$K,ROW()-1+1,5),""),IF(ROW()-1&lt;=$L$2+$M$2,IFERROR(INDEX(CLOZE_AB!$A:$K,ROW()-1-$L$2+1,5),""),IF(ROW()-1&lt;=$L$2+$M$2+$N$2,IFERROR(INDEX(CLOZE_LIST!$A:$K,ROW()-1-$L$2-$M$2+1,5),""),IF(ROW()-1&lt;=$L$2+$M$2+$N$2+$O$2,IFERROR(INDEX(PROFORMA!$A:$K,ROW()-1-$L$2-$M$2-$N$2+1,5),""),"")))))</f>
        <v>mcq_radio</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143</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t="str">
        <f>IF(ROW()-1&lt;=0,"",IF(ROW()-1&lt;=$L$2,IFERROR(INDEX(MCQ!$A:$K,ROW()-1+1,5),""),IF(ROW()-1&lt;=$L$2+$M$2,IFERROR(INDEX(CLOZE_AB!$A:$K,ROW()-1-$L$2+1,5),""),IF(ROW()-1&lt;=$L$2+$M$2+$N$2,IFERROR(INDEX(CLOZE_LIST!$A:$K,ROW()-1-$L$2-$M$2+1,5),""),IF(ROW()-1&lt;=$L$2+$M$2+$N$2+$O$2,IFERROR(INDEX(PROFORMA!$A:$K,ROW()-1-$L$2-$M$2-$N$2+1,5),""),"")))))</f>
        <v>mcq_radio</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143</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t="str">
        <f>IF(ROW()-1&lt;=0,"",IF(ROW()-1&lt;=$L$2,IFERROR(INDEX(MCQ!$A:$K,ROW()-1+1,5),""),IF(ROW()-1&lt;=$L$2+$M$2,IFERROR(INDEX(CLOZE_AB!$A:$K,ROW()-1-$L$2+1,5),""),IF(ROW()-1&lt;=$L$2+$M$2+$N$2,IFERROR(INDEX(CLOZE_LIST!$A:$K,ROW()-1-$L$2-$M$2+1,5),""),IF(ROW()-1&lt;=$L$2+$M$2+$N$2+$O$2,IFERROR(INDEX(PROFORMA!$A:$K,ROW()-1-$L$2-$M$2-$N$2+1,5),""),"")))))</f>
        <v>mcq_radio</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143</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t="str">
        <f>IF(ROW()-1&lt;=0,"",IF(ROW()-1&lt;=$L$2,IFERROR(INDEX(MCQ!$A:$K,ROW()-1+1,5),""),IF(ROW()-1&lt;=$L$2+$M$2,IFERROR(INDEX(CLOZE_AB!$A:$K,ROW()-1-$L$2+1,5),""),IF(ROW()-1&lt;=$L$2+$M$2+$N$2,IFERROR(INDEX(CLOZE_LIST!$A:$K,ROW()-1-$L$2-$M$2+1,5),""),IF(ROW()-1&lt;=$L$2+$M$2+$N$2+$O$2,IFERROR(INDEX(PROFORMA!$A:$K,ROW()-1-$L$2-$M$2-$N$2+1,5),""),"")))))</f>
        <v>mcq_radio</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143</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t="str">
        <f>IF(ROW()-1&lt;=0,"",IF(ROW()-1&lt;=$L$2,IFERROR(INDEX(MCQ!$A:$K,ROW()-1+1,5),""),IF(ROW()-1&lt;=$L$2+$M$2,IFERROR(INDEX(CLOZE_AB!$A:$K,ROW()-1-$L$2+1,5),""),IF(ROW()-1&lt;=$L$2+$M$2+$N$2,IFERROR(INDEX(CLOZE_LIST!$A:$K,ROW()-1-$L$2-$M$2+1,5),""),IF(ROW()-1&lt;=$L$2+$M$2+$N$2+$O$2,IFERROR(INDEX(PROFORMA!$A:$K,ROW()-1-$L$2-$M$2-$N$2+1,5),""),"")))))</f>
        <v>mcq_radio</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143</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t="str">
        <f>IF(ROW()-1&lt;=0,"",IF(ROW()-1&lt;=$L$2,IFERROR(INDEX(MCQ!$A:$K,ROW()-1+1,5),""),IF(ROW()-1&lt;=$L$2+$M$2,IFERROR(INDEX(CLOZE_AB!$A:$K,ROW()-1-$L$2+1,5),""),IF(ROW()-1&lt;=$L$2+$M$2+$N$2,IFERROR(INDEX(CLOZE_LIST!$A:$K,ROW()-1-$L$2-$M$2+1,5),""),IF(ROW()-1&lt;=$L$2+$M$2+$N$2+$O$2,IFERROR(INDEX(PROFORMA!$A:$K,ROW()-1-$L$2-$M$2-$N$2+1,5),""),"")))))</f>
        <v>mcq_radio</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143</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t="str">
        <f>IF(ROW()-1&lt;=0,"",IF(ROW()-1&lt;=$L$2,IFERROR(INDEX(MCQ!$A:$K,ROW()-1+1,5),""),IF(ROW()-1&lt;=$L$2+$M$2,IFERROR(INDEX(CLOZE_AB!$A:$K,ROW()-1-$L$2+1,5),""),IF(ROW()-1&lt;=$L$2+$M$2+$N$2,IFERROR(INDEX(CLOZE_LIST!$A:$K,ROW()-1-$L$2-$M$2+1,5),""),IF(ROW()-1&lt;=$L$2+$M$2+$N$2+$O$2,IFERROR(INDEX(PROFORMA!$A:$K,ROW()-1-$L$2-$M$2-$N$2+1,5),""),"")))))</f>
        <v>mcq_radio</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143</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t="str">
        <f>IF(ROW()-1&lt;=0,"",IF(ROW()-1&lt;=$L$2,IFERROR(INDEX(MCQ!$A:$K,ROW()-1+1,5),""),IF(ROW()-1&lt;=$L$2+$M$2,IFERROR(INDEX(CLOZE_AB!$A:$K,ROW()-1-$L$2+1,5),""),IF(ROW()-1&lt;=$L$2+$M$2+$N$2,IFERROR(INDEX(CLOZE_LIST!$A:$K,ROW()-1-$L$2-$M$2+1,5),""),IF(ROW()-1&lt;=$L$2+$M$2+$N$2+$O$2,IFERROR(INDEX(PROFORMA!$A:$K,ROW()-1-$L$2-$M$2-$N$2+1,5),""),"")))))</f>
        <v>mcq_radio</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143</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t="str">
        <f>IF(ROW()-1&lt;=0,"",IF(ROW()-1&lt;=$L$2,IFERROR(INDEX(MCQ!$A:$K,ROW()-1+1,5),""),IF(ROW()-1&lt;=$L$2+$M$2,IFERROR(INDEX(CLOZE_AB!$A:$K,ROW()-1-$L$2+1,5),""),IF(ROW()-1&lt;=$L$2+$M$2+$N$2,IFERROR(INDEX(CLOZE_LIST!$A:$K,ROW()-1-$L$2-$M$2+1,5),""),IF(ROW()-1&lt;=$L$2+$M$2+$N$2+$O$2,IFERROR(INDEX(PROFORMA!$A:$K,ROW()-1-$L$2-$M$2-$N$2+1,5),""),"")))))</f>
        <v>mcq_radio</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143</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t="str">
        <f>IF(ROW()-1&lt;=0,"",IF(ROW()-1&lt;=$L$2,IFERROR(INDEX(MCQ!$A:$K,ROW()-1+1,5),""),IF(ROW()-1&lt;=$L$2+$M$2,IFERROR(INDEX(CLOZE_AB!$A:$K,ROW()-1-$L$2+1,5),""),IF(ROW()-1&lt;=$L$2+$M$2+$N$2,IFERROR(INDEX(CLOZE_LIST!$A:$K,ROW()-1-$L$2-$M$2+1,5),""),IF(ROW()-1&lt;=$L$2+$M$2+$N$2+$O$2,IFERROR(INDEX(PROFORMA!$A:$K,ROW()-1-$L$2-$M$2-$N$2+1,5),""),"")))))</f>
        <v>mcq_radio</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143</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t="str">
        <f>IF(ROW()-1&lt;=0,"",IF(ROW()-1&lt;=$L$2,IFERROR(INDEX(MCQ!$A:$K,ROW()-1+1,5),""),IF(ROW()-1&lt;=$L$2+$M$2,IFERROR(INDEX(CLOZE_AB!$A:$K,ROW()-1-$L$2+1,5),""),IF(ROW()-1&lt;=$L$2+$M$2+$N$2,IFERROR(INDEX(CLOZE_LIST!$A:$K,ROW()-1-$L$2-$M$2+1,5),""),IF(ROW()-1&lt;=$L$2+$M$2+$N$2+$O$2,IFERROR(INDEX(PROFORMA!$A:$K,ROW()-1-$L$2-$M$2-$N$2+1,5),""),"")))))</f>
        <v>mcq_radio</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143</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t="str">
        <f>IF(ROW()-1&lt;=0,"",IF(ROW()-1&lt;=$L$2,IFERROR(INDEX(MCQ!$A:$K,ROW()-1+1,5),""),IF(ROW()-1&lt;=$L$2+$M$2,IFERROR(INDEX(CLOZE_AB!$A:$K,ROW()-1-$L$2+1,5),""),IF(ROW()-1&lt;=$L$2+$M$2+$N$2,IFERROR(INDEX(CLOZE_LIST!$A:$K,ROW()-1-$L$2-$M$2+1,5),""),IF(ROW()-1&lt;=$L$2+$M$2+$N$2+$O$2,IFERROR(INDEX(PROFORMA!$A:$K,ROW()-1-$L$2-$M$2-$N$2+1,5),""),"")))))</f>
        <v>mcq_radio</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143</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t="str">
        <f>IF(ROW()-1&lt;=0,"",IF(ROW()-1&lt;=$L$2,IFERROR(INDEX(MCQ!$A:$K,ROW()-1+1,5),""),IF(ROW()-1&lt;=$L$2+$M$2,IFERROR(INDEX(CLOZE_AB!$A:$K,ROW()-1-$L$2+1,5),""),IF(ROW()-1&lt;=$L$2+$M$2+$N$2,IFERROR(INDEX(CLOZE_LIST!$A:$K,ROW()-1-$L$2-$M$2+1,5),""),IF(ROW()-1&lt;=$L$2+$M$2+$N$2+$O$2,IFERROR(INDEX(PROFORMA!$A:$K,ROW()-1-$L$2-$M$2-$N$2+1,5),""),"")))))</f>
        <v>mcq_radio</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143</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t="str">
        <f>IF(ROW()-1&lt;=0,"",IF(ROW()-1&lt;=$L$2,IFERROR(INDEX(MCQ!$A:$K,ROW()-1+1,5),""),IF(ROW()-1&lt;=$L$2+$M$2,IFERROR(INDEX(CLOZE_AB!$A:$K,ROW()-1-$L$2+1,5),""),IF(ROW()-1&lt;=$L$2+$M$2+$N$2,IFERROR(INDEX(CLOZE_LIST!$A:$K,ROW()-1-$L$2-$M$2+1,5),""),IF(ROW()-1&lt;=$L$2+$M$2+$N$2+$O$2,IFERROR(INDEX(PROFORMA!$A:$K,ROW()-1-$L$2-$M$2-$N$2+1,5),""),"")))))</f>
        <v>mcq_radio</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143</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t="str">
        <f>IF(ROW()-1&lt;=0,"",IF(ROW()-1&lt;=$L$2,IFERROR(INDEX(MCQ!$A:$K,ROW()-1+1,5),""),IF(ROW()-1&lt;=$L$2+$M$2,IFERROR(INDEX(CLOZE_AB!$A:$K,ROW()-1-$L$2+1,5),""),IF(ROW()-1&lt;=$L$2+$M$2+$N$2,IFERROR(INDEX(CLOZE_LIST!$A:$K,ROW()-1-$L$2-$M$2+1,5),""),IF(ROW()-1&lt;=$L$2+$M$2+$N$2+$O$2,IFERROR(INDEX(PROFORMA!$A:$K,ROW()-1-$L$2-$M$2-$N$2+1,5),""),"")))))</f>
        <v>mcq_radio</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143</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t="str">
        <f>IF(ROW()-1&lt;=0,"",IF(ROW()-1&lt;=$L$2,IFERROR(INDEX(MCQ!$A:$K,ROW()-1+1,5),""),IF(ROW()-1&lt;=$L$2+$M$2,IFERROR(INDEX(CLOZE_AB!$A:$K,ROW()-1-$L$2+1,5),""),IF(ROW()-1&lt;=$L$2+$M$2+$N$2,IFERROR(INDEX(CLOZE_LIST!$A:$K,ROW()-1-$L$2-$M$2+1,5),""),IF(ROW()-1&lt;=$L$2+$M$2+$N$2+$O$2,IFERROR(INDEX(PROFORMA!$A:$K,ROW()-1-$L$2-$M$2-$N$2+1,5),""),"")))))</f>
        <v>mcq_radio</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143</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t="str">
        <f>IF(ROW()-1&lt;=0,"",IF(ROW()-1&lt;=$L$2,IFERROR(INDEX(MCQ!$A:$K,ROW()-1+1,5),""),IF(ROW()-1&lt;=$L$2+$M$2,IFERROR(INDEX(CLOZE_AB!$A:$K,ROW()-1-$L$2+1,5),""),IF(ROW()-1&lt;=$L$2+$M$2+$N$2,IFERROR(INDEX(CLOZE_LIST!$A:$K,ROW()-1-$L$2-$M$2+1,5),""),IF(ROW()-1&lt;=$L$2+$M$2+$N$2+$O$2,IFERROR(INDEX(PROFORMA!$A:$K,ROW()-1-$L$2-$M$2-$N$2+1,5),""),"")))))</f>
        <v>mcq_radio</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143</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t="str">
        <f>IF(ROW()-1&lt;=0,"",IF(ROW()-1&lt;=$L$2,IFERROR(INDEX(MCQ!$A:$K,ROW()-1+1,5),""),IF(ROW()-1&lt;=$L$2+$M$2,IFERROR(INDEX(CLOZE_AB!$A:$K,ROW()-1-$L$2+1,5),""),IF(ROW()-1&lt;=$L$2+$M$2+$N$2,IFERROR(INDEX(CLOZE_LIST!$A:$K,ROW()-1-$L$2-$M$2+1,5),""),IF(ROW()-1&lt;=$L$2+$M$2+$N$2+$O$2,IFERROR(INDEX(PROFORMA!$A:$K,ROW()-1-$L$2-$M$2-$N$2+1,5),""),"")))))</f>
        <v>mcq_radio</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143</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t="str">
        <f>IF(ROW()-1&lt;=0,"",IF(ROW()-1&lt;=$L$2,IFERROR(INDEX(MCQ!$A:$K,ROW()-1+1,5),""),IF(ROW()-1&lt;=$L$2+$M$2,IFERROR(INDEX(CLOZE_AB!$A:$K,ROW()-1-$L$2+1,5),""),IF(ROW()-1&lt;=$L$2+$M$2+$N$2,IFERROR(INDEX(CLOZE_LIST!$A:$K,ROW()-1-$L$2-$M$2+1,5),""),IF(ROW()-1&lt;=$L$2+$M$2+$N$2+$O$2,IFERROR(INDEX(PROFORMA!$A:$K,ROW()-1-$L$2-$M$2-$N$2+1,5),""),"")))))</f>
        <v>mcq_radio</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143</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t="str">
        <f>IF(ROW()-1&lt;=0,"",IF(ROW()-1&lt;=$L$2,IFERROR(INDEX(MCQ!$A:$K,ROW()-1+1,5),""),IF(ROW()-1&lt;=$L$2+$M$2,IFERROR(INDEX(CLOZE_AB!$A:$K,ROW()-1-$L$2+1,5),""),IF(ROW()-1&lt;=$L$2+$M$2+$N$2,IFERROR(INDEX(CLOZE_LIST!$A:$K,ROW()-1-$L$2-$M$2+1,5),""),IF(ROW()-1&lt;=$L$2+$M$2+$N$2+$O$2,IFERROR(INDEX(PROFORMA!$A:$K,ROW()-1-$L$2-$M$2-$N$2+1,5),""),"")))))</f>
        <v>mcq_radio</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143</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t="str">
        <f>IF(ROW()-1&lt;=0,"",IF(ROW()-1&lt;=$L$2,IFERROR(INDEX(MCQ!$A:$K,ROW()-1+1,5),""),IF(ROW()-1&lt;=$L$2+$M$2,IFERROR(INDEX(CLOZE_AB!$A:$K,ROW()-1-$L$2+1,5),""),IF(ROW()-1&lt;=$L$2+$M$2+$N$2,IFERROR(INDEX(CLOZE_LIST!$A:$K,ROW()-1-$L$2-$M$2+1,5),""),IF(ROW()-1&lt;=$L$2+$M$2+$N$2+$O$2,IFERROR(INDEX(PROFORMA!$A:$K,ROW()-1-$L$2-$M$2-$N$2+1,5),""),"")))))</f>
        <v>mcq_radio</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143</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t="str">
        <f>IF(ROW()-1&lt;=0,"",IF(ROW()-1&lt;=$L$2,IFERROR(INDEX(MCQ!$A:$K,ROW()-1+1,5),""),IF(ROW()-1&lt;=$L$2+$M$2,IFERROR(INDEX(CLOZE_AB!$A:$K,ROW()-1-$L$2+1,5),""),IF(ROW()-1&lt;=$L$2+$M$2+$N$2,IFERROR(INDEX(CLOZE_LIST!$A:$K,ROW()-1-$L$2-$M$2+1,5),""),IF(ROW()-1&lt;=$L$2+$M$2+$N$2+$O$2,IFERROR(INDEX(PROFORMA!$A:$K,ROW()-1-$L$2-$M$2-$N$2+1,5),""),"")))))</f>
        <v>mcq_radio</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143</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t="str">
        <f>IF(ROW()-1&lt;=0,"",IF(ROW()-1&lt;=$L$2,IFERROR(INDEX(MCQ!$A:$K,ROW()-1+1,5),""),IF(ROW()-1&lt;=$L$2+$M$2,IFERROR(INDEX(CLOZE_AB!$A:$K,ROW()-1-$L$2+1,5),""),IF(ROW()-1&lt;=$L$2+$M$2+$N$2,IFERROR(INDEX(CLOZE_LIST!$A:$K,ROW()-1-$L$2-$M$2+1,5),""),IF(ROW()-1&lt;=$L$2+$M$2+$N$2+$O$2,IFERROR(INDEX(PROFORMA!$A:$K,ROW()-1-$L$2-$M$2-$N$2+1,5),""),"")))))</f>
        <v>mcq_radio</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143</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t="str">
        <f>IF(ROW()-1&lt;=0,"",IF(ROW()-1&lt;=$L$2,IFERROR(INDEX(MCQ!$A:$K,ROW()-1+1,5),""),IF(ROW()-1&lt;=$L$2+$M$2,IFERROR(INDEX(CLOZE_AB!$A:$K,ROW()-1-$L$2+1,5),""),IF(ROW()-1&lt;=$L$2+$M$2+$N$2,IFERROR(INDEX(CLOZE_LIST!$A:$K,ROW()-1-$L$2-$M$2+1,5),""),IF(ROW()-1&lt;=$L$2+$M$2+$N$2+$O$2,IFERROR(INDEX(PROFORMA!$A:$K,ROW()-1-$L$2-$M$2-$N$2+1,5),""),"")))))</f>
        <v>mcq_radio</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143</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t="str">
        <f>IF(ROW()-1&lt;=0,"",IF(ROW()-1&lt;=$L$2,IFERROR(INDEX(MCQ!$A:$K,ROW()-1+1,5),""),IF(ROW()-1&lt;=$L$2+$M$2,IFERROR(INDEX(CLOZE_AB!$A:$K,ROW()-1-$L$2+1,5),""),IF(ROW()-1&lt;=$L$2+$M$2+$N$2,IFERROR(INDEX(CLOZE_LIST!$A:$K,ROW()-1-$L$2-$M$2+1,5),""),IF(ROW()-1&lt;=$L$2+$M$2+$N$2+$O$2,IFERROR(INDEX(PROFORMA!$A:$K,ROW()-1-$L$2-$M$2-$N$2+1,5),""),"")))))</f>
        <v>mcq_radio</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143</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t="str">
        <f>IF(ROW()-1&lt;=0,"",IF(ROW()-1&lt;=$L$2,IFERROR(INDEX(MCQ!$A:$K,ROW()-1+1,5),""),IF(ROW()-1&lt;=$L$2+$M$2,IFERROR(INDEX(CLOZE_AB!$A:$K,ROW()-1-$L$2+1,5),""),IF(ROW()-1&lt;=$L$2+$M$2+$N$2,IFERROR(INDEX(CLOZE_LIST!$A:$K,ROW()-1-$L$2-$M$2+1,5),""),IF(ROW()-1&lt;=$L$2+$M$2+$N$2+$O$2,IFERROR(INDEX(PROFORMA!$A:$K,ROW()-1-$L$2-$M$2-$N$2+1,5),""),"")))))</f>
        <v>mcq_radio</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143</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t="str">
        <f>IF(ROW()-1&lt;=0,"",IF(ROW()-1&lt;=$L$2,IFERROR(INDEX(MCQ!$A:$K,ROW()-1+1,5),""),IF(ROW()-1&lt;=$L$2+$M$2,IFERROR(INDEX(CLOZE_AB!$A:$K,ROW()-1-$L$2+1,5),""),IF(ROW()-1&lt;=$L$2+$M$2+$N$2,IFERROR(INDEX(CLOZE_LIST!$A:$K,ROW()-1-$L$2-$M$2+1,5),""),IF(ROW()-1&lt;=$L$2+$M$2+$N$2+$O$2,IFERROR(INDEX(PROFORMA!$A:$K,ROW()-1-$L$2-$M$2-$N$2+1,5),""),"")))))</f>
        <v>mcq_radio</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143</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t="str">
        <f>IF(ROW()-1&lt;=0,"",IF(ROW()-1&lt;=$L$2,IFERROR(INDEX(MCQ!$A:$K,ROW()-1+1,5),""),IF(ROW()-1&lt;=$L$2+$M$2,IFERROR(INDEX(CLOZE_AB!$A:$K,ROW()-1-$L$2+1,5),""),IF(ROW()-1&lt;=$L$2+$M$2+$N$2,IFERROR(INDEX(CLOZE_LIST!$A:$K,ROW()-1-$L$2-$M$2+1,5),""),IF(ROW()-1&lt;=$L$2+$M$2+$N$2+$O$2,IFERROR(INDEX(PROFORMA!$A:$K,ROW()-1-$L$2-$M$2-$N$2+1,5),""),"")))))</f>
        <v>mcq_radio</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143</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t="str">
        <f>IF(ROW()-1&lt;=0,"",IF(ROW()-1&lt;=$L$2,IFERROR(INDEX(MCQ!$A:$K,ROW()-1+1,5),""),IF(ROW()-1&lt;=$L$2+$M$2,IFERROR(INDEX(CLOZE_AB!$A:$K,ROW()-1-$L$2+1,5),""),IF(ROW()-1&lt;=$L$2+$M$2+$N$2,IFERROR(INDEX(CLOZE_LIST!$A:$K,ROW()-1-$L$2-$M$2+1,5),""),IF(ROW()-1&lt;=$L$2+$M$2+$N$2+$O$2,IFERROR(INDEX(PROFORMA!$A:$K,ROW()-1-$L$2-$M$2-$N$2+1,5),""),"")))))</f>
        <v>mcq_radio</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143</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t="str">
        <f>IF(ROW()-1&lt;=0,"",IF(ROW()-1&lt;=$L$2,IFERROR(INDEX(MCQ!$A:$K,ROW()-1+1,5),""),IF(ROW()-1&lt;=$L$2+$M$2,IFERROR(INDEX(CLOZE_AB!$A:$K,ROW()-1-$L$2+1,5),""),IF(ROW()-1&lt;=$L$2+$M$2+$N$2,IFERROR(INDEX(CLOZE_LIST!$A:$K,ROW()-1-$L$2-$M$2+1,5),""),IF(ROW()-1&lt;=$L$2+$M$2+$N$2+$O$2,IFERROR(INDEX(PROFORMA!$A:$K,ROW()-1-$L$2-$M$2-$N$2+1,5),""),"")))))</f>
        <v>mcq_radio</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143</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t="str">
        <f>IF(ROW()-1&lt;=0,"",IF(ROW()-1&lt;=$L$2,IFERROR(INDEX(MCQ!$A:$K,ROW()-1+1,5),""),IF(ROW()-1&lt;=$L$2+$M$2,IFERROR(INDEX(CLOZE_AB!$A:$K,ROW()-1-$L$2+1,5),""),IF(ROW()-1&lt;=$L$2+$M$2+$N$2,IFERROR(INDEX(CLOZE_LIST!$A:$K,ROW()-1-$L$2-$M$2+1,5),""),IF(ROW()-1&lt;=$L$2+$M$2+$N$2+$O$2,IFERROR(INDEX(PROFORMA!$A:$K,ROW()-1-$L$2-$M$2-$N$2+1,5),""),"")))))</f>
        <v>mcq_radio</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143</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t="str">
        <f>IF(ROW()-1&lt;=0,"",IF(ROW()-1&lt;=$L$2,IFERROR(INDEX(MCQ!$A:$K,ROW()-1+1,5),""),IF(ROW()-1&lt;=$L$2+$M$2,IFERROR(INDEX(CLOZE_AB!$A:$K,ROW()-1-$L$2+1,5),""),IF(ROW()-1&lt;=$L$2+$M$2+$N$2,IFERROR(INDEX(CLOZE_LIST!$A:$K,ROW()-1-$L$2-$M$2+1,5),""),IF(ROW()-1&lt;=$L$2+$M$2+$N$2+$O$2,IFERROR(INDEX(PROFORMA!$A:$K,ROW()-1-$L$2-$M$2-$N$2+1,5),""),"")))))</f>
        <v>mcq_radio</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143</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t="str">
        <f>IF(ROW()-1&lt;=0,"",IF(ROW()-1&lt;=$L$2,IFERROR(INDEX(MCQ!$A:$K,ROW()-1+1,5),""),IF(ROW()-1&lt;=$L$2+$M$2,IFERROR(INDEX(CLOZE_AB!$A:$K,ROW()-1-$L$2+1,5),""),IF(ROW()-1&lt;=$L$2+$M$2+$N$2,IFERROR(INDEX(CLOZE_LIST!$A:$K,ROW()-1-$L$2-$M$2+1,5),""),IF(ROW()-1&lt;=$L$2+$M$2+$N$2+$O$2,IFERROR(INDEX(PROFORMA!$A:$K,ROW()-1-$L$2-$M$2-$N$2+1,5),""),"")))))</f>
        <v>mcq_radio</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143</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t="str">
        <f>IF(ROW()-1&lt;=0,"",IF(ROW()-1&lt;=$L$2,IFERROR(INDEX(MCQ!$A:$K,ROW()-1+1,5),""),IF(ROW()-1&lt;=$L$2+$M$2,IFERROR(INDEX(CLOZE_AB!$A:$K,ROW()-1-$L$2+1,5),""),IF(ROW()-1&lt;=$L$2+$M$2+$N$2,IFERROR(INDEX(CLOZE_LIST!$A:$K,ROW()-1-$L$2-$M$2+1,5),""),IF(ROW()-1&lt;=$L$2+$M$2+$N$2+$O$2,IFERROR(INDEX(PROFORMA!$A:$K,ROW()-1-$L$2-$M$2-$N$2+1,5),""),"")))))</f>
        <v>mcq_radio</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143</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t="str">
        <f>IF(ROW()-1&lt;=0,"",IF(ROW()-1&lt;=$L$2,IFERROR(INDEX(MCQ!$A:$K,ROW()-1+1,5),""),IF(ROW()-1&lt;=$L$2+$M$2,IFERROR(INDEX(CLOZE_AB!$A:$K,ROW()-1-$L$2+1,5),""),IF(ROW()-1&lt;=$L$2+$M$2+$N$2,IFERROR(INDEX(CLOZE_LIST!$A:$K,ROW()-1-$L$2-$M$2+1,5),""),IF(ROW()-1&lt;=$L$2+$M$2+$N$2+$O$2,IFERROR(INDEX(PROFORMA!$A:$K,ROW()-1-$L$2-$M$2-$N$2+1,5),""),"")))))</f>
        <v>mcq_radio</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143</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t="str">
        <f>IF(ROW()-1&lt;=0,"",IF(ROW()-1&lt;=$L$2,IFERROR(INDEX(MCQ!$A:$K,ROW()-1+1,5),""),IF(ROW()-1&lt;=$L$2+$M$2,IFERROR(INDEX(CLOZE_AB!$A:$K,ROW()-1-$L$2+1,5),""),IF(ROW()-1&lt;=$L$2+$M$2+$N$2,IFERROR(INDEX(CLOZE_LIST!$A:$K,ROW()-1-$L$2-$M$2+1,5),""),IF(ROW()-1&lt;=$L$2+$M$2+$N$2+$O$2,IFERROR(INDEX(PROFORMA!$A:$K,ROW()-1-$L$2-$M$2-$N$2+1,5),""),"")))))</f>
        <v>mcq_radio</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143</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t="str">
        <f>IF(ROW()-1&lt;=0,"",IF(ROW()-1&lt;=$L$2,IFERROR(INDEX(MCQ!$A:$K,ROW()-1+1,5),""),IF(ROW()-1&lt;=$L$2+$M$2,IFERROR(INDEX(CLOZE_AB!$A:$K,ROW()-1-$L$2+1,5),""),IF(ROW()-1&lt;=$L$2+$M$2+$N$2,IFERROR(INDEX(CLOZE_LIST!$A:$K,ROW()-1-$L$2-$M$2+1,5),""),IF(ROW()-1&lt;=$L$2+$M$2+$N$2+$O$2,IFERROR(INDEX(PROFORMA!$A:$K,ROW()-1-$L$2-$M$2-$N$2+1,5),""),"")))))</f>
        <v>mcq_radio</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143</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t="str">
        <f>IF(ROW()-1&lt;=0,"",IF(ROW()-1&lt;=$L$2,IFERROR(INDEX(MCQ!$A:$K,ROW()-1+1,5),""),IF(ROW()-1&lt;=$L$2+$M$2,IFERROR(INDEX(CLOZE_AB!$A:$K,ROW()-1-$L$2+1,5),""),IF(ROW()-1&lt;=$L$2+$M$2+$N$2,IFERROR(INDEX(CLOZE_LIST!$A:$K,ROW()-1-$L$2-$M$2+1,5),""),IF(ROW()-1&lt;=$L$2+$M$2+$N$2+$O$2,IFERROR(INDEX(PROFORMA!$A:$K,ROW()-1-$L$2-$M$2-$N$2+1,5),""),"")))))</f>
        <v>mcq_radio</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143</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t="str">
        <f>IF(ROW()-1&lt;=0,"",IF(ROW()-1&lt;=$L$2,IFERROR(INDEX(MCQ!$A:$K,ROW()-1+1,5),""),IF(ROW()-1&lt;=$L$2+$M$2,IFERROR(INDEX(CLOZE_AB!$A:$K,ROW()-1-$L$2+1,5),""),IF(ROW()-1&lt;=$L$2+$M$2+$N$2,IFERROR(INDEX(CLOZE_LIST!$A:$K,ROW()-1-$L$2-$M$2+1,5),""),IF(ROW()-1&lt;=$L$2+$M$2+$N$2+$O$2,IFERROR(INDEX(PROFORMA!$A:$K,ROW()-1-$L$2-$M$2-$N$2+1,5),""),"")))))</f>
        <v>mcq_radio</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143</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t="str">
        <f>IF(ROW()-1&lt;=0,"",IF(ROW()-1&lt;=$L$2,IFERROR(INDEX(MCQ!$A:$K,ROW()-1+1,5),""),IF(ROW()-1&lt;=$L$2+$M$2,IFERROR(INDEX(CLOZE_AB!$A:$K,ROW()-1-$L$2+1,5),""),IF(ROW()-1&lt;=$L$2+$M$2+$N$2,IFERROR(INDEX(CLOZE_LIST!$A:$K,ROW()-1-$L$2-$M$2+1,5),""),IF(ROW()-1&lt;=$L$2+$M$2+$N$2+$O$2,IFERROR(INDEX(PROFORMA!$A:$K,ROW()-1-$L$2-$M$2-$N$2+1,5),""),"")))))</f>
        <v>mcq_radio</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143</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t="str">
        <f>IF(ROW()-1&lt;=0,"",IF(ROW()-1&lt;=$L$2,IFERROR(INDEX(MCQ!$A:$K,ROW()-1+1,5),""),IF(ROW()-1&lt;=$L$2+$M$2,IFERROR(INDEX(CLOZE_AB!$A:$K,ROW()-1-$L$2+1,5),""),IF(ROW()-1&lt;=$L$2+$M$2+$N$2,IFERROR(INDEX(CLOZE_LIST!$A:$K,ROW()-1-$L$2-$M$2+1,5),""),IF(ROW()-1&lt;=$L$2+$M$2+$N$2+$O$2,IFERROR(INDEX(PROFORMA!$A:$K,ROW()-1-$L$2-$M$2-$N$2+1,5),""),"")))))</f>
        <v>mcq_radio</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143</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t="str">
        <f>IF(ROW()-1&lt;=0,"",IF(ROW()-1&lt;=$L$2,IFERROR(INDEX(MCQ!$A:$K,ROW()-1+1,5),""),IF(ROW()-1&lt;=$L$2+$M$2,IFERROR(INDEX(CLOZE_AB!$A:$K,ROW()-1-$L$2+1,5),""),IF(ROW()-1&lt;=$L$2+$M$2+$N$2,IFERROR(INDEX(CLOZE_LIST!$A:$K,ROW()-1-$L$2-$M$2+1,5),""),IF(ROW()-1&lt;=$L$2+$M$2+$N$2+$O$2,IFERROR(INDEX(PROFORMA!$A:$K,ROW()-1-$L$2-$M$2-$N$2+1,5),""),"")))))</f>
        <v>mcq_radio</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143</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t="str">
        <f>IF(ROW()-1&lt;=0,"",IF(ROW()-1&lt;=$L$2,IFERROR(INDEX(MCQ!$A:$K,ROW()-1+1,5),""),IF(ROW()-1&lt;=$L$2+$M$2,IFERROR(INDEX(CLOZE_AB!$A:$K,ROW()-1-$L$2+1,5),""),IF(ROW()-1&lt;=$L$2+$M$2+$N$2,IFERROR(INDEX(CLOZE_LIST!$A:$K,ROW()-1-$L$2-$M$2+1,5),""),IF(ROW()-1&lt;=$L$2+$M$2+$N$2+$O$2,IFERROR(INDEX(PROFORMA!$A:$K,ROW()-1-$L$2-$M$2-$N$2+1,5),""),"")))))</f>
        <v>mcq_radio</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143</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t="str">
        <f>IF(ROW()-1&lt;=0,"",IF(ROW()-1&lt;=$L$2,IFERROR(INDEX(MCQ!$A:$K,ROW()-1+1,5),""),IF(ROW()-1&lt;=$L$2+$M$2,IFERROR(INDEX(CLOZE_AB!$A:$K,ROW()-1-$L$2+1,5),""),IF(ROW()-1&lt;=$L$2+$M$2+$N$2,IFERROR(INDEX(CLOZE_LIST!$A:$K,ROW()-1-$L$2-$M$2+1,5),""),IF(ROW()-1&lt;=$L$2+$M$2+$N$2+$O$2,IFERROR(INDEX(PROFORMA!$A:$K,ROW()-1-$L$2-$M$2-$N$2+1,5),""),"")))))</f>
        <v>mcq_radio</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143</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t="str">
        <f>IF(ROW()-1&lt;=0,"",IF(ROW()-1&lt;=$L$2,IFERROR(INDEX(MCQ!$A:$K,ROW()-1+1,5),""),IF(ROW()-1&lt;=$L$2+$M$2,IFERROR(INDEX(CLOZE_AB!$A:$K,ROW()-1-$L$2+1,5),""),IF(ROW()-1&lt;=$L$2+$M$2+$N$2,IFERROR(INDEX(CLOZE_LIST!$A:$K,ROW()-1-$L$2-$M$2+1,5),""),IF(ROW()-1&lt;=$L$2+$M$2+$N$2+$O$2,IFERROR(INDEX(PROFORMA!$A:$K,ROW()-1-$L$2-$M$2-$N$2+1,5),""),"")))))</f>
        <v>mcq_radio</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143</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t="str">
        <f>IF(ROW()-1&lt;=0,"",IF(ROW()-1&lt;=$L$2,IFERROR(INDEX(MCQ!$A:$K,ROW()-1+1,5),""),IF(ROW()-1&lt;=$L$2+$M$2,IFERROR(INDEX(CLOZE_AB!$A:$K,ROW()-1-$L$2+1,5),""),IF(ROW()-1&lt;=$L$2+$M$2+$N$2,IFERROR(INDEX(CLOZE_LIST!$A:$K,ROW()-1-$L$2-$M$2+1,5),""),IF(ROW()-1&lt;=$L$2+$M$2+$N$2+$O$2,IFERROR(INDEX(PROFORMA!$A:$K,ROW()-1-$L$2-$M$2-$N$2+1,5),""),"")))))</f>
        <v>mcq_radio</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143</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t="str">
        <f>IF(ROW()-1&lt;=0,"",IF(ROW()-1&lt;=$L$2,IFERROR(INDEX(MCQ!$A:$K,ROW()-1+1,5),""),IF(ROW()-1&lt;=$L$2+$M$2,IFERROR(INDEX(CLOZE_AB!$A:$K,ROW()-1-$L$2+1,5),""),IF(ROW()-1&lt;=$L$2+$M$2+$N$2,IFERROR(INDEX(CLOZE_LIST!$A:$K,ROW()-1-$L$2-$M$2+1,5),""),IF(ROW()-1&lt;=$L$2+$M$2+$N$2+$O$2,IFERROR(INDEX(PROFORMA!$A:$K,ROW()-1-$L$2-$M$2-$N$2+1,5),""),"")))))</f>
        <v>mcq_radio</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143</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t="str">
        <f>IF(ROW()-1&lt;=0,"",IF(ROW()-1&lt;=$L$2,IFERROR(INDEX(MCQ!$A:$K,ROW()-1+1,5),""),IF(ROW()-1&lt;=$L$2+$M$2,IFERROR(INDEX(CLOZE_AB!$A:$K,ROW()-1-$L$2+1,5),""),IF(ROW()-1&lt;=$L$2+$M$2+$N$2,IFERROR(INDEX(CLOZE_LIST!$A:$K,ROW()-1-$L$2-$M$2+1,5),""),IF(ROW()-1&lt;=$L$2+$M$2+$N$2+$O$2,IFERROR(INDEX(PROFORMA!$A:$K,ROW()-1-$L$2-$M$2-$N$2+1,5),""),"")))))</f>
        <v>mcq_radio</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143</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t="str">
        <f>IF(ROW()-1&lt;=0,"",IF(ROW()-1&lt;=$L$2,IFERROR(INDEX(MCQ!$A:$K,ROW()-1+1,5),""),IF(ROW()-1&lt;=$L$2+$M$2,IFERROR(INDEX(CLOZE_AB!$A:$K,ROW()-1-$L$2+1,5),""),IF(ROW()-1&lt;=$L$2+$M$2+$N$2,IFERROR(INDEX(CLOZE_LIST!$A:$K,ROW()-1-$L$2-$M$2+1,5),""),IF(ROW()-1&lt;=$L$2+$M$2+$N$2+$O$2,IFERROR(INDEX(PROFORMA!$A:$K,ROW()-1-$L$2-$M$2-$N$2+1,5),""),"")))))</f>
        <v>mcq_radio</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143</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t="str">
        <f>IF(ROW()-1&lt;=0,"",IF(ROW()-1&lt;=$L$2,IFERROR(INDEX(MCQ!$A:$K,ROW()-1+1,5),""),IF(ROW()-1&lt;=$L$2+$M$2,IFERROR(INDEX(CLOZE_AB!$A:$K,ROW()-1-$L$2+1,5),""),IF(ROW()-1&lt;=$L$2+$M$2+$N$2,IFERROR(INDEX(CLOZE_LIST!$A:$K,ROW()-1-$L$2-$M$2+1,5),""),IF(ROW()-1&lt;=$L$2+$M$2+$N$2+$O$2,IFERROR(INDEX(PROFORMA!$A:$K,ROW()-1-$L$2-$M$2-$N$2+1,5),""),"")))))</f>
        <v>mcq_radio</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143</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t="str">
        <f>IF(ROW()-1&lt;=0,"",IF(ROW()-1&lt;=$L$2,IFERROR(INDEX(MCQ!$A:$K,ROW()-1+1,5),""),IF(ROW()-1&lt;=$L$2+$M$2,IFERROR(INDEX(CLOZE_AB!$A:$K,ROW()-1-$L$2+1,5),""),IF(ROW()-1&lt;=$L$2+$M$2+$N$2,IFERROR(INDEX(CLOZE_LIST!$A:$K,ROW()-1-$L$2-$M$2+1,5),""),IF(ROW()-1&lt;=$L$2+$M$2+$N$2+$O$2,IFERROR(INDEX(PROFORMA!$A:$K,ROW()-1-$L$2-$M$2-$N$2+1,5),""),"")))))</f>
        <v>mcq_radio</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143</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t="str">
        <f>IF(ROW()-1&lt;=0,"",IF(ROW()-1&lt;=$L$2,IFERROR(INDEX(MCQ!$A:$K,ROW()-1+1,5),""),IF(ROW()-1&lt;=$L$2+$M$2,IFERROR(INDEX(CLOZE_AB!$A:$K,ROW()-1-$L$2+1,5),""),IF(ROW()-1&lt;=$L$2+$M$2+$N$2,IFERROR(INDEX(CLOZE_LIST!$A:$K,ROW()-1-$L$2-$M$2+1,5),""),IF(ROW()-1&lt;=$L$2+$M$2+$N$2+$O$2,IFERROR(INDEX(PROFORMA!$A:$K,ROW()-1-$L$2-$M$2-$N$2+1,5),""),"")))))</f>
        <v>mcq_radio</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143</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t="str">
        <f>IF(ROW()-1&lt;=0,"",IF(ROW()-1&lt;=$L$2,IFERROR(INDEX(MCQ!$A:$K,ROW()-1+1,5),""),IF(ROW()-1&lt;=$L$2+$M$2,IFERROR(INDEX(CLOZE_AB!$A:$K,ROW()-1-$L$2+1,5),""),IF(ROW()-1&lt;=$L$2+$M$2+$N$2,IFERROR(INDEX(CLOZE_LIST!$A:$K,ROW()-1-$L$2-$M$2+1,5),""),IF(ROW()-1&lt;=$L$2+$M$2+$N$2+$O$2,IFERROR(INDEX(PROFORMA!$A:$K,ROW()-1-$L$2-$M$2-$N$2+1,5),""),"")))))</f>
        <v>mcq_radio</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143</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t="str">
        <f>IF(ROW()-1&lt;=0,"",IF(ROW()-1&lt;=$L$2,IFERROR(INDEX(MCQ!$A:$K,ROW()-1+1,5),""),IF(ROW()-1&lt;=$L$2+$M$2,IFERROR(INDEX(CLOZE_AB!$A:$K,ROW()-1-$L$2+1,5),""),IF(ROW()-1&lt;=$L$2+$M$2+$N$2,IFERROR(INDEX(CLOZE_LIST!$A:$K,ROW()-1-$L$2-$M$2+1,5),""),IF(ROW()-1&lt;=$L$2+$M$2+$N$2+$O$2,IFERROR(INDEX(PROFORMA!$A:$K,ROW()-1-$L$2-$M$2-$N$2+1,5),""),"")))))</f>
        <v>mcq_radio</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143</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t="str">
        <f>IF(ROW()-1&lt;=0,"",IF(ROW()-1&lt;=$L$2,IFERROR(INDEX(MCQ!$A:$K,ROW()-1+1,5),""),IF(ROW()-1&lt;=$L$2+$M$2,IFERROR(INDEX(CLOZE_AB!$A:$K,ROW()-1-$L$2+1,5),""),IF(ROW()-1&lt;=$L$2+$M$2+$N$2,IFERROR(INDEX(CLOZE_LIST!$A:$K,ROW()-1-$L$2-$M$2+1,5),""),IF(ROW()-1&lt;=$L$2+$M$2+$N$2+$O$2,IFERROR(INDEX(PROFORMA!$A:$K,ROW()-1-$L$2-$M$2-$N$2+1,5),""),"")))))</f>
        <v>mcq_radio</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143</v>
      </c>
      <c r="M143" s="3">
        <f>COUNTA(CLOZE_AB!$A:$A)-1</f>
        <v>168</v>
      </c>
      <c r="N143" s="3">
        <f>COUNTA(CLOZE_LIST!$A:$A)-1</f>
        <v>199</v>
      </c>
      <c r="O143" s="3">
        <f>COUNTA(PROFORMA!$A:$A)-1</f>
        <v>199</v>
      </c>
    </row>
    <row r="144" spans="1:15" x14ac:dyDescent="0.3">
      <c r="A144" s="3" t="str">
        <f>IF(ROW()-1&lt;=0,"",IF(ROW()-1&lt;=$L$2,IFERROR(INDEX(MCQ!$A:$K,ROW()-1+1,1),""),IF(ROW()-1&lt;=$L$2+$M$2,IFERROR(INDEX(CLOZE_AB!$A:$K,ROW()-1-$L$2+1,1),""),IF(ROW()-1&lt;=$L$2+$M$2+$N$2,IFERROR(INDEX(CLOZE_LIST!$A:$K,ROW()-1-$L$2-$M$2+1,1),""),IF(ROW()-1&lt;=$L$2+$M$2+$N$2+$O$2,IFERROR(INDEX(PROFORMA!$A:$K,ROW()-1-$L$2-$M$2-$N$2+1,1),""),"")))))</f>
        <v/>
      </c>
      <c r="B144" s="3">
        <f>IF(ROW()-1&lt;=0,"",IF(ROW()-1&lt;=$L$2,IFERROR(INDEX(MCQ!$A:$K,ROW()-1+1,2),""),IF(ROW()-1&lt;=$L$2+$M$2,IFERROR(INDEX(CLOZE_AB!$A:$K,ROW()-1-$L$2+1,2),""),IF(ROW()-1&lt;=$L$2+$M$2+$N$2,IFERROR(INDEX(CLOZE_LIST!$A:$K,ROW()-1-$L$2-$M$2+1,2),""),IF(ROW()-1&lt;=$L$2+$M$2+$N$2+$O$2,IFERROR(INDEX(PROFORMA!$A:$K,ROW()-1-$L$2-$M$2-$N$2+1,2),""),"")))))</f>
        <v>0</v>
      </c>
      <c r="C144" s="3">
        <f>IF(ROW()-1&lt;=0,"",IF(ROW()-1&lt;=$L$2,IFERROR(INDEX(MCQ!$A:$K,ROW()-1+1,3),""),IF(ROW()-1&lt;=$L$2+$M$2,IFERROR(INDEX(CLOZE_AB!$A:$K,ROW()-1-$L$2+1,3),""),IF(ROW()-1&lt;=$L$2+$M$2+$N$2,IFERROR(INDEX(CLOZE_LIST!$A:$K,ROW()-1-$L$2-$M$2+1,3),""),IF(ROW()-1&lt;=$L$2+$M$2+$N$2+$O$2,IFERROR(INDEX(PROFORMA!$A:$K,ROW()-1-$L$2-$M$2-$N$2+1,3),""),"")))))</f>
        <v>0</v>
      </c>
      <c r="D144" s="3">
        <f>IF(ROW()-1&lt;=0,"",IF(ROW()-1&lt;=$L$2,IFERROR(INDEX(MCQ!$A:$K,ROW()-1+1,4),""),IF(ROW()-1&lt;=$L$2+$M$2,IFERROR(INDEX(CLOZE_AB!$A:$K,ROW()-1-$L$2+1,4),""),IF(ROW()-1&lt;=$L$2+$M$2+$N$2,IFERROR(INDEX(CLOZE_LIST!$A:$K,ROW()-1-$L$2-$M$2+1,4),""),IF(ROW()-1&lt;=$L$2+$M$2+$N$2+$O$2,IFERROR(INDEX(PROFORMA!$A:$K,ROW()-1-$L$2-$M$2-$N$2+1,4),""),"")))))</f>
        <v>0</v>
      </c>
      <c r="E144" s="3" t="str">
        <f>IF(ROW()-1&lt;=0,"",IF(ROW()-1&lt;=$L$2,IFERROR(INDEX(MCQ!$A:$K,ROW()-1+1,5),""),IF(ROW()-1&lt;=$L$2+$M$2,IFERROR(INDEX(CLOZE_AB!$A:$K,ROW()-1-$L$2+1,5),""),IF(ROW()-1&lt;=$L$2+$M$2+$N$2,IFERROR(INDEX(CLOZE_LIST!$A:$K,ROW()-1-$L$2-$M$2+1,5),""),IF(ROW()-1&lt;=$L$2+$M$2+$N$2+$O$2,IFERROR(INDEX(PROFORMA!$A:$K,ROW()-1-$L$2-$M$2-$N$2+1,5),""),"")))))</f>
        <v>mcq_radio</v>
      </c>
      <c r="F144" s="3">
        <f>IF(ROW()-1&lt;=0,"",IF(ROW()-1&lt;=$L$2,IFERROR(INDEX(MCQ!$A:$K,ROW()-1+1,6),""),IF(ROW()-1&lt;=$L$2+$M$2,IFERROR(INDEX(CLOZE_AB!$A:$K,ROW()-1-$L$2+1,6),""),IF(ROW()-1&lt;=$L$2+$M$2+$N$2,IFERROR(INDEX(CLOZE_LIST!$A:$K,ROW()-1-$L$2-$M$2+1,6),""),IF(ROW()-1&lt;=$L$2+$M$2+$N$2+$O$2,IFERROR(INDEX(PROFORMA!$A:$K,ROW()-1-$L$2-$M$2-$N$2+1,6),""),"")))))</f>
        <v>0</v>
      </c>
      <c r="G144" s="3">
        <f>IF(ROW()-1&lt;=0,"",IF(ROW()-1&lt;=$L$2,IFERROR(INDEX(MCQ!$A:$K,ROW()-1+1,7),""),IF(ROW()-1&lt;=$L$2+$M$2,IFERROR(INDEX(CLOZE_AB!$A:$K,ROW()-1-$L$2+1,7),""),IF(ROW()-1&lt;=$L$2+$M$2+$N$2,IFERROR(INDEX(CLOZE_LIST!$A:$K,ROW()-1-$L$2-$M$2+1,7),""),IF(ROW()-1&lt;=$L$2+$M$2+$N$2+$O$2,IFERROR(INDEX(PROFORMA!$A:$K,ROW()-1-$L$2-$M$2-$N$2+1,7),""),"")))))</f>
        <v>0</v>
      </c>
      <c r="H144" s="3">
        <f>IF(ROW()-1&lt;=0,"",IF(ROW()-1&lt;=$L$2,IFERROR(INDEX(MCQ!$A:$K,ROW()-1+1,8),""),IF(ROW()-1&lt;=$L$2+$M$2,IFERROR(INDEX(CLOZE_AB!$A:$K,ROW()-1-$L$2+1,8),""),IF(ROW()-1&lt;=$L$2+$M$2+$N$2,IFERROR(INDEX(CLOZE_LIST!$A:$K,ROW()-1-$L$2-$M$2+1,8),""),IF(ROW()-1&lt;=$L$2+$M$2+$N$2+$O$2,IFERROR(INDEX(PROFORMA!$A:$K,ROW()-1-$L$2-$M$2-$N$2+1,8),""),"")))))</f>
        <v>0</v>
      </c>
      <c r="I144" s="3">
        <f>IF(ROW()-1&lt;=0,"",IF(ROW()-1&lt;=$L$2,IFERROR(INDEX(MCQ!$A:$K,ROW()-1+1,9),""),IF(ROW()-1&lt;=$L$2+$M$2,IFERROR(INDEX(CLOZE_AB!$A:$K,ROW()-1-$L$2+1,9),""),IF(ROW()-1&lt;=$L$2+$M$2+$N$2,IFERROR(INDEX(CLOZE_LIST!$A:$K,ROW()-1-$L$2-$M$2+1,9),""),IF(ROW()-1&lt;=$L$2+$M$2+$N$2+$O$2,IFERROR(INDEX(PROFORMA!$A:$K,ROW()-1-$L$2-$M$2-$N$2+1,9),""),"")))))</f>
        <v>0</v>
      </c>
      <c r="J144" s="3">
        <f>IF(ROW()-1&lt;=0,"",IF(ROW()-1&lt;=$L$2,IFERROR(INDEX(MCQ!$A:$K,ROW()-1+1,10),""),IF(ROW()-1&lt;=$L$2+$M$2,IFERROR(INDEX(CLOZE_AB!$A:$K,ROW()-1-$L$2+1,10),""),IF(ROW()-1&lt;=$L$2+$M$2+$N$2,IFERROR(INDEX(CLOZE_LIST!$A:$K,ROW()-1-$L$2-$M$2+1,10),""),IF(ROW()-1&lt;=$L$2+$M$2+$N$2+$O$2,IFERROR(INDEX(PROFORMA!$A:$K,ROW()-1-$L$2-$M$2-$N$2+1,10),""),"")))))</f>
        <v>0</v>
      </c>
      <c r="K144" s="3">
        <f>IF(ROW()-1&lt;=0,"",IF(ROW()-1&lt;=$L$2,IFERROR(INDEX(MCQ!$A:$K,ROW()-1+1,11),""),IF(ROW()-1&lt;=$L$2+$M$2,IFERROR(INDEX(CLOZE_AB!$A:$K,ROW()-1-$L$2+1,11),""),IF(ROW()-1&lt;=$L$2+$M$2+$N$2,IFERROR(INDEX(CLOZE_LIST!$A:$K,ROW()-1-$L$2-$M$2+1,11),""),IF(ROW()-1&lt;=$L$2+$M$2+$N$2+$O$2,IFERROR(INDEX(PROFORMA!$A:$K,ROW()-1-$L$2-$M$2-$N$2+1,11),""),"")))))</f>
        <v>0</v>
      </c>
      <c r="L144" s="3">
        <f>COUNTA(MCQ!$A:$A)-1</f>
        <v>143</v>
      </c>
      <c r="M144" s="3">
        <f>COUNTA(CLOZE_AB!$A:$A)-1</f>
        <v>168</v>
      </c>
      <c r="N144" s="3">
        <f>COUNTA(CLOZE_LIST!$A:$A)-1</f>
        <v>199</v>
      </c>
      <c r="O144" s="3">
        <f>COUNTA(PROFORMA!$A:$A)-1</f>
        <v>199</v>
      </c>
    </row>
    <row r="145" spans="1:15" x14ac:dyDescent="0.3">
      <c r="A145" s="3" t="str">
        <f>IF(ROW()-1&lt;=0,"",IF(ROW()-1&lt;=$L$2,IFERROR(INDEX(MCQ!$A:$K,ROW()-1+1,1),""),IF(ROW()-1&lt;=$L$2+$M$2,IFERROR(INDEX(CLOZE_AB!$A:$K,ROW()-1-$L$2+1,1),""),IF(ROW()-1&lt;=$L$2+$M$2+$N$2,IFERROR(INDEX(CLOZE_LIST!$A:$K,ROW()-1-$L$2-$M$2+1,1),""),IF(ROW()-1&lt;=$L$2+$M$2+$N$2+$O$2,IFERROR(INDEX(PROFORMA!$A:$K,ROW()-1-$L$2-$M$2-$N$2+1,1),""),"")))))</f>
        <v/>
      </c>
      <c r="B145" s="3">
        <f>IF(ROW()-1&lt;=0,"",IF(ROW()-1&lt;=$L$2,IFERROR(INDEX(MCQ!$A:$K,ROW()-1+1,2),""),IF(ROW()-1&lt;=$L$2+$M$2,IFERROR(INDEX(CLOZE_AB!$A:$K,ROW()-1-$L$2+1,2),""),IF(ROW()-1&lt;=$L$2+$M$2+$N$2,IFERROR(INDEX(CLOZE_LIST!$A:$K,ROW()-1-$L$2-$M$2+1,2),""),IF(ROW()-1&lt;=$L$2+$M$2+$N$2+$O$2,IFERROR(INDEX(PROFORMA!$A:$K,ROW()-1-$L$2-$M$2-$N$2+1,2),""),"")))))</f>
        <v>0</v>
      </c>
      <c r="C145" s="3">
        <f>IF(ROW()-1&lt;=0,"",IF(ROW()-1&lt;=$L$2,IFERROR(INDEX(MCQ!$A:$K,ROW()-1+1,3),""),IF(ROW()-1&lt;=$L$2+$M$2,IFERROR(INDEX(CLOZE_AB!$A:$K,ROW()-1-$L$2+1,3),""),IF(ROW()-1&lt;=$L$2+$M$2+$N$2,IFERROR(INDEX(CLOZE_LIST!$A:$K,ROW()-1-$L$2-$M$2+1,3),""),IF(ROW()-1&lt;=$L$2+$M$2+$N$2+$O$2,IFERROR(INDEX(PROFORMA!$A:$K,ROW()-1-$L$2-$M$2-$N$2+1,3),""),"")))))</f>
        <v>0</v>
      </c>
      <c r="D145" s="3">
        <f>IF(ROW()-1&lt;=0,"",IF(ROW()-1&lt;=$L$2,IFERROR(INDEX(MCQ!$A:$K,ROW()-1+1,4),""),IF(ROW()-1&lt;=$L$2+$M$2,IFERROR(INDEX(CLOZE_AB!$A:$K,ROW()-1-$L$2+1,4),""),IF(ROW()-1&lt;=$L$2+$M$2+$N$2,IFERROR(INDEX(CLOZE_LIST!$A:$K,ROW()-1-$L$2-$M$2+1,4),""),IF(ROW()-1&lt;=$L$2+$M$2+$N$2+$O$2,IFERROR(INDEX(PROFORMA!$A:$K,ROW()-1-$L$2-$M$2-$N$2+1,4),""),"")))))</f>
        <v>0</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0</v>
      </c>
      <c r="G145" s="3">
        <f>IF(ROW()-1&lt;=0,"",IF(ROW()-1&lt;=$L$2,IFERROR(INDEX(MCQ!$A:$K,ROW()-1+1,7),""),IF(ROW()-1&lt;=$L$2+$M$2,IFERROR(INDEX(CLOZE_AB!$A:$K,ROW()-1-$L$2+1,7),""),IF(ROW()-1&lt;=$L$2+$M$2+$N$2,IFERROR(INDEX(CLOZE_LIST!$A:$K,ROW()-1-$L$2-$M$2+1,7),""),IF(ROW()-1&lt;=$L$2+$M$2+$N$2+$O$2,IFERROR(INDEX(PROFORMA!$A:$K,ROW()-1-$L$2-$M$2-$N$2+1,7),""),"")))))</f>
        <v>0</v>
      </c>
      <c r="H145" s="3">
        <f>IF(ROW()-1&lt;=0,"",IF(ROW()-1&lt;=$L$2,IFERROR(INDEX(MCQ!$A:$K,ROW()-1+1,8),""),IF(ROW()-1&lt;=$L$2+$M$2,IFERROR(INDEX(CLOZE_AB!$A:$K,ROW()-1-$L$2+1,8),""),IF(ROW()-1&lt;=$L$2+$M$2+$N$2,IFERROR(INDEX(CLOZE_LIST!$A:$K,ROW()-1-$L$2-$M$2+1,8),""),IF(ROW()-1&lt;=$L$2+$M$2+$N$2+$O$2,IFERROR(INDEX(PROFORMA!$A:$K,ROW()-1-$L$2-$M$2-$N$2+1,8),""),"")))))</f>
        <v>0</v>
      </c>
      <c r="I145" s="3">
        <f>IF(ROW()-1&lt;=0,"",IF(ROW()-1&lt;=$L$2,IFERROR(INDEX(MCQ!$A:$K,ROW()-1+1,9),""),IF(ROW()-1&lt;=$L$2+$M$2,IFERROR(INDEX(CLOZE_AB!$A:$K,ROW()-1-$L$2+1,9),""),IF(ROW()-1&lt;=$L$2+$M$2+$N$2,IFERROR(INDEX(CLOZE_LIST!$A:$K,ROW()-1-$L$2-$M$2+1,9),""),IF(ROW()-1&lt;=$L$2+$M$2+$N$2+$O$2,IFERROR(INDEX(PROFORMA!$A:$K,ROW()-1-$L$2-$M$2-$N$2+1,9),""),"")))))</f>
        <v>0</v>
      </c>
      <c r="J145" s="3">
        <f>IF(ROW()-1&lt;=0,"",IF(ROW()-1&lt;=$L$2,IFERROR(INDEX(MCQ!$A:$K,ROW()-1+1,10),""),IF(ROW()-1&lt;=$L$2+$M$2,IFERROR(INDEX(CLOZE_AB!$A:$K,ROW()-1-$L$2+1,10),""),IF(ROW()-1&lt;=$L$2+$M$2+$N$2,IFERROR(INDEX(CLOZE_LIST!$A:$K,ROW()-1-$L$2-$M$2+1,10),""),IF(ROW()-1&lt;=$L$2+$M$2+$N$2+$O$2,IFERROR(INDEX(PROFORMA!$A:$K,ROW()-1-$L$2-$M$2-$N$2+1,10),""),"")))))</f>
        <v>0</v>
      </c>
      <c r="K145" s="3">
        <f>IF(ROW()-1&lt;=0,"",IF(ROW()-1&lt;=$L$2,IFERROR(INDEX(MCQ!$A:$K,ROW()-1+1,11),""),IF(ROW()-1&lt;=$L$2+$M$2,IFERROR(INDEX(CLOZE_AB!$A:$K,ROW()-1-$L$2+1,11),""),IF(ROW()-1&lt;=$L$2+$M$2+$N$2,IFERROR(INDEX(CLOZE_LIST!$A:$K,ROW()-1-$L$2-$M$2+1,11),""),IF(ROW()-1&lt;=$L$2+$M$2+$N$2+$O$2,IFERROR(INDEX(PROFORMA!$A:$K,ROW()-1-$L$2-$M$2-$N$2+1,11),""),"")))))</f>
        <v>0</v>
      </c>
      <c r="L145" s="3">
        <f>COUNTA(MCQ!$A:$A)-1</f>
        <v>143</v>
      </c>
      <c r="M145" s="3">
        <f>COUNTA(CLOZE_AB!$A:$A)-1</f>
        <v>168</v>
      </c>
      <c r="N145" s="3">
        <f>COUNTA(CLOZE_LIST!$A:$A)-1</f>
        <v>199</v>
      </c>
      <c r="O145" s="3">
        <f>COUNTA(PROFORMA!$A:$A)-1</f>
        <v>199</v>
      </c>
    </row>
    <row r="146" spans="1:15" x14ac:dyDescent="0.3">
      <c r="A146" s="3" t="str">
        <f>IF(ROW()-1&lt;=0,"",IF(ROW()-1&lt;=$L$2,IFERROR(INDEX(MCQ!$A:$K,ROW()-1+1,1),""),IF(ROW()-1&lt;=$L$2+$M$2,IFERROR(INDEX(CLOZE_AB!$A:$K,ROW()-1-$L$2+1,1),""),IF(ROW()-1&lt;=$L$2+$M$2+$N$2,IFERROR(INDEX(CLOZE_LIST!$A:$K,ROW()-1-$L$2-$M$2+1,1),""),IF(ROW()-1&lt;=$L$2+$M$2+$N$2+$O$2,IFERROR(INDEX(PROFORMA!$A:$K,ROW()-1-$L$2-$M$2-$N$2+1,1),""),"")))))</f>
        <v/>
      </c>
      <c r="B146" s="3">
        <f>IF(ROW()-1&lt;=0,"",IF(ROW()-1&lt;=$L$2,IFERROR(INDEX(MCQ!$A:$K,ROW()-1+1,2),""),IF(ROW()-1&lt;=$L$2+$M$2,IFERROR(INDEX(CLOZE_AB!$A:$K,ROW()-1-$L$2+1,2),""),IF(ROW()-1&lt;=$L$2+$M$2+$N$2,IFERROR(INDEX(CLOZE_LIST!$A:$K,ROW()-1-$L$2-$M$2+1,2),""),IF(ROW()-1&lt;=$L$2+$M$2+$N$2+$O$2,IFERROR(INDEX(PROFORMA!$A:$K,ROW()-1-$L$2-$M$2-$N$2+1,2),""),"")))))</f>
        <v>0</v>
      </c>
      <c r="C146" s="3">
        <f>IF(ROW()-1&lt;=0,"",IF(ROW()-1&lt;=$L$2,IFERROR(INDEX(MCQ!$A:$K,ROW()-1+1,3),""),IF(ROW()-1&lt;=$L$2+$M$2,IFERROR(INDEX(CLOZE_AB!$A:$K,ROW()-1-$L$2+1,3),""),IF(ROW()-1&lt;=$L$2+$M$2+$N$2,IFERROR(INDEX(CLOZE_LIST!$A:$K,ROW()-1-$L$2-$M$2+1,3),""),IF(ROW()-1&lt;=$L$2+$M$2+$N$2+$O$2,IFERROR(INDEX(PROFORMA!$A:$K,ROW()-1-$L$2-$M$2-$N$2+1,3),""),"")))))</f>
        <v>0</v>
      </c>
      <c r="D146" s="3">
        <f>IF(ROW()-1&lt;=0,"",IF(ROW()-1&lt;=$L$2,IFERROR(INDEX(MCQ!$A:$K,ROW()-1+1,4),""),IF(ROW()-1&lt;=$L$2+$M$2,IFERROR(INDEX(CLOZE_AB!$A:$K,ROW()-1-$L$2+1,4),""),IF(ROW()-1&lt;=$L$2+$M$2+$N$2,IFERROR(INDEX(CLOZE_LIST!$A:$K,ROW()-1-$L$2-$M$2+1,4),""),IF(ROW()-1&lt;=$L$2+$M$2+$N$2+$O$2,IFERROR(INDEX(PROFORMA!$A:$K,ROW()-1-$L$2-$M$2-$N$2+1,4),""),"")))))</f>
        <v>0</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0</v>
      </c>
      <c r="G146" s="3">
        <f>IF(ROW()-1&lt;=0,"",IF(ROW()-1&lt;=$L$2,IFERROR(INDEX(MCQ!$A:$K,ROW()-1+1,7),""),IF(ROW()-1&lt;=$L$2+$M$2,IFERROR(INDEX(CLOZE_AB!$A:$K,ROW()-1-$L$2+1,7),""),IF(ROW()-1&lt;=$L$2+$M$2+$N$2,IFERROR(INDEX(CLOZE_LIST!$A:$K,ROW()-1-$L$2-$M$2+1,7),""),IF(ROW()-1&lt;=$L$2+$M$2+$N$2+$O$2,IFERROR(INDEX(PROFORMA!$A:$K,ROW()-1-$L$2-$M$2-$N$2+1,7),""),"")))))</f>
        <v>0</v>
      </c>
      <c r="H146" s="3">
        <f>IF(ROW()-1&lt;=0,"",IF(ROW()-1&lt;=$L$2,IFERROR(INDEX(MCQ!$A:$K,ROW()-1+1,8),""),IF(ROW()-1&lt;=$L$2+$M$2,IFERROR(INDEX(CLOZE_AB!$A:$K,ROW()-1-$L$2+1,8),""),IF(ROW()-1&lt;=$L$2+$M$2+$N$2,IFERROR(INDEX(CLOZE_LIST!$A:$K,ROW()-1-$L$2-$M$2+1,8),""),IF(ROW()-1&lt;=$L$2+$M$2+$N$2+$O$2,IFERROR(INDEX(PROFORMA!$A:$K,ROW()-1-$L$2-$M$2-$N$2+1,8),""),"")))))</f>
        <v>0</v>
      </c>
      <c r="I146" s="3">
        <f>IF(ROW()-1&lt;=0,"",IF(ROW()-1&lt;=$L$2,IFERROR(INDEX(MCQ!$A:$K,ROW()-1+1,9),""),IF(ROW()-1&lt;=$L$2+$M$2,IFERROR(INDEX(CLOZE_AB!$A:$K,ROW()-1-$L$2+1,9),""),IF(ROW()-1&lt;=$L$2+$M$2+$N$2,IFERROR(INDEX(CLOZE_LIST!$A:$K,ROW()-1-$L$2-$M$2+1,9),""),IF(ROW()-1&lt;=$L$2+$M$2+$N$2+$O$2,IFERROR(INDEX(PROFORMA!$A:$K,ROW()-1-$L$2-$M$2-$N$2+1,9),""),"")))))</f>
        <v>0</v>
      </c>
      <c r="J146" s="3">
        <f>IF(ROW()-1&lt;=0,"",IF(ROW()-1&lt;=$L$2,IFERROR(INDEX(MCQ!$A:$K,ROW()-1+1,10),""),IF(ROW()-1&lt;=$L$2+$M$2,IFERROR(INDEX(CLOZE_AB!$A:$K,ROW()-1-$L$2+1,10),""),IF(ROW()-1&lt;=$L$2+$M$2+$N$2,IFERROR(INDEX(CLOZE_LIST!$A:$K,ROW()-1-$L$2-$M$2+1,10),""),IF(ROW()-1&lt;=$L$2+$M$2+$N$2+$O$2,IFERROR(INDEX(PROFORMA!$A:$K,ROW()-1-$L$2-$M$2-$N$2+1,10),""),"")))))</f>
        <v>0</v>
      </c>
      <c r="K146" s="3">
        <f>IF(ROW()-1&lt;=0,"",IF(ROW()-1&lt;=$L$2,IFERROR(INDEX(MCQ!$A:$K,ROW()-1+1,11),""),IF(ROW()-1&lt;=$L$2+$M$2,IFERROR(INDEX(CLOZE_AB!$A:$K,ROW()-1-$L$2+1,11),""),IF(ROW()-1&lt;=$L$2+$M$2+$N$2,IFERROR(INDEX(CLOZE_LIST!$A:$K,ROW()-1-$L$2-$M$2+1,11),""),IF(ROW()-1&lt;=$L$2+$M$2+$N$2+$O$2,IFERROR(INDEX(PROFORMA!$A:$K,ROW()-1-$L$2-$M$2-$N$2+1,11),""),"")))))</f>
        <v>0</v>
      </c>
      <c r="L146" s="3">
        <f>COUNTA(MCQ!$A:$A)-1</f>
        <v>143</v>
      </c>
      <c r="M146" s="3">
        <f>COUNTA(CLOZE_AB!$A:$A)-1</f>
        <v>168</v>
      </c>
      <c r="N146" s="3">
        <f>COUNTA(CLOZE_LIST!$A:$A)-1</f>
        <v>199</v>
      </c>
      <c r="O146" s="3">
        <f>COUNTA(PROFORMA!$A:$A)-1</f>
        <v>199</v>
      </c>
    </row>
    <row r="147" spans="1:15" x14ac:dyDescent="0.3">
      <c r="A147" s="3" t="str">
        <f>IF(ROW()-1&lt;=0,"",IF(ROW()-1&lt;=$L$2,IFERROR(INDEX(MCQ!$A:$K,ROW()-1+1,1),""),IF(ROW()-1&lt;=$L$2+$M$2,IFERROR(INDEX(CLOZE_AB!$A:$K,ROW()-1-$L$2+1,1),""),IF(ROW()-1&lt;=$L$2+$M$2+$N$2,IFERROR(INDEX(CLOZE_LIST!$A:$K,ROW()-1-$L$2-$M$2+1,1),""),IF(ROW()-1&lt;=$L$2+$M$2+$N$2+$O$2,IFERROR(INDEX(PROFORMA!$A:$K,ROW()-1-$L$2-$M$2-$N$2+1,1),""),"")))))</f>
        <v/>
      </c>
      <c r="B147" s="3">
        <f>IF(ROW()-1&lt;=0,"",IF(ROW()-1&lt;=$L$2,IFERROR(INDEX(MCQ!$A:$K,ROW()-1+1,2),""),IF(ROW()-1&lt;=$L$2+$M$2,IFERROR(INDEX(CLOZE_AB!$A:$K,ROW()-1-$L$2+1,2),""),IF(ROW()-1&lt;=$L$2+$M$2+$N$2,IFERROR(INDEX(CLOZE_LIST!$A:$K,ROW()-1-$L$2-$M$2+1,2),""),IF(ROW()-1&lt;=$L$2+$M$2+$N$2+$O$2,IFERROR(INDEX(PROFORMA!$A:$K,ROW()-1-$L$2-$M$2-$N$2+1,2),""),"")))))</f>
        <v>0</v>
      </c>
      <c r="C147" s="3">
        <f>IF(ROW()-1&lt;=0,"",IF(ROW()-1&lt;=$L$2,IFERROR(INDEX(MCQ!$A:$K,ROW()-1+1,3),""),IF(ROW()-1&lt;=$L$2+$M$2,IFERROR(INDEX(CLOZE_AB!$A:$K,ROW()-1-$L$2+1,3),""),IF(ROW()-1&lt;=$L$2+$M$2+$N$2,IFERROR(INDEX(CLOZE_LIST!$A:$K,ROW()-1-$L$2-$M$2+1,3),""),IF(ROW()-1&lt;=$L$2+$M$2+$N$2+$O$2,IFERROR(INDEX(PROFORMA!$A:$K,ROW()-1-$L$2-$M$2-$N$2+1,3),""),"")))))</f>
        <v>0</v>
      </c>
      <c r="D147" s="3">
        <f>IF(ROW()-1&lt;=0,"",IF(ROW()-1&lt;=$L$2,IFERROR(INDEX(MCQ!$A:$K,ROW()-1+1,4),""),IF(ROW()-1&lt;=$L$2+$M$2,IFERROR(INDEX(CLOZE_AB!$A:$K,ROW()-1-$L$2+1,4),""),IF(ROW()-1&lt;=$L$2+$M$2+$N$2,IFERROR(INDEX(CLOZE_LIST!$A:$K,ROW()-1-$L$2-$M$2+1,4),""),IF(ROW()-1&lt;=$L$2+$M$2+$N$2+$O$2,IFERROR(INDEX(PROFORMA!$A:$K,ROW()-1-$L$2-$M$2-$N$2+1,4),""),"")))))</f>
        <v>0</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0</v>
      </c>
      <c r="G147" s="3">
        <f>IF(ROW()-1&lt;=0,"",IF(ROW()-1&lt;=$L$2,IFERROR(INDEX(MCQ!$A:$K,ROW()-1+1,7),""),IF(ROW()-1&lt;=$L$2+$M$2,IFERROR(INDEX(CLOZE_AB!$A:$K,ROW()-1-$L$2+1,7),""),IF(ROW()-1&lt;=$L$2+$M$2+$N$2,IFERROR(INDEX(CLOZE_LIST!$A:$K,ROW()-1-$L$2-$M$2+1,7),""),IF(ROW()-1&lt;=$L$2+$M$2+$N$2+$O$2,IFERROR(INDEX(PROFORMA!$A:$K,ROW()-1-$L$2-$M$2-$N$2+1,7),""),"")))))</f>
        <v>0</v>
      </c>
      <c r="H147" s="3">
        <f>IF(ROW()-1&lt;=0,"",IF(ROW()-1&lt;=$L$2,IFERROR(INDEX(MCQ!$A:$K,ROW()-1+1,8),""),IF(ROW()-1&lt;=$L$2+$M$2,IFERROR(INDEX(CLOZE_AB!$A:$K,ROW()-1-$L$2+1,8),""),IF(ROW()-1&lt;=$L$2+$M$2+$N$2,IFERROR(INDEX(CLOZE_LIST!$A:$K,ROW()-1-$L$2-$M$2+1,8),""),IF(ROW()-1&lt;=$L$2+$M$2+$N$2+$O$2,IFERROR(INDEX(PROFORMA!$A:$K,ROW()-1-$L$2-$M$2-$N$2+1,8),""),"")))))</f>
        <v>0</v>
      </c>
      <c r="I147" s="3">
        <f>IF(ROW()-1&lt;=0,"",IF(ROW()-1&lt;=$L$2,IFERROR(INDEX(MCQ!$A:$K,ROW()-1+1,9),""),IF(ROW()-1&lt;=$L$2+$M$2,IFERROR(INDEX(CLOZE_AB!$A:$K,ROW()-1-$L$2+1,9),""),IF(ROW()-1&lt;=$L$2+$M$2+$N$2,IFERROR(INDEX(CLOZE_LIST!$A:$K,ROW()-1-$L$2-$M$2+1,9),""),IF(ROW()-1&lt;=$L$2+$M$2+$N$2+$O$2,IFERROR(INDEX(PROFORMA!$A:$K,ROW()-1-$L$2-$M$2-$N$2+1,9),""),"")))))</f>
        <v>0</v>
      </c>
      <c r="J147" s="3">
        <f>IF(ROW()-1&lt;=0,"",IF(ROW()-1&lt;=$L$2,IFERROR(INDEX(MCQ!$A:$K,ROW()-1+1,10),""),IF(ROW()-1&lt;=$L$2+$M$2,IFERROR(INDEX(CLOZE_AB!$A:$K,ROW()-1-$L$2+1,10),""),IF(ROW()-1&lt;=$L$2+$M$2+$N$2,IFERROR(INDEX(CLOZE_LIST!$A:$K,ROW()-1-$L$2-$M$2+1,10),""),IF(ROW()-1&lt;=$L$2+$M$2+$N$2+$O$2,IFERROR(INDEX(PROFORMA!$A:$K,ROW()-1-$L$2-$M$2-$N$2+1,10),""),"")))))</f>
        <v>0</v>
      </c>
      <c r="K147" s="3">
        <f>IF(ROW()-1&lt;=0,"",IF(ROW()-1&lt;=$L$2,IFERROR(INDEX(MCQ!$A:$K,ROW()-1+1,11),""),IF(ROW()-1&lt;=$L$2+$M$2,IFERROR(INDEX(CLOZE_AB!$A:$K,ROW()-1-$L$2+1,11),""),IF(ROW()-1&lt;=$L$2+$M$2+$N$2,IFERROR(INDEX(CLOZE_LIST!$A:$K,ROW()-1-$L$2-$M$2+1,11),""),IF(ROW()-1&lt;=$L$2+$M$2+$N$2+$O$2,IFERROR(INDEX(PROFORMA!$A:$K,ROW()-1-$L$2-$M$2-$N$2+1,11),""),"")))))</f>
        <v>0</v>
      </c>
      <c r="L147" s="3">
        <f>COUNTA(MCQ!$A:$A)-1</f>
        <v>143</v>
      </c>
      <c r="M147" s="3">
        <f>COUNTA(CLOZE_AB!$A:$A)-1</f>
        <v>168</v>
      </c>
      <c r="N147" s="3">
        <f>COUNTA(CLOZE_LIST!$A:$A)-1</f>
        <v>199</v>
      </c>
      <c r="O147" s="3">
        <f>COUNTA(PROFORMA!$A:$A)-1</f>
        <v>199</v>
      </c>
    </row>
    <row r="148" spans="1:15" x14ac:dyDescent="0.3">
      <c r="A148" s="3" t="str">
        <f>IF(ROW()-1&lt;=0,"",IF(ROW()-1&lt;=$L$2,IFERROR(INDEX(MCQ!$A:$K,ROW()-1+1,1),""),IF(ROW()-1&lt;=$L$2+$M$2,IFERROR(INDEX(CLOZE_AB!$A:$K,ROW()-1-$L$2+1,1),""),IF(ROW()-1&lt;=$L$2+$M$2+$N$2,IFERROR(INDEX(CLOZE_LIST!$A:$K,ROW()-1-$L$2-$M$2+1,1),""),IF(ROW()-1&lt;=$L$2+$M$2+$N$2+$O$2,IFERROR(INDEX(PROFORMA!$A:$K,ROW()-1-$L$2-$M$2-$N$2+1,1),""),"")))))</f>
        <v/>
      </c>
      <c r="B148" s="3">
        <f>IF(ROW()-1&lt;=0,"",IF(ROW()-1&lt;=$L$2,IFERROR(INDEX(MCQ!$A:$K,ROW()-1+1,2),""),IF(ROW()-1&lt;=$L$2+$M$2,IFERROR(INDEX(CLOZE_AB!$A:$K,ROW()-1-$L$2+1,2),""),IF(ROW()-1&lt;=$L$2+$M$2+$N$2,IFERROR(INDEX(CLOZE_LIST!$A:$K,ROW()-1-$L$2-$M$2+1,2),""),IF(ROW()-1&lt;=$L$2+$M$2+$N$2+$O$2,IFERROR(INDEX(PROFORMA!$A:$K,ROW()-1-$L$2-$M$2-$N$2+1,2),""),"")))))</f>
        <v>0</v>
      </c>
      <c r="C148" s="3">
        <f>IF(ROW()-1&lt;=0,"",IF(ROW()-1&lt;=$L$2,IFERROR(INDEX(MCQ!$A:$K,ROW()-1+1,3),""),IF(ROW()-1&lt;=$L$2+$M$2,IFERROR(INDEX(CLOZE_AB!$A:$K,ROW()-1-$L$2+1,3),""),IF(ROW()-1&lt;=$L$2+$M$2+$N$2,IFERROR(INDEX(CLOZE_LIST!$A:$K,ROW()-1-$L$2-$M$2+1,3),""),IF(ROW()-1&lt;=$L$2+$M$2+$N$2+$O$2,IFERROR(INDEX(PROFORMA!$A:$K,ROW()-1-$L$2-$M$2-$N$2+1,3),""),"")))))</f>
        <v>0</v>
      </c>
      <c r="D148" s="3">
        <f>IF(ROW()-1&lt;=0,"",IF(ROW()-1&lt;=$L$2,IFERROR(INDEX(MCQ!$A:$K,ROW()-1+1,4),""),IF(ROW()-1&lt;=$L$2+$M$2,IFERROR(INDEX(CLOZE_AB!$A:$K,ROW()-1-$L$2+1,4),""),IF(ROW()-1&lt;=$L$2+$M$2+$N$2,IFERROR(INDEX(CLOZE_LIST!$A:$K,ROW()-1-$L$2-$M$2+1,4),""),IF(ROW()-1&lt;=$L$2+$M$2+$N$2+$O$2,IFERROR(INDEX(PROFORMA!$A:$K,ROW()-1-$L$2-$M$2-$N$2+1,4),""),"")))))</f>
        <v>0</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0</v>
      </c>
      <c r="G148" s="3">
        <f>IF(ROW()-1&lt;=0,"",IF(ROW()-1&lt;=$L$2,IFERROR(INDEX(MCQ!$A:$K,ROW()-1+1,7),""),IF(ROW()-1&lt;=$L$2+$M$2,IFERROR(INDEX(CLOZE_AB!$A:$K,ROW()-1-$L$2+1,7),""),IF(ROW()-1&lt;=$L$2+$M$2+$N$2,IFERROR(INDEX(CLOZE_LIST!$A:$K,ROW()-1-$L$2-$M$2+1,7),""),IF(ROW()-1&lt;=$L$2+$M$2+$N$2+$O$2,IFERROR(INDEX(PROFORMA!$A:$K,ROW()-1-$L$2-$M$2-$N$2+1,7),""),"")))))</f>
        <v>0</v>
      </c>
      <c r="H148" s="3">
        <f>IF(ROW()-1&lt;=0,"",IF(ROW()-1&lt;=$L$2,IFERROR(INDEX(MCQ!$A:$K,ROW()-1+1,8),""),IF(ROW()-1&lt;=$L$2+$M$2,IFERROR(INDEX(CLOZE_AB!$A:$K,ROW()-1-$L$2+1,8),""),IF(ROW()-1&lt;=$L$2+$M$2+$N$2,IFERROR(INDEX(CLOZE_LIST!$A:$K,ROW()-1-$L$2-$M$2+1,8),""),IF(ROW()-1&lt;=$L$2+$M$2+$N$2+$O$2,IFERROR(INDEX(PROFORMA!$A:$K,ROW()-1-$L$2-$M$2-$N$2+1,8),""),"")))))</f>
        <v>0</v>
      </c>
      <c r="I148" s="3">
        <f>IF(ROW()-1&lt;=0,"",IF(ROW()-1&lt;=$L$2,IFERROR(INDEX(MCQ!$A:$K,ROW()-1+1,9),""),IF(ROW()-1&lt;=$L$2+$M$2,IFERROR(INDEX(CLOZE_AB!$A:$K,ROW()-1-$L$2+1,9),""),IF(ROW()-1&lt;=$L$2+$M$2+$N$2,IFERROR(INDEX(CLOZE_LIST!$A:$K,ROW()-1-$L$2-$M$2+1,9),""),IF(ROW()-1&lt;=$L$2+$M$2+$N$2+$O$2,IFERROR(INDEX(PROFORMA!$A:$K,ROW()-1-$L$2-$M$2-$N$2+1,9),""),"")))))</f>
        <v>0</v>
      </c>
      <c r="J148" s="3">
        <f>IF(ROW()-1&lt;=0,"",IF(ROW()-1&lt;=$L$2,IFERROR(INDEX(MCQ!$A:$K,ROW()-1+1,10),""),IF(ROW()-1&lt;=$L$2+$M$2,IFERROR(INDEX(CLOZE_AB!$A:$K,ROW()-1-$L$2+1,10),""),IF(ROW()-1&lt;=$L$2+$M$2+$N$2,IFERROR(INDEX(CLOZE_LIST!$A:$K,ROW()-1-$L$2-$M$2+1,10),""),IF(ROW()-1&lt;=$L$2+$M$2+$N$2+$O$2,IFERROR(INDEX(PROFORMA!$A:$K,ROW()-1-$L$2-$M$2-$N$2+1,10),""),"")))))</f>
        <v>0</v>
      </c>
      <c r="K148" s="3">
        <f>IF(ROW()-1&lt;=0,"",IF(ROW()-1&lt;=$L$2,IFERROR(INDEX(MCQ!$A:$K,ROW()-1+1,11),""),IF(ROW()-1&lt;=$L$2+$M$2,IFERROR(INDEX(CLOZE_AB!$A:$K,ROW()-1-$L$2+1,11),""),IF(ROW()-1&lt;=$L$2+$M$2+$N$2,IFERROR(INDEX(CLOZE_LIST!$A:$K,ROW()-1-$L$2-$M$2+1,11),""),IF(ROW()-1&lt;=$L$2+$M$2+$N$2+$O$2,IFERROR(INDEX(PROFORMA!$A:$K,ROW()-1-$L$2-$M$2-$N$2+1,11),""),"")))))</f>
        <v>0</v>
      </c>
      <c r="L148" s="3">
        <f>COUNTA(MCQ!$A:$A)-1</f>
        <v>143</v>
      </c>
      <c r="M148" s="3">
        <f>COUNTA(CLOZE_AB!$A:$A)-1</f>
        <v>168</v>
      </c>
      <c r="N148" s="3">
        <f>COUNTA(CLOZE_LIST!$A:$A)-1</f>
        <v>199</v>
      </c>
      <c r="O148" s="3">
        <f>COUNTA(PROFORMA!$A:$A)-1</f>
        <v>199</v>
      </c>
    </row>
    <row r="149" spans="1:15" x14ac:dyDescent="0.3">
      <c r="A149" s="3" t="str">
        <f>IF(ROW()-1&lt;=0,"",IF(ROW()-1&lt;=$L$2,IFERROR(INDEX(MCQ!$A:$K,ROW()-1+1,1),""),IF(ROW()-1&lt;=$L$2+$M$2,IFERROR(INDEX(CLOZE_AB!$A:$K,ROW()-1-$L$2+1,1),""),IF(ROW()-1&lt;=$L$2+$M$2+$N$2,IFERROR(INDEX(CLOZE_LIST!$A:$K,ROW()-1-$L$2-$M$2+1,1),""),IF(ROW()-1&lt;=$L$2+$M$2+$N$2+$O$2,IFERROR(INDEX(PROFORMA!$A:$K,ROW()-1-$L$2-$M$2-$N$2+1,1),""),"")))))</f>
        <v/>
      </c>
      <c r="B149" s="3">
        <f>IF(ROW()-1&lt;=0,"",IF(ROW()-1&lt;=$L$2,IFERROR(INDEX(MCQ!$A:$K,ROW()-1+1,2),""),IF(ROW()-1&lt;=$L$2+$M$2,IFERROR(INDEX(CLOZE_AB!$A:$K,ROW()-1-$L$2+1,2),""),IF(ROW()-1&lt;=$L$2+$M$2+$N$2,IFERROR(INDEX(CLOZE_LIST!$A:$K,ROW()-1-$L$2-$M$2+1,2),""),IF(ROW()-1&lt;=$L$2+$M$2+$N$2+$O$2,IFERROR(INDEX(PROFORMA!$A:$K,ROW()-1-$L$2-$M$2-$N$2+1,2),""),"")))))</f>
        <v>0</v>
      </c>
      <c r="C149" s="3">
        <f>IF(ROW()-1&lt;=0,"",IF(ROW()-1&lt;=$L$2,IFERROR(INDEX(MCQ!$A:$K,ROW()-1+1,3),""),IF(ROW()-1&lt;=$L$2+$M$2,IFERROR(INDEX(CLOZE_AB!$A:$K,ROW()-1-$L$2+1,3),""),IF(ROW()-1&lt;=$L$2+$M$2+$N$2,IFERROR(INDEX(CLOZE_LIST!$A:$K,ROW()-1-$L$2-$M$2+1,3),""),IF(ROW()-1&lt;=$L$2+$M$2+$N$2+$O$2,IFERROR(INDEX(PROFORMA!$A:$K,ROW()-1-$L$2-$M$2-$N$2+1,3),""),"")))))</f>
        <v>0</v>
      </c>
      <c r="D149" s="3">
        <f>IF(ROW()-1&lt;=0,"",IF(ROW()-1&lt;=$L$2,IFERROR(INDEX(MCQ!$A:$K,ROW()-1+1,4),""),IF(ROW()-1&lt;=$L$2+$M$2,IFERROR(INDEX(CLOZE_AB!$A:$K,ROW()-1-$L$2+1,4),""),IF(ROW()-1&lt;=$L$2+$M$2+$N$2,IFERROR(INDEX(CLOZE_LIST!$A:$K,ROW()-1-$L$2-$M$2+1,4),""),IF(ROW()-1&lt;=$L$2+$M$2+$N$2+$O$2,IFERROR(INDEX(PROFORMA!$A:$K,ROW()-1-$L$2-$M$2-$N$2+1,4),""),"")))))</f>
        <v>0</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0</v>
      </c>
      <c r="G149" s="3">
        <f>IF(ROW()-1&lt;=0,"",IF(ROW()-1&lt;=$L$2,IFERROR(INDEX(MCQ!$A:$K,ROW()-1+1,7),""),IF(ROW()-1&lt;=$L$2+$M$2,IFERROR(INDEX(CLOZE_AB!$A:$K,ROW()-1-$L$2+1,7),""),IF(ROW()-1&lt;=$L$2+$M$2+$N$2,IFERROR(INDEX(CLOZE_LIST!$A:$K,ROW()-1-$L$2-$M$2+1,7),""),IF(ROW()-1&lt;=$L$2+$M$2+$N$2+$O$2,IFERROR(INDEX(PROFORMA!$A:$K,ROW()-1-$L$2-$M$2-$N$2+1,7),""),"")))))</f>
        <v>0</v>
      </c>
      <c r="H149" s="3">
        <f>IF(ROW()-1&lt;=0,"",IF(ROW()-1&lt;=$L$2,IFERROR(INDEX(MCQ!$A:$K,ROW()-1+1,8),""),IF(ROW()-1&lt;=$L$2+$M$2,IFERROR(INDEX(CLOZE_AB!$A:$K,ROW()-1-$L$2+1,8),""),IF(ROW()-1&lt;=$L$2+$M$2+$N$2,IFERROR(INDEX(CLOZE_LIST!$A:$K,ROW()-1-$L$2-$M$2+1,8),""),IF(ROW()-1&lt;=$L$2+$M$2+$N$2+$O$2,IFERROR(INDEX(PROFORMA!$A:$K,ROW()-1-$L$2-$M$2-$N$2+1,8),""),"")))))</f>
        <v>0</v>
      </c>
      <c r="I149" s="3">
        <f>IF(ROW()-1&lt;=0,"",IF(ROW()-1&lt;=$L$2,IFERROR(INDEX(MCQ!$A:$K,ROW()-1+1,9),""),IF(ROW()-1&lt;=$L$2+$M$2,IFERROR(INDEX(CLOZE_AB!$A:$K,ROW()-1-$L$2+1,9),""),IF(ROW()-1&lt;=$L$2+$M$2+$N$2,IFERROR(INDEX(CLOZE_LIST!$A:$K,ROW()-1-$L$2-$M$2+1,9),""),IF(ROW()-1&lt;=$L$2+$M$2+$N$2+$O$2,IFERROR(INDEX(PROFORMA!$A:$K,ROW()-1-$L$2-$M$2-$N$2+1,9),""),"")))))</f>
        <v>0</v>
      </c>
      <c r="J149" s="3">
        <f>IF(ROW()-1&lt;=0,"",IF(ROW()-1&lt;=$L$2,IFERROR(INDEX(MCQ!$A:$K,ROW()-1+1,10),""),IF(ROW()-1&lt;=$L$2+$M$2,IFERROR(INDEX(CLOZE_AB!$A:$K,ROW()-1-$L$2+1,10),""),IF(ROW()-1&lt;=$L$2+$M$2+$N$2,IFERROR(INDEX(CLOZE_LIST!$A:$K,ROW()-1-$L$2-$M$2+1,10),""),IF(ROW()-1&lt;=$L$2+$M$2+$N$2+$O$2,IFERROR(INDEX(PROFORMA!$A:$K,ROW()-1-$L$2-$M$2-$N$2+1,10),""),"")))))</f>
        <v>0</v>
      </c>
      <c r="K149" s="3">
        <f>IF(ROW()-1&lt;=0,"",IF(ROW()-1&lt;=$L$2,IFERROR(INDEX(MCQ!$A:$K,ROW()-1+1,11),""),IF(ROW()-1&lt;=$L$2+$M$2,IFERROR(INDEX(CLOZE_AB!$A:$K,ROW()-1-$L$2+1,11),""),IF(ROW()-1&lt;=$L$2+$M$2+$N$2,IFERROR(INDEX(CLOZE_LIST!$A:$K,ROW()-1-$L$2-$M$2+1,11),""),IF(ROW()-1&lt;=$L$2+$M$2+$N$2+$O$2,IFERROR(INDEX(PROFORMA!$A:$K,ROW()-1-$L$2-$M$2-$N$2+1,11),""),"")))))</f>
        <v>0</v>
      </c>
      <c r="L149" s="3">
        <f>COUNTA(MCQ!$A:$A)-1</f>
        <v>143</v>
      </c>
      <c r="M149" s="3">
        <f>COUNTA(CLOZE_AB!$A:$A)-1</f>
        <v>168</v>
      </c>
      <c r="N149" s="3">
        <f>COUNTA(CLOZE_LIST!$A:$A)-1</f>
        <v>199</v>
      </c>
      <c r="O149" s="3">
        <f>COUNTA(PROFORMA!$A:$A)-1</f>
        <v>199</v>
      </c>
    </row>
    <row r="150" spans="1:15" x14ac:dyDescent="0.3">
      <c r="A150" s="3" t="str">
        <f>IF(ROW()-1&lt;=0,"",IF(ROW()-1&lt;=$L$2,IFERROR(INDEX(MCQ!$A:$K,ROW()-1+1,1),""),IF(ROW()-1&lt;=$L$2+$M$2,IFERROR(INDEX(CLOZE_AB!$A:$K,ROW()-1-$L$2+1,1),""),IF(ROW()-1&lt;=$L$2+$M$2+$N$2,IFERROR(INDEX(CLOZE_LIST!$A:$K,ROW()-1-$L$2-$M$2+1,1),""),IF(ROW()-1&lt;=$L$2+$M$2+$N$2+$O$2,IFERROR(INDEX(PROFORMA!$A:$K,ROW()-1-$L$2-$M$2-$N$2+1,1),""),"")))))</f>
        <v/>
      </c>
      <c r="B150" s="3">
        <f>IF(ROW()-1&lt;=0,"",IF(ROW()-1&lt;=$L$2,IFERROR(INDEX(MCQ!$A:$K,ROW()-1+1,2),""),IF(ROW()-1&lt;=$L$2+$M$2,IFERROR(INDEX(CLOZE_AB!$A:$K,ROW()-1-$L$2+1,2),""),IF(ROW()-1&lt;=$L$2+$M$2+$N$2,IFERROR(INDEX(CLOZE_LIST!$A:$K,ROW()-1-$L$2-$M$2+1,2),""),IF(ROW()-1&lt;=$L$2+$M$2+$N$2+$O$2,IFERROR(INDEX(PROFORMA!$A:$K,ROW()-1-$L$2-$M$2-$N$2+1,2),""),"")))))</f>
        <v>0</v>
      </c>
      <c r="C150" s="3">
        <f>IF(ROW()-1&lt;=0,"",IF(ROW()-1&lt;=$L$2,IFERROR(INDEX(MCQ!$A:$K,ROW()-1+1,3),""),IF(ROW()-1&lt;=$L$2+$M$2,IFERROR(INDEX(CLOZE_AB!$A:$K,ROW()-1-$L$2+1,3),""),IF(ROW()-1&lt;=$L$2+$M$2+$N$2,IFERROR(INDEX(CLOZE_LIST!$A:$K,ROW()-1-$L$2-$M$2+1,3),""),IF(ROW()-1&lt;=$L$2+$M$2+$N$2+$O$2,IFERROR(INDEX(PROFORMA!$A:$K,ROW()-1-$L$2-$M$2-$N$2+1,3),""),"")))))</f>
        <v>0</v>
      </c>
      <c r="D150" s="3">
        <f>IF(ROW()-1&lt;=0,"",IF(ROW()-1&lt;=$L$2,IFERROR(INDEX(MCQ!$A:$K,ROW()-1+1,4),""),IF(ROW()-1&lt;=$L$2+$M$2,IFERROR(INDEX(CLOZE_AB!$A:$K,ROW()-1-$L$2+1,4),""),IF(ROW()-1&lt;=$L$2+$M$2+$N$2,IFERROR(INDEX(CLOZE_LIST!$A:$K,ROW()-1-$L$2-$M$2+1,4),""),IF(ROW()-1&lt;=$L$2+$M$2+$N$2+$O$2,IFERROR(INDEX(PROFORMA!$A:$K,ROW()-1-$L$2-$M$2-$N$2+1,4),""),"")))))</f>
        <v>0</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0</v>
      </c>
      <c r="G150" s="3">
        <f>IF(ROW()-1&lt;=0,"",IF(ROW()-1&lt;=$L$2,IFERROR(INDEX(MCQ!$A:$K,ROW()-1+1,7),""),IF(ROW()-1&lt;=$L$2+$M$2,IFERROR(INDEX(CLOZE_AB!$A:$K,ROW()-1-$L$2+1,7),""),IF(ROW()-1&lt;=$L$2+$M$2+$N$2,IFERROR(INDEX(CLOZE_LIST!$A:$K,ROW()-1-$L$2-$M$2+1,7),""),IF(ROW()-1&lt;=$L$2+$M$2+$N$2+$O$2,IFERROR(INDEX(PROFORMA!$A:$K,ROW()-1-$L$2-$M$2-$N$2+1,7),""),"")))))</f>
        <v>0</v>
      </c>
      <c r="H150" s="3">
        <f>IF(ROW()-1&lt;=0,"",IF(ROW()-1&lt;=$L$2,IFERROR(INDEX(MCQ!$A:$K,ROW()-1+1,8),""),IF(ROW()-1&lt;=$L$2+$M$2,IFERROR(INDEX(CLOZE_AB!$A:$K,ROW()-1-$L$2+1,8),""),IF(ROW()-1&lt;=$L$2+$M$2+$N$2,IFERROR(INDEX(CLOZE_LIST!$A:$K,ROW()-1-$L$2-$M$2+1,8),""),IF(ROW()-1&lt;=$L$2+$M$2+$N$2+$O$2,IFERROR(INDEX(PROFORMA!$A:$K,ROW()-1-$L$2-$M$2-$N$2+1,8),""),"")))))</f>
        <v>0</v>
      </c>
      <c r="I150" s="3">
        <f>IF(ROW()-1&lt;=0,"",IF(ROW()-1&lt;=$L$2,IFERROR(INDEX(MCQ!$A:$K,ROW()-1+1,9),""),IF(ROW()-1&lt;=$L$2+$M$2,IFERROR(INDEX(CLOZE_AB!$A:$K,ROW()-1-$L$2+1,9),""),IF(ROW()-1&lt;=$L$2+$M$2+$N$2,IFERROR(INDEX(CLOZE_LIST!$A:$K,ROW()-1-$L$2-$M$2+1,9),""),IF(ROW()-1&lt;=$L$2+$M$2+$N$2+$O$2,IFERROR(INDEX(PROFORMA!$A:$K,ROW()-1-$L$2-$M$2-$N$2+1,9),""),"")))))</f>
        <v>0</v>
      </c>
      <c r="J150" s="3">
        <f>IF(ROW()-1&lt;=0,"",IF(ROW()-1&lt;=$L$2,IFERROR(INDEX(MCQ!$A:$K,ROW()-1+1,10),""),IF(ROW()-1&lt;=$L$2+$M$2,IFERROR(INDEX(CLOZE_AB!$A:$K,ROW()-1-$L$2+1,10),""),IF(ROW()-1&lt;=$L$2+$M$2+$N$2,IFERROR(INDEX(CLOZE_LIST!$A:$K,ROW()-1-$L$2-$M$2+1,10),""),IF(ROW()-1&lt;=$L$2+$M$2+$N$2+$O$2,IFERROR(INDEX(PROFORMA!$A:$K,ROW()-1-$L$2-$M$2-$N$2+1,10),""),"")))))</f>
        <v>0</v>
      </c>
      <c r="K150" s="3">
        <f>IF(ROW()-1&lt;=0,"",IF(ROW()-1&lt;=$L$2,IFERROR(INDEX(MCQ!$A:$K,ROW()-1+1,11),""),IF(ROW()-1&lt;=$L$2+$M$2,IFERROR(INDEX(CLOZE_AB!$A:$K,ROW()-1-$L$2+1,11),""),IF(ROW()-1&lt;=$L$2+$M$2+$N$2,IFERROR(INDEX(CLOZE_LIST!$A:$K,ROW()-1-$L$2-$M$2+1,11),""),IF(ROW()-1&lt;=$L$2+$M$2+$N$2+$O$2,IFERROR(INDEX(PROFORMA!$A:$K,ROW()-1-$L$2-$M$2-$N$2+1,11),""),"")))))</f>
        <v>0</v>
      </c>
      <c r="L150" s="3">
        <f>COUNTA(MCQ!$A:$A)-1</f>
        <v>143</v>
      </c>
      <c r="M150" s="3">
        <f>COUNTA(CLOZE_AB!$A:$A)-1</f>
        <v>168</v>
      </c>
      <c r="N150" s="3">
        <f>COUNTA(CLOZE_LIST!$A:$A)-1</f>
        <v>199</v>
      </c>
      <c r="O150" s="3">
        <f>COUNTA(PROFORMA!$A:$A)-1</f>
        <v>199</v>
      </c>
    </row>
    <row r="151" spans="1:15" x14ac:dyDescent="0.3">
      <c r="A151" s="3" t="str">
        <f>IF(ROW()-1&lt;=0,"",IF(ROW()-1&lt;=$L$2,IFERROR(INDEX(MCQ!$A:$K,ROW()-1+1,1),""),IF(ROW()-1&lt;=$L$2+$M$2,IFERROR(INDEX(CLOZE_AB!$A:$K,ROW()-1-$L$2+1,1),""),IF(ROW()-1&lt;=$L$2+$M$2+$N$2,IFERROR(INDEX(CLOZE_LIST!$A:$K,ROW()-1-$L$2-$M$2+1,1),""),IF(ROW()-1&lt;=$L$2+$M$2+$N$2+$O$2,IFERROR(INDEX(PROFORMA!$A:$K,ROW()-1-$L$2-$M$2-$N$2+1,1),""),"")))))</f>
        <v/>
      </c>
      <c r="B151" s="3">
        <f>IF(ROW()-1&lt;=0,"",IF(ROW()-1&lt;=$L$2,IFERROR(INDEX(MCQ!$A:$K,ROW()-1+1,2),""),IF(ROW()-1&lt;=$L$2+$M$2,IFERROR(INDEX(CLOZE_AB!$A:$K,ROW()-1-$L$2+1,2),""),IF(ROW()-1&lt;=$L$2+$M$2+$N$2,IFERROR(INDEX(CLOZE_LIST!$A:$K,ROW()-1-$L$2-$M$2+1,2),""),IF(ROW()-1&lt;=$L$2+$M$2+$N$2+$O$2,IFERROR(INDEX(PROFORMA!$A:$K,ROW()-1-$L$2-$M$2-$N$2+1,2),""),"")))))</f>
        <v>0</v>
      </c>
      <c r="C151" s="3">
        <f>IF(ROW()-1&lt;=0,"",IF(ROW()-1&lt;=$L$2,IFERROR(INDEX(MCQ!$A:$K,ROW()-1+1,3),""),IF(ROW()-1&lt;=$L$2+$M$2,IFERROR(INDEX(CLOZE_AB!$A:$K,ROW()-1-$L$2+1,3),""),IF(ROW()-1&lt;=$L$2+$M$2+$N$2,IFERROR(INDEX(CLOZE_LIST!$A:$K,ROW()-1-$L$2-$M$2+1,3),""),IF(ROW()-1&lt;=$L$2+$M$2+$N$2+$O$2,IFERROR(INDEX(PROFORMA!$A:$K,ROW()-1-$L$2-$M$2-$N$2+1,3),""),"")))))</f>
        <v>0</v>
      </c>
      <c r="D151" s="3">
        <f>IF(ROW()-1&lt;=0,"",IF(ROW()-1&lt;=$L$2,IFERROR(INDEX(MCQ!$A:$K,ROW()-1+1,4),""),IF(ROW()-1&lt;=$L$2+$M$2,IFERROR(INDEX(CLOZE_AB!$A:$K,ROW()-1-$L$2+1,4),""),IF(ROW()-1&lt;=$L$2+$M$2+$N$2,IFERROR(INDEX(CLOZE_LIST!$A:$K,ROW()-1-$L$2-$M$2+1,4),""),IF(ROW()-1&lt;=$L$2+$M$2+$N$2+$O$2,IFERROR(INDEX(PROFORMA!$A:$K,ROW()-1-$L$2-$M$2-$N$2+1,4),""),"")))))</f>
        <v>0</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0</v>
      </c>
      <c r="G151" s="3">
        <f>IF(ROW()-1&lt;=0,"",IF(ROW()-1&lt;=$L$2,IFERROR(INDEX(MCQ!$A:$K,ROW()-1+1,7),""),IF(ROW()-1&lt;=$L$2+$M$2,IFERROR(INDEX(CLOZE_AB!$A:$K,ROW()-1-$L$2+1,7),""),IF(ROW()-1&lt;=$L$2+$M$2+$N$2,IFERROR(INDEX(CLOZE_LIST!$A:$K,ROW()-1-$L$2-$M$2+1,7),""),IF(ROW()-1&lt;=$L$2+$M$2+$N$2+$O$2,IFERROR(INDEX(PROFORMA!$A:$K,ROW()-1-$L$2-$M$2-$N$2+1,7),""),"")))))</f>
        <v>0</v>
      </c>
      <c r="H151" s="3">
        <f>IF(ROW()-1&lt;=0,"",IF(ROW()-1&lt;=$L$2,IFERROR(INDEX(MCQ!$A:$K,ROW()-1+1,8),""),IF(ROW()-1&lt;=$L$2+$M$2,IFERROR(INDEX(CLOZE_AB!$A:$K,ROW()-1-$L$2+1,8),""),IF(ROW()-1&lt;=$L$2+$M$2+$N$2,IFERROR(INDEX(CLOZE_LIST!$A:$K,ROW()-1-$L$2-$M$2+1,8),""),IF(ROW()-1&lt;=$L$2+$M$2+$N$2+$O$2,IFERROR(INDEX(PROFORMA!$A:$K,ROW()-1-$L$2-$M$2-$N$2+1,8),""),"")))))</f>
        <v>0</v>
      </c>
      <c r="I151" s="3">
        <f>IF(ROW()-1&lt;=0,"",IF(ROW()-1&lt;=$L$2,IFERROR(INDEX(MCQ!$A:$K,ROW()-1+1,9),""),IF(ROW()-1&lt;=$L$2+$M$2,IFERROR(INDEX(CLOZE_AB!$A:$K,ROW()-1-$L$2+1,9),""),IF(ROW()-1&lt;=$L$2+$M$2+$N$2,IFERROR(INDEX(CLOZE_LIST!$A:$K,ROW()-1-$L$2-$M$2+1,9),""),IF(ROW()-1&lt;=$L$2+$M$2+$N$2+$O$2,IFERROR(INDEX(PROFORMA!$A:$K,ROW()-1-$L$2-$M$2-$N$2+1,9),""),"")))))</f>
        <v>0</v>
      </c>
      <c r="J151" s="3">
        <f>IF(ROW()-1&lt;=0,"",IF(ROW()-1&lt;=$L$2,IFERROR(INDEX(MCQ!$A:$K,ROW()-1+1,10),""),IF(ROW()-1&lt;=$L$2+$M$2,IFERROR(INDEX(CLOZE_AB!$A:$K,ROW()-1-$L$2+1,10),""),IF(ROW()-1&lt;=$L$2+$M$2+$N$2,IFERROR(INDEX(CLOZE_LIST!$A:$K,ROW()-1-$L$2-$M$2+1,10),""),IF(ROW()-1&lt;=$L$2+$M$2+$N$2+$O$2,IFERROR(INDEX(PROFORMA!$A:$K,ROW()-1-$L$2-$M$2-$N$2+1,10),""),"")))))</f>
        <v>0</v>
      </c>
      <c r="K151" s="3">
        <f>IF(ROW()-1&lt;=0,"",IF(ROW()-1&lt;=$L$2,IFERROR(INDEX(MCQ!$A:$K,ROW()-1+1,11),""),IF(ROW()-1&lt;=$L$2+$M$2,IFERROR(INDEX(CLOZE_AB!$A:$K,ROW()-1-$L$2+1,11),""),IF(ROW()-1&lt;=$L$2+$M$2+$N$2,IFERROR(INDEX(CLOZE_LIST!$A:$K,ROW()-1-$L$2-$M$2+1,11),""),IF(ROW()-1&lt;=$L$2+$M$2+$N$2+$O$2,IFERROR(INDEX(PROFORMA!$A:$K,ROW()-1-$L$2-$M$2-$N$2+1,11),""),"")))))</f>
        <v>0</v>
      </c>
      <c r="L151" s="3">
        <f>COUNTA(MCQ!$A:$A)-1</f>
        <v>143</v>
      </c>
      <c r="M151" s="3">
        <f>COUNTA(CLOZE_AB!$A:$A)-1</f>
        <v>168</v>
      </c>
      <c r="N151" s="3">
        <f>COUNTA(CLOZE_LIST!$A:$A)-1</f>
        <v>199</v>
      </c>
      <c r="O151" s="3">
        <f>COUNTA(PROFORMA!$A:$A)-1</f>
        <v>199</v>
      </c>
    </row>
    <row r="152" spans="1:15" x14ac:dyDescent="0.3">
      <c r="A152" s="3" t="str">
        <f>IF(ROW()-1&lt;=0,"",IF(ROW()-1&lt;=$L$2,IFERROR(INDEX(MCQ!$A:$K,ROW()-1+1,1),""),IF(ROW()-1&lt;=$L$2+$M$2,IFERROR(INDEX(CLOZE_AB!$A:$K,ROW()-1-$L$2+1,1),""),IF(ROW()-1&lt;=$L$2+$M$2+$N$2,IFERROR(INDEX(CLOZE_LIST!$A:$K,ROW()-1-$L$2-$M$2+1,1),""),IF(ROW()-1&lt;=$L$2+$M$2+$N$2+$O$2,IFERROR(INDEX(PROFORMA!$A:$K,ROW()-1-$L$2-$M$2-$N$2+1,1),""),"")))))</f>
        <v/>
      </c>
      <c r="B152" s="3">
        <f>IF(ROW()-1&lt;=0,"",IF(ROW()-1&lt;=$L$2,IFERROR(INDEX(MCQ!$A:$K,ROW()-1+1,2),""),IF(ROW()-1&lt;=$L$2+$M$2,IFERROR(INDEX(CLOZE_AB!$A:$K,ROW()-1-$L$2+1,2),""),IF(ROW()-1&lt;=$L$2+$M$2+$N$2,IFERROR(INDEX(CLOZE_LIST!$A:$K,ROW()-1-$L$2-$M$2+1,2),""),IF(ROW()-1&lt;=$L$2+$M$2+$N$2+$O$2,IFERROR(INDEX(PROFORMA!$A:$K,ROW()-1-$L$2-$M$2-$N$2+1,2),""),"")))))</f>
        <v>0</v>
      </c>
      <c r="C152" s="3">
        <f>IF(ROW()-1&lt;=0,"",IF(ROW()-1&lt;=$L$2,IFERROR(INDEX(MCQ!$A:$K,ROW()-1+1,3),""),IF(ROW()-1&lt;=$L$2+$M$2,IFERROR(INDEX(CLOZE_AB!$A:$K,ROW()-1-$L$2+1,3),""),IF(ROW()-1&lt;=$L$2+$M$2+$N$2,IFERROR(INDEX(CLOZE_LIST!$A:$K,ROW()-1-$L$2-$M$2+1,3),""),IF(ROW()-1&lt;=$L$2+$M$2+$N$2+$O$2,IFERROR(INDEX(PROFORMA!$A:$K,ROW()-1-$L$2-$M$2-$N$2+1,3),""),"")))))</f>
        <v>0</v>
      </c>
      <c r="D152" s="3">
        <f>IF(ROW()-1&lt;=0,"",IF(ROW()-1&lt;=$L$2,IFERROR(INDEX(MCQ!$A:$K,ROW()-1+1,4),""),IF(ROW()-1&lt;=$L$2+$M$2,IFERROR(INDEX(CLOZE_AB!$A:$K,ROW()-1-$L$2+1,4),""),IF(ROW()-1&lt;=$L$2+$M$2+$N$2,IFERROR(INDEX(CLOZE_LIST!$A:$K,ROW()-1-$L$2-$M$2+1,4),""),IF(ROW()-1&lt;=$L$2+$M$2+$N$2+$O$2,IFERROR(INDEX(PROFORMA!$A:$K,ROW()-1-$L$2-$M$2-$N$2+1,4),""),"")))))</f>
        <v>0</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0</v>
      </c>
      <c r="G152" s="3">
        <f>IF(ROW()-1&lt;=0,"",IF(ROW()-1&lt;=$L$2,IFERROR(INDEX(MCQ!$A:$K,ROW()-1+1,7),""),IF(ROW()-1&lt;=$L$2+$M$2,IFERROR(INDEX(CLOZE_AB!$A:$K,ROW()-1-$L$2+1,7),""),IF(ROW()-1&lt;=$L$2+$M$2+$N$2,IFERROR(INDEX(CLOZE_LIST!$A:$K,ROW()-1-$L$2-$M$2+1,7),""),IF(ROW()-1&lt;=$L$2+$M$2+$N$2+$O$2,IFERROR(INDEX(PROFORMA!$A:$K,ROW()-1-$L$2-$M$2-$N$2+1,7),""),"")))))</f>
        <v>0</v>
      </c>
      <c r="H152" s="3">
        <f>IF(ROW()-1&lt;=0,"",IF(ROW()-1&lt;=$L$2,IFERROR(INDEX(MCQ!$A:$K,ROW()-1+1,8),""),IF(ROW()-1&lt;=$L$2+$M$2,IFERROR(INDEX(CLOZE_AB!$A:$K,ROW()-1-$L$2+1,8),""),IF(ROW()-1&lt;=$L$2+$M$2+$N$2,IFERROR(INDEX(CLOZE_LIST!$A:$K,ROW()-1-$L$2-$M$2+1,8),""),IF(ROW()-1&lt;=$L$2+$M$2+$N$2+$O$2,IFERROR(INDEX(PROFORMA!$A:$K,ROW()-1-$L$2-$M$2-$N$2+1,8),""),"")))))</f>
        <v>0</v>
      </c>
      <c r="I152" s="3">
        <f>IF(ROW()-1&lt;=0,"",IF(ROW()-1&lt;=$L$2,IFERROR(INDEX(MCQ!$A:$K,ROW()-1+1,9),""),IF(ROW()-1&lt;=$L$2+$M$2,IFERROR(INDEX(CLOZE_AB!$A:$K,ROW()-1-$L$2+1,9),""),IF(ROW()-1&lt;=$L$2+$M$2+$N$2,IFERROR(INDEX(CLOZE_LIST!$A:$K,ROW()-1-$L$2-$M$2+1,9),""),IF(ROW()-1&lt;=$L$2+$M$2+$N$2+$O$2,IFERROR(INDEX(PROFORMA!$A:$K,ROW()-1-$L$2-$M$2-$N$2+1,9),""),"")))))</f>
        <v>0</v>
      </c>
      <c r="J152" s="3">
        <f>IF(ROW()-1&lt;=0,"",IF(ROW()-1&lt;=$L$2,IFERROR(INDEX(MCQ!$A:$K,ROW()-1+1,10),""),IF(ROW()-1&lt;=$L$2+$M$2,IFERROR(INDEX(CLOZE_AB!$A:$K,ROW()-1-$L$2+1,10),""),IF(ROW()-1&lt;=$L$2+$M$2+$N$2,IFERROR(INDEX(CLOZE_LIST!$A:$K,ROW()-1-$L$2-$M$2+1,10),""),IF(ROW()-1&lt;=$L$2+$M$2+$N$2+$O$2,IFERROR(INDEX(PROFORMA!$A:$K,ROW()-1-$L$2-$M$2-$N$2+1,10),""),"")))))</f>
        <v>0</v>
      </c>
      <c r="K152" s="3">
        <f>IF(ROW()-1&lt;=0,"",IF(ROW()-1&lt;=$L$2,IFERROR(INDEX(MCQ!$A:$K,ROW()-1+1,11),""),IF(ROW()-1&lt;=$L$2+$M$2,IFERROR(INDEX(CLOZE_AB!$A:$K,ROW()-1-$L$2+1,11),""),IF(ROW()-1&lt;=$L$2+$M$2+$N$2,IFERROR(INDEX(CLOZE_LIST!$A:$K,ROW()-1-$L$2-$M$2+1,11),""),IF(ROW()-1&lt;=$L$2+$M$2+$N$2+$O$2,IFERROR(INDEX(PROFORMA!$A:$K,ROW()-1-$L$2-$M$2-$N$2+1,11),""),"")))))</f>
        <v>0</v>
      </c>
      <c r="L152" s="3">
        <f>COUNTA(MCQ!$A:$A)-1</f>
        <v>143</v>
      </c>
      <c r="M152" s="3">
        <f>COUNTA(CLOZE_AB!$A:$A)-1</f>
        <v>168</v>
      </c>
      <c r="N152" s="3">
        <f>COUNTA(CLOZE_LIST!$A:$A)-1</f>
        <v>199</v>
      </c>
      <c r="O152" s="3">
        <f>COUNTA(PROFORMA!$A:$A)-1</f>
        <v>199</v>
      </c>
    </row>
    <row r="153" spans="1:15" x14ac:dyDescent="0.3">
      <c r="A153" s="3" t="str">
        <f>IF(ROW()-1&lt;=0,"",IF(ROW()-1&lt;=$L$2,IFERROR(INDEX(MCQ!$A:$K,ROW()-1+1,1),""),IF(ROW()-1&lt;=$L$2+$M$2,IFERROR(INDEX(CLOZE_AB!$A:$K,ROW()-1-$L$2+1,1),""),IF(ROW()-1&lt;=$L$2+$M$2+$N$2,IFERROR(INDEX(CLOZE_LIST!$A:$K,ROW()-1-$L$2-$M$2+1,1),""),IF(ROW()-1&lt;=$L$2+$M$2+$N$2+$O$2,IFERROR(INDEX(PROFORMA!$A:$K,ROW()-1-$L$2-$M$2-$N$2+1,1),""),"")))))</f>
        <v/>
      </c>
      <c r="B153" s="3">
        <f>IF(ROW()-1&lt;=0,"",IF(ROW()-1&lt;=$L$2,IFERROR(INDEX(MCQ!$A:$K,ROW()-1+1,2),""),IF(ROW()-1&lt;=$L$2+$M$2,IFERROR(INDEX(CLOZE_AB!$A:$K,ROW()-1-$L$2+1,2),""),IF(ROW()-1&lt;=$L$2+$M$2+$N$2,IFERROR(INDEX(CLOZE_LIST!$A:$K,ROW()-1-$L$2-$M$2+1,2),""),IF(ROW()-1&lt;=$L$2+$M$2+$N$2+$O$2,IFERROR(INDEX(PROFORMA!$A:$K,ROW()-1-$L$2-$M$2-$N$2+1,2),""),"")))))</f>
        <v>0</v>
      </c>
      <c r="C153" s="3">
        <f>IF(ROW()-1&lt;=0,"",IF(ROW()-1&lt;=$L$2,IFERROR(INDEX(MCQ!$A:$K,ROW()-1+1,3),""),IF(ROW()-1&lt;=$L$2+$M$2,IFERROR(INDEX(CLOZE_AB!$A:$K,ROW()-1-$L$2+1,3),""),IF(ROW()-1&lt;=$L$2+$M$2+$N$2,IFERROR(INDEX(CLOZE_LIST!$A:$K,ROW()-1-$L$2-$M$2+1,3),""),IF(ROW()-1&lt;=$L$2+$M$2+$N$2+$O$2,IFERROR(INDEX(PROFORMA!$A:$K,ROW()-1-$L$2-$M$2-$N$2+1,3),""),"")))))</f>
        <v>0</v>
      </c>
      <c r="D153" s="3">
        <f>IF(ROW()-1&lt;=0,"",IF(ROW()-1&lt;=$L$2,IFERROR(INDEX(MCQ!$A:$K,ROW()-1+1,4),""),IF(ROW()-1&lt;=$L$2+$M$2,IFERROR(INDEX(CLOZE_AB!$A:$K,ROW()-1-$L$2+1,4),""),IF(ROW()-1&lt;=$L$2+$M$2+$N$2,IFERROR(INDEX(CLOZE_LIST!$A:$K,ROW()-1-$L$2-$M$2+1,4),""),IF(ROW()-1&lt;=$L$2+$M$2+$N$2+$O$2,IFERROR(INDEX(PROFORMA!$A:$K,ROW()-1-$L$2-$M$2-$N$2+1,4),""),"")))))</f>
        <v>0</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0</v>
      </c>
      <c r="G153" s="3">
        <f>IF(ROW()-1&lt;=0,"",IF(ROW()-1&lt;=$L$2,IFERROR(INDEX(MCQ!$A:$K,ROW()-1+1,7),""),IF(ROW()-1&lt;=$L$2+$M$2,IFERROR(INDEX(CLOZE_AB!$A:$K,ROW()-1-$L$2+1,7),""),IF(ROW()-1&lt;=$L$2+$M$2+$N$2,IFERROR(INDEX(CLOZE_LIST!$A:$K,ROW()-1-$L$2-$M$2+1,7),""),IF(ROW()-1&lt;=$L$2+$M$2+$N$2+$O$2,IFERROR(INDEX(PROFORMA!$A:$K,ROW()-1-$L$2-$M$2-$N$2+1,7),""),"")))))</f>
        <v>0</v>
      </c>
      <c r="H153" s="3">
        <f>IF(ROW()-1&lt;=0,"",IF(ROW()-1&lt;=$L$2,IFERROR(INDEX(MCQ!$A:$K,ROW()-1+1,8),""),IF(ROW()-1&lt;=$L$2+$M$2,IFERROR(INDEX(CLOZE_AB!$A:$K,ROW()-1-$L$2+1,8),""),IF(ROW()-1&lt;=$L$2+$M$2+$N$2,IFERROR(INDEX(CLOZE_LIST!$A:$K,ROW()-1-$L$2-$M$2+1,8),""),IF(ROW()-1&lt;=$L$2+$M$2+$N$2+$O$2,IFERROR(INDEX(PROFORMA!$A:$K,ROW()-1-$L$2-$M$2-$N$2+1,8),""),"")))))</f>
        <v>0</v>
      </c>
      <c r="I153" s="3">
        <f>IF(ROW()-1&lt;=0,"",IF(ROW()-1&lt;=$L$2,IFERROR(INDEX(MCQ!$A:$K,ROW()-1+1,9),""),IF(ROW()-1&lt;=$L$2+$M$2,IFERROR(INDEX(CLOZE_AB!$A:$K,ROW()-1-$L$2+1,9),""),IF(ROW()-1&lt;=$L$2+$M$2+$N$2,IFERROR(INDEX(CLOZE_LIST!$A:$K,ROW()-1-$L$2-$M$2+1,9),""),IF(ROW()-1&lt;=$L$2+$M$2+$N$2+$O$2,IFERROR(INDEX(PROFORMA!$A:$K,ROW()-1-$L$2-$M$2-$N$2+1,9),""),"")))))</f>
        <v>0</v>
      </c>
      <c r="J153" s="3">
        <f>IF(ROW()-1&lt;=0,"",IF(ROW()-1&lt;=$L$2,IFERROR(INDEX(MCQ!$A:$K,ROW()-1+1,10),""),IF(ROW()-1&lt;=$L$2+$M$2,IFERROR(INDEX(CLOZE_AB!$A:$K,ROW()-1-$L$2+1,10),""),IF(ROW()-1&lt;=$L$2+$M$2+$N$2,IFERROR(INDEX(CLOZE_LIST!$A:$K,ROW()-1-$L$2-$M$2+1,10),""),IF(ROW()-1&lt;=$L$2+$M$2+$N$2+$O$2,IFERROR(INDEX(PROFORMA!$A:$K,ROW()-1-$L$2-$M$2-$N$2+1,10),""),"")))))</f>
        <v>0</v>
      </c>
      <c r="K153" s="3">
        <f>IF(ROW()-1&lt;=0,"",IF(ROW()-1&lt;=$L$2,IFERROR(INDEX(MCQ!$A:$K,ROW()-1+1,11),""),IF(ROW()-1&lt;=$L$2+$M$2,IFERROR(INDEX(CLOZE_AB!$A:$K,ROW()-1-$L$2+1,11),""),IF(ROW()-1&lt;=$L$2+$M$2+$N$2,IFERROR(INDEX(CLOZE_LIST!$A:$K,ROW()-1-$L$2-$M$2+1,11),""),IF(ROW()-1&lt;=$L$2+$M$2+$N$2+$O$2,IFERROR(INDEX(PROFORMA!$A:$K,ROW()-1-$L$2-$M$2-$N$2+1,11),""),"")))))</f>
        <v>0</v>
      </c>
      <c r="L153" s="3">
        <f>COUNTA(MCQ!$A:$A)-1</f>
        <v>143</v>
      </c>
      <c r="M153" s="3">
        <f>COUNTA(CLOZE_AB!$A:$A)-1</f>
        <v>168</v>
      </c>
      <c r="N153" s="3">
        <f>COUNTA(CLOZE_LIST!$A:$A)-1</f>
        <v>199</v>
      </c>
      <c r="O153" s="3">
        <f>COUNTA(PROFORMA!$A:$A)-1</f>
        <v>199</v>
      </c>
    </row>
    <row r="154" spans="1:15" x14ac:dyDescent="0.3">
      <c r="A154" s="3" t="str">
        <f>IF(ROW()-1&lt;=0,"",IF(ROW()-1&lt;=$L$2,IFERROR(INDEX(MCQ!$A:$K,ROW()-1+1,1),""),IF(ROW()-1&lt;=$L$2+$M$2,IFERROR(INDEX(CLOZE_AB!$A:$K,ROW()-1-$L$2+1,1),""),IF(ROW()-1&lt;=$L$2+$M$2+$N$2,IFERROR(INDEX(CLOZE_LIST!$A:$K,ROW()-1-$L$2-$M$2+1,1),""),IF(ROW()-1&lt;=$L$2+$M$2+$N$2+$O$2,IFERROR(INDEX(PROFORMA!$A:$K,ROW()-1-$L$2-$M$2-$N$2+1,1),""),"")))))</f>
        <v/>
      </c>
      <c r="B154" s="3">
        <f>IF(ROW()-1&lt;=0,"",IF(ROW()-1&lt;=$L$2,IFERROR(INDEX(MCQ!$A:$K,ROW()-1+1,2),""),IF(ROW()-1&lt;=$L$2+$M$2,IFERROR(INDEX(CLOZE_AB!$A:$K,ROW()-1-$L$2+1,2),""),IF(ROW()-1&lt;=$L$2+$M$2+$N$2,IFERROR(INDEX(CLOZE_LIST!$A:$K,ROW()-1-$L$2-$M$2+1,2),""),IF(ROW()-1&lt;=$L$2+$M$2+$N$2+$O$2,IFERROR(INDEX(PROFORMA!$A:$K,ROW()-1-$L$2-$M$2-$N$2+1,2),""),"")))))</f>
        <v>0</v>
      </c>
      <c r="C154" s="3">
        <f>IF(ROW()-1&lt;=0,"",IF(ROW()-1&lt;=$L$2,IFERROR(INDEX(MCQ!$A:$K,ROW()-1+1,3),""),IF(ROW()-1&lt;=$L$2+$M$2,IFERROR(INDEX(CLOZE_AB!$A:$K,ROW()-1-$L$2+1,3),""),IF(ROW()-1&lt;=$L$2+$M$2+$N$2,IFERROR(INDEX(CLOZE_LIST!$A:$K,ROW()-1-$L$2-$M$2+1,3),""),IF(ROW()-1&lt;=$L$2+$M$2+$N$2+$O$2,IFERROR(INDEX(PROFORMA!$A:$K,ROW()-1-$L$2-$M$2-$N$2+1,3),""),"")))))</f>
        <v>0</v>
      </c>
      <c r="D154" s="3">
        <f>IF(ROW()-1&lt;=0,"",IF(ROW()-1&lt;=$L$2,IFERROR(INDEX(MCQ!$A:$K,ROW()-1+1,4),""),IF(ROW()-1&lt;=$L$2+$M$2,IFERROR(INDEX(CLOZE_AB!$A:$K,ROW()-1-$L$2+1,4),""),IF(ROW()-1&lt;=$L$2+$M$2+$N$2,IFERROR(INDEX(CLOZE_LIST!$A:$K,ROW()-1-$L$2-$M$2+1,4),""),IF(ROW()-1&lt;=$L$2+$M$2+$N$2+$O$2,IFERROR(INDEX(PROFORMA!$A:$K,ROW()-1-$L$2-$M$2-$N$2+1,4),""),"")))))</f>
        <v>0</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0</v>
      </c>
      <c r="G154" s="3">
        <f>IF(ROW()-1&lt;=0,"",IF(ROW()-1&lt;=$L$2,IFERROR(INDEX(MCQ!$A:$K,ROW()-1+1,7),""),IF(ROW()-1&lt;=$L$2+$M$2,IFERROR(INDEX(CLOZE_AB!$A:$K,ROW()-1-$L$2+1,7),""),IF(ROW()-1&lt;=$L$2+$M$2+$N$2,IFERROR(INDEX(CLOZE_LIST!$A:$K,ROW()-1-$L$2-$M$2+1,7),""),IF(ROW()-1&lt;=$L$2+$M$2+$N$2+$O$2,IFERROR(INDEX(PROFORMA!$A:$K,ROW()-1-$L$2-$M$2-$N$2+1,7),""),"")))))</f>
        <v>0</v>
      </c>
      <c r="H154" s="3">
        <f>IF(ROW()-1&lt;=0,"",IF(ROW()-1&lt;=$L$2,IFERROR(INDEX(MCQ!$A:$K,ROW()-1+1,8),""),IF(ROW()-1&lt;=$L$2+$M$2,IFERROR(INDEX(CLOZE_AB!$A:$K,ROW()-1-$L$2+1,8),""),IF(ROW()-1&lt;=$L$2+$M$2+$N$2,IFERROR(INDEX(CLOZE_LIST!$A:$K,ROW()-1-$L$2-$M$2+1,8),""),IF(ROW()-1&lt;=$L$2+$M$2+$N$2+$O$2,IFERROR(INDEX(PROFORMA!$A:$K,ROW()-1-$L$2-$M$2-$N$2+1,8),""),"")))))</f>
        <v>0</v>
      </c>
      <c r="I154" s="3">
        <f>IF(ROW()-1&lt;=0,"",IF(ROW()-1&lt;=$L$2,IFERROR(INDEX(MCQ!$A:$K,ROW()-1+1,9),""),IF(ROW()-1&lt;=$L$2+$M$2,IFERROR(INDEX(CLOZE_AB!$A:$K,ROW()-1-$L$2+1,9),""),IF(ROW()-1&lt;=$L$2+$M$2+$N$2,IFERROR(INDEX(CLOZE_LIST!$A:$K,ROW()-1-$L$2-$M$2+1,9),""),IF(ROW()-1&lt;=$L$2+$M$2+$N$2+$O$2,IFERROR(INDEX(PROFORMA!$A:$K,ROW()-1-$L$2-$M$2-$N$2+1,9),""),"")))))</f>
        <v>0</v>
      </c>
      <c r="J154" s="3">
        <f>IF(ROW()-1&lt;=0,"",IF(ROW()-1&lt;=$L$2,IFERROR(INDEX(MCQ!$A:$K,ROW()-1+1,10),""),IF(ROW()-1&lt;=$L$2+$M$2,IFERROR(INDEX(CLOZE_AB!$A:$K,ROW()-1-$L$2+1,10),""),IF(ROW()-1&lt;=$L$2+$M$2+$N$2,IFERROR(INDEX(CLOZE_LIST!$A:$K,ROW()-1-$L$2-$M$2+1,10),""),IF(ROW()-1&lt;=$L$2+$M$2+$N$2+$O$2,IFERROR(INDEX(PROFORMA!$A:$K,ROW()-1-$L$2-$M$2-$N$2+1,10),""),"")))))</f>
        <v>0</v>
      </c>
      <c r="K154" s="3">
        <f>IF(ROW()-1&lt;=0,"",IF(ROW()-1&lt;=$L$2,IFERROR(INDEX(MCQ!$A:$K,ROW()-1+1,11),""),IF(ROW()-1&lt;=$L$2+$M$2,IFERROR(INDEX(CLOZE_AB!$A:$K,ROW()-1-$L$2+1,11),""),IF(ROW()-1&lt;=$L$2+$M$2+$N$2,IFERROR(INDEX(CLOZE_LIST!$A:$K,ROW()-1-$L$2-$M$2+1,11),""),IF(ROW()-1&lt;=$L$2+$M$2+$N$2+$O$2,IFERROR(INDEX(PROFORMA!$A:$K,ROW()-1-$L$2-$M$2-$N$2+1,11),""),"")))))</f>
        <v>0</v>
      </c>
      <c r="L154" s="3">
        <f>COUNTA(MCQ!$A:$A)-1</f>
        <v>143</v>
      </c>
      <c r="M154" s="3">
        <f>COUNTA(CLOZE_AB!$A:$A)-1</f>
        <v>168</v>
      </c>
      <c r="N154" s="3">
        <f>COUNTA(CLOZE_LIST!$A:$A)-1</f>
        <v>199</v>
      </c>
      <c r="O154" s="3">
        <f>COUNTA(PROFORMA!$A:$A)-1</f>
        <v>199</v>
      </c>
    </row>
    <row r="155" spans="1:15" x14ac:dyDescent="0.3">
      <c r="A155" s="3" t="str">
        <f>IF(ROW()-1&lt;=0,"",IF(ROW()-1&lt;=$L$2,IFERROR(INDEX(MCQ!$A:$K,ROW()-1+1,1),""),IF(ROW()-1&lt;=$L$2+$M$2,IFERROR(INDEX(CLOZE_AB!$A:$K,ROW()-1-$L$2+1,1),""),IF(ROW()-1&lt;=$L$2+$M$2+$N$2,IFERROR(INDEX(CLOZE_LIST!$A:$K,ROW()-1-$L$2-$M$2+1,1),""),IF(ROW()-1&lt;=$L$2+$M$2+$N$2+$O$2,IFERROR(INDEX(PROFORMA!$A:$K,ROW()-1-$L$2-$M$2-$N$2+1,1),""),"")))))</f>
        <v/>
      </c>
      <c r="B155" s="3">
        <f>IF(ROW()-1&lt;=0,"",IF(ROW()-1&lt;=$L$2,IFERROR(INDEX(MCQ!$A:$K,ROW()-1+1,2),""),IF(ROW()-1&lt;=$L$2+$M$2,IFERROR(INDEX(CLOZE_AB!$A:$K,ROW()-1-$L$2+1,2),""),IF(ROW()-1&lt;=$L$2+$M$2+$N$2,IFERROR(INDEX(CLOZE_LIST!$A:$K,ROW()-1-$L$2-$M$2+1,2),""),IF(ROW()-1&lt;=$L$2+$M$2+$N$2+$O$2,IFERROR(INDEX(PROFORMA!$A:$K,ROW()-1-$L$2-$M$2-$N$2+1,2),""),"")))))</f>
        <v>0</v>
      </c>
      <c r="C155" s="3">
        <f>IF(ROW()-1&lt;=0,"",IF(ROW()-1&lt;=$L$2,IFERROR(INDEX(MCQ!$A:$K,ROW()-1+1,3),""),IF(ROW()-1&lt;=$L$2+$M$2,IFERROR(INDEX(CLOZE_AB!$A:$K,ROW()-1-$L$2+1,3),""),IF(ROW()-1&lt;=$L$2+$M$2+$N$2,IFERROR(INDEX(CLOZE_LIST!$A:$K,ROW()-1-$L$2-$M$2+1,3),""),IF(ROW()-1&lt;=$L$2+$M$2+$N$2+$O$2,IFERROR(INDEX(PROFORMA!$A:$K,ROW()-1-$L$2-$M$2-$N$2+1,3),""),"")))))</f>
        <v>0</v>
      </c>
      <c r="D155" s="3">
        <f>IF(ROW()-1&lt;=0,"",IF(ROW()-1&lt;=$L$2,IFERROR(INDEX(MCQ!$A:$K,ROW()-1+1,4),""),IF(ROW()-1&lt;=$L$2+$M$2,IFERROR(INDEX(CLOZE_AB!$A:$K,ROW()-1-$L$2+1,4),""),IF(ROW()-1&lt;=$L$2+$M$2+$N$2,IFERROR(INDEX(CLOZE_LIST!$A:$K,ROW()-1-$L$2-$M$2+1,4),""),IF(ROW()-1&lt;=$L$2+$M$2+$N$2+$O$2,IFERROR(INDEX(PROFORMA!$A:$K,ROW()-1-$L$2-$M$2-$N$2+1,4),""),"")))))</f>
        <v>0</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0</v>
      </c>
      <c r="G155" s="3">
        <f>IF(ROW()-1&lt;=0,"",IF(ROW()-1&lt;=$L$2,IFERROR(INDEX(MCQ!$A:$K,ROW()-1+1,7),""),IF(ROW()-1&lt;=$L$2+$M$2,IFERROR(INDEX(CLOZE_AB!$A:$K,ROW()-1-$L$2+1,7),""),IF(ROW()-1&lt;=$L$2+$M$2+$N$2,IFERROR(INDEX(CLOZE_LIST!$A:$K,ROW()-1-$L$2-$M$2+1,7),""),IF(ROW()-1&lt;=$L$2+$M$2+$N$2+$O$2,IFERROR(INDEX(PROFORMA!$A:$K,ROW()-1-$L$2-$M$2-$N$2+1,7),""),"")))))</f>
        <v>0</v>
      </c>
      <c r="H155" s="3">
        <f>IF(ROW()-1&lt;=0,"",IF(ROW()-1&lt;=$L$2,IFERROR(INDEX(MCQ!$A:$K,ROW()-1+1,8),""),IF(ROW()-1&lt;=$L$2+$M$2,IFERROR(INDEX(CLOZE_AB!$A:$K,ROW()-1-$L$2+1,8),""),IF(ROW()-1&lt;=$L$2+$M$2+$N$2,IFERROR(INDEX(CLOZE_LIST!$A:$K,ROW()-1-$L$2-$M$2+1,8),""),IF(ROW()-1&lt;=$L$2+$M$2+$N$2+$O$2,IFERROR(INDEX(PROFORMA!$A:$K,ROW()-1-$L$2-$M$2-$N$2+1,8),""),"")))))</f>
        <v>0</v>
      </c>
      <c r="I155" s="3">
        <f>IF(ROW()-1&lt;=0,"",IF(ROW()-1&lt;=$L$2,IFERROR(INDEX(MCQ!$A:$K,ROW()-1+1,9),""),IF(ROW()-1&lt;=$L$2+$M$2,IFERROR(INDEX(CLOZE_AB!$A:$K,ROW()-1-$L$2+1,9),""),IF(ROW()-1&lt;=$L$2+$M$2+$N$2,IFERROR(INDEX(CLOZE_LIST!$A:$K,ROW()-1-$L$2-$M$2+1,9),""),IF(ROW()-1&lt;=$L$2+$M$2+$N$2+$O$2,IFERROR(INDEX(PROFORMA!$A:$K,ROW()-1-$L$2-$M$2-$N$2+1,9),""),"")))))</f>
        <v>0</v>
      </c>
      <c r="J155" s="3">
        <f>IF(ROW()-1&lt;=0,"",IF(ROW()-1&lt;=$L$2,IFERROR(INDEX(MCQ!$A:$K,ROW()-1+1,10),""),IF(ROW()-1&lt;=$L$2+$M$2,IFERROR(INDEX(CLOZE_AB!$A:$K,ROW()-1-$L$2+1,10),""),IF(ROW()-1&lt;=$L$2+$M$2+$N$2,IFERROR(INDEX(CLOZE_LIST!$A:$K,ROW()-1-$L$2-$M$2+1,10),""),IF(ROW()-1&lt;=$L$2+$M$2+$N$2+$O$2,IFERROR(INDEX(PROFORMA!$A:$K,ROW()-1-$L$2-$M$2-$N$2+1,10),""),"")))))</f>
        <v>0</v>
      </c>
      <c r="K155" s="3">
        <f>IF(ROW()-1&lt;=0,"",IF(ROW()-1&lt;=$L$2,IFERROR(INDEX(MCQ!$A:$K,ROW()-1+1,11),""),IF(ROW()-1&lt;=$L$2+$M$2,IFERROR(INDEX(CLOZE_AB!$A:$K,ROW()-1-$L$2+1,11),""),IF(ROW()-1&lt;=$L$2+$M$2+$N$2,IFERROR(INDEX(CLOZE_LIST!$A:$K,ROW()-1-$L$2-$M$2+1,11),""),IF(ROW()-1&lt;=$L$2+$M$2+$N$2+$O$2,IFERROR(INDEX(PROFORMA!$A:$K,ROW()-1-$L$2-$M$2-$N$2+1,11),""),"")))))</f>
        <v>0</v>
      </c>
      <c r="L155" s="3">
        <f>COUNTA(MCQ!$A:$A)-1</f>
        <v>143</v>
      </c>
      <c r="M155" s="3">
        <f>COUNTA(CLOZE_AB!$A:$A)-1</f>
        <v>168</v>
      </c>
      <c r="N155" s="3">
        <f>COUNTA(CLOZE_LIST!$A:$A)-1</f>
        <v>199</v>
      </c>
      <c r="O155" s="3">
        <f>COUNTA(PROFORMA!$A:$A)-1</f>
        <v>199</v>
      </c>
    </row>
    <row r="156" spans="1:15" x14ac:dyDescent="0.3">
      <c r="A156" s="3" t="str">
        <f>IF(ROW()-1&lt;=0,"",IF(ROW()-1&lt;=$L$2,IFERROR(INDEX(MCQ!$A:$K,ROW()-1+1,1),""),IF(ROW()-1&lt;=$L$2+$M$2,IFERROR(INDEX(CLOZE_AB!$A:$K,ROW()-1-$L$2+1,1),""),IF(ROW()-1&lt;=$L$2+$M$2+$N$2,IFERROR(INDEX(CLOZE_LIST!$A:$K,ROW()-1-$L$2-$M$2+1,1),""),IF(ROW()-1&lt;=$L$2+$M$2+$N$2+$O$2,IFERROR(INDEX(PROFORMA!$A:$K,ROW()-1-$L$2-$M$2-$N$2+1,1),""),"")))))</f>
        <v/>
      </c>
      <c r="B156" s="3">
        <f>IF(ROW()-1&lt;=0,"",IF(ROW()-1&lt;=$L$2,IFERROR(INDEX(MCQ!$A:$K,ROW()-1+1,2),""),IF(ROW()-1&lt;=$L$2+$M$2,IFERROR(INDEX(CLOZE_AB!$A:$K,ROW()-1-$L$2+1,2),""),IF(ROW()-1&lt;=$L$2+$M$2+$N$2,IFERROR(INDEX(CLOZE_LIST!$A:$K,ROW()-1-$L$2-$M$2+1,2),""),IF(ROW()-1&lt;=$L$2+$M$2+$N$2+$O$2,IFERROR(INDEX(PROFORMA!$A:$K,ROW()-1-$L$2-$M$2-$N$2+1,2),""),"")))))</f>
        <v>0</v>
      </c>
      <c r="C156" s="3">
        <f>IF(ROW()-1&lt;=0,"",IF(ROW()-1&lt;=$L$2,IFERROR(INDEX(MCQ!$A:$K,ROW()-1+1,3),""),IF(ROW()-1&lt;=$L$2+$M$2,IFERROR(INDEX(CLOZE_AB!$A:$K,ROW()-1-$L$2+1,3),""),IF(ROW()-1&lt;=$L$2+$M$2+$N$2,IFERROR(INDEX(CLOZE_LIST!$A:$K,ROW()-1-$L$2-$M$2+1,3),""),IF(ROW()-1&lt;=$L$2+$M$2+$N$2+$O$2,IFERROR(INDEX(PROFORMA!$A:$K,ROW()-1-$L$2-$M$2-$N$2+1,3),""),"")))))</f>
        <v>0</v>
      </c>
      <c r="D156" s="3">
        <f>IF(ROW()-1&lt;=0,"",IF(ROW()-1&lt;=$L$2,IFERROR(INDEX(MCQ!$A:$K,ROW()-1+1,4),""),IF(ROW()-1&lt;=$L$2+$M$2,IFERROR(INDEX(CLOZE_AB!$A:$K,ROW()-1-$L$2+1,4),""),IF(ROW()-1&lt;=$L$2+$M$2+$N$2,IFERROR(INDEX(CLOZE_LIST!$A:$K,ROW()-1-$L$2-$M$2+1,4),""),IF(ROW()-1&lt;=$L$2+$M$2+$N$2+$O$2,IFERROR(INDEX(PROFORMA!$A:$K,ROW()-1-$L$2-$M$2-$N$2+1,4),""),"")))))</f>
        <v>0</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0</v>
      </c>
      <c r="G156" s="3">
        <f>IF(ROW()-1&lt;=0,"",IF(ROW()-1&lt;=$L$2,IFERROR(INDEX(MCQ!$A:$K,ROW()-1+1,7),""),IF(ROW()-1&lt;=$L$2+$M$2,IFERROR(INDEX(CLOZE_AB!$A:$K,ROW()-1-$L$2+1,7),""),IF(ROW()-1&lt;=$L$2+$M$2+$N$2,IFERROR(INDEX(CLOZE_LIST!$A:$K,ROW()-1-$L$2-$M$2+1,7),""),IF(ROW()-1&lt;=$L$2+$M$2+$N$2+$O$2,IFERROR(INDEX(PROFORMA!$A:$K,ROW()-1-$L$2-$M$2-$N$2+1,7),""),"")))))</f>
        <v>0</v>
      </c>
      <c r="H156" s="3">
        <f>IF(ROW()-1&lt;=0,"",IF(ROW()-1&lt;=$L$2,IFERROR(INDEX(MCQ!$A:$K,ROW()-1+1,8),""),IF(ROW()-1&lt;=$L$2+$M$2,IFERROR(INDEX(CLOZE_AB!$A:$K,ROW()-1-$L$2+1,8),""),IF(ROW()-1&lt;=$L$2+$M$2+$N$2,IFERROR(INDEX(CLOZE_LIST!$A:$K,ROW()-1-$L$2-$M$2+1,8),""),IF(ROW()-1&lt;=$L$2+$M$2+$N$2+$O$2,IFERROR(INDEX(PROFORMA!$A:$K,ROW()-1-$L$2-$M$2-$N$2+1,8),""),"")))))</f>
        <v>0</v>
      </c>
      <c r="I156" s="3">
        <f>IF(ROW()-1&lt;=0,"",IF(ROW()-1&lt;=$L$2,IFERROR(INDEX(MCQ!$A:$K,ROW()-1+1,9),""),IF(ROW()-1&lt;=$L$2+$M$2,IFERROR(INDEX(CLOZE_AB!$A:$K,ROW()-1-$L$2+1,9),""),IF(ROW()-1&lt;=$L$2+$M$2+$N$2,IFERROR(INDEX(CLOZE_LIST!$A:$K,ROW()-1-$L$2-$M$2+1,9),""),IF(ROW()-1&lt;=$L$2+$M$2+$N$2+$O$2,IFERROR(INDEX(PROFORMA!$A:$K,ROW()-1-$L$2-$M$2-$N$2+1,9),""),"")))))</f>
        <v>0</v>
      </c>
      <c r="J156" s="3">
        <f>IF(ROW()-1&lt;=0,"",IF(ROW()-1&lt;=$L$2,IFERROR(INDEX(MCQ!$A:$K,ROW()-1+1,10),""),IF(ROW()-1&lt;=$L$2+$M$2,IFERROR(INDEX(CLOZE_AB!$A:$K,ROW()-1-$L$2+1,10),""),IF(ROW()-1&lt;=$L$2+$M$2+$N$2,IFERROR(INDEX(CLOZE_LIST!$A:$K,ROW()-1-$L$2-$M$2+1,10),""),IF(ROW()-1&lt;=$L$2+$M$2+$N$2+$O$2,IFERROR(INDEX(PROFORMA!$A:$K,ROW()-1-$L$2-$M$2-$N$2+1,10),""),"")))))</f>
        <v>0</v>
      </c>
      <c r="K156" s="3">
        <f>IF(ROW()-1&lt;=0,"",IF(ROW()-1&lt;=$L$2,IFERROR(INDEX(MCQ!$A:$K,ROW()-1+1,11),""),IF(ROW()-1&lt;=$L$2+$M$2,IFERROR(INDEX(CLOZE_AB!$A:$K,ROW()-1-$L$2+1,11),""),IF(ROW()-1&lt;=$L$2+$M$2+$N$2,IFERROR(INDEX(CLOZE_LIST!$A:$K,ROW()-1-$L$2-$M$2+1,11),""),IF(ROW()-1&lt;=$L$2+$M$2+$N$2+$O$2,IFERROR(INDEX(PROFORMA!$A:$K,ROW()-1-$L$2-$M$2-$N$2+1,11),""),"")))))</f>
        <v>0</v>
      </c>
      <c r="L156" s="3">
        <f>COUNTA(MCQ!$A:$A)-1</f>
        <v>143</v>
      </c>
      <c r="M156" s="3">
        <f>COUNTA(CLOZE_AB!$A:$A)-1</f>
        <v>168</v>
      </c>
      <c r="N156" s="3">
        <f>COUNTA(CLOZE_LIST!$A:$A)-1</f>
        <v>199</v>
      </c>
      <c r="O156" s="3">
        <f>COUNTA(PROFORMA!$A:$A)-1</f>
        <v>199</v>
      </c>
    </row>
    <row r="157" spans="1:15" x14ac:dyDescent="0.3">
      <c r="A157" s="3" t="str">
        <f>IF(ROW()-1&lt;=0,"",IF(ROW()-1&lt;=$L$2,IFERROR(INDEX(MCQ!$A:$K,ROW()-1+1,1),""),IF(ROW()-1&lt;=$L$2+$M$2,IFERROR(INDEX(CLOZE_AB!$A:$K,ROW()-1-$L$2+1,1),""),IF(ROW()-1&lt;=$L$2+$M$2+$N$2,IFERROR(INDEX(CLOZE_LIST!$A:$K,ROW()-1-$L$2-$M$2+1,1),""),IF(ROW()-1&lt;=$L$2+$M$2+$N$2+$O$2,IFERROR(INDEX(PROFORMA!$A:$K,ROW()-1-$L$2-$M$2-$N$2+1,1),""),"")))))</f>
        <v/>
      </c>
      <c r="B157" s="3">
        <f>IF(ROW()-1&lt;=0,"",IF(ROW()-1&lt;=$L$2,IFERROR(INDEX(MCQ!$A:$K,ROW()-1+1,2),""),IF(ROW()-1&lt;=$L$2+$M$2,IFERROR(INDEX(CLOZE_AB!$A:$K,ROW()-1-$L$2+1,2),""),IF(ROW()-1&lt;=$L$2+$M$2+$N$2,IFERROR(INDEX(CLOZE_LIST!$A:$K,ROW()-1-$L$2-$M$2+1,2),""),IF(ROW()-1&lt;=$L$2+$M$2+$N$2+$O$2,IFERROR(INDEX(PROFORMA!$A:$K,ROW()-1-$L$2-$M$2-$N$2+1,2),""),"")))))</f>
        <v>0</v>
      </c>
      <c r="C157" s="3">
        <f>IF(ROW()-1&lt;=0,"",IF(ROW()-1&lt;=$L$2,IFERROR(INDEX(MCQ!$A:$K,ROW()-1+1,3),""),IF(ROW()-1&lt;=$L$2+$M$2,IFERROR(INDEX(CLOZE_AB!$A:$K,ROW()-1-$L$2+1,3),""),IF(ROW()-1&lt;=$L$2+$M$2+$N$2,IFERROR(INDEX(CLOZE_LIST!$A:$K,ROW()-1-$L$2-$M$2+1,3),""),IF(ROW()-1&lt;=$L$2+$M$2+$N$2+$O$2,IFERROR(INDEX(PROFORMA!$A:$K,ROW()-1-$L$2-$M$2-$N$2+1,3),""),"")))))</f>
        <v>0</v>
      </c>
      <c r="D157" s="3">
        <f>IF(ROW()-1&lt;=0,"",IF(ROW()-1&lt;=$L$2,IFERROR(INDEX(MCQ!$A:$K,ROW()-1+1,4),""),IF(ROW()-1&lt;=$L$2+$M$2,IFERROR(INDEX(CLOZE_AB!$A:$K,ROW()-1-$L$2+1,4),""),IF(ROW()-1&lt;=$L$2+$M$2+$N$2,IFERROR(INDEX(CLOZE_LIST!$A:$K,ROW()-1-$L$2-$M$2+1,4),""),IF(ROW()-1&lt;=$L$2+$M$2+$N$2+$O$2,IFERROR(INDEX(PROFORMA!$A:$K,ROW()-1-$L$2-$M$2-$N$2+1,4),""),"")))))</f>
        <v>0</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0</v>
      </c>
      <c r="G157" s="3">
        <f>IF(ROW()-1&lt;=0,"",IF(ROW()-1&lt;=$L$2,IFERROR(INDEX(MCQ!$A:$K,ROW()-1+1,7),""),IF(ROW()-1&lt;=$L$2+$M$2,IFERROR(INDEX(CLOZE_AB!$A:$K,ROW()-1-$L$2+1,7),""),IF(ROW()-1&lt;=$L$2+$M$2+$N$2,IFERROR(INDEX(CLOZE_LIST!$A:$K,ROW()-1-$L$2-$M$2+1,7),""),IF(ROW()-1&lt;=$L$2+$M$2+$N$2+$O$2,IFERROR(INDEX(PROFORMA!$A:$K,ROW()-1-$L$2-$M$2-$N$2+1,7),""),"")))))</f>
        <v>0</v>
      </c>
      <c r="H157" s="3">
        <f>IF(ROW()-1&lt;=0,"",IF(ROW()-1&lt;=$L$2,IFERROR(INDEX(MCQ!$A:$K,ROW()-1+1,8),""),IF(ROW()-1&lt;=$L$2+$M$2,IFERROR(INDEX(CLOZE_AB!$A:$K,ROW()-1-$L$2+1,8),""),IF(ROW()-1&lt;=$L$2+$M$2+$N$2,IFERROR(INDEX(CLOZE_LIST!$A:$K,ROW()-1-$L$2-$M$2+1,8),""),IF(ROW()-1&lt;=$L$2+$M$2+$N$2+$O$2,IFERROR(INDEX(PROFORMA!$A:$K,ROW()-1-$L$2-$M$2-$N$2+1,8),""),"")))))</f>
        <v>0</v>
      </c>
      <c r="I157" s="3">
        <f>IF(ROW()-1&lt;=0,"",IF(ROW()-1&lt;=$L$2,IFERROR(INDEX(MCQ!$A:$K,ROW()-1+1,9),""),IF(ROW()-1&lt;=$L$2+$M$2,IFERROR(INDEX(CLOZE_AB!$A:$K,ROW()-1-$L$2+1,9),""),IF(ROW()-1&lt;=$L$2+$M$2+$N$2,IFERROR(INDEX(CLOZE_LIST!$A:$K,ROW()-1-$L$2-$M$2+1,9),""),IF(ROW()-1&lt;=$L$2+$M$2+$N$2+$O$2,IFERROR(INDEX(PROFORMA!$A:$K,ROW()-1-$L$2-$M$2-$N$2+1,9),""),"")))))</f>
        <v>0</v>
      </c>
      <c r="J157" s="3">
        <f>IF(ROW()-1&lt;=0,"",IF(ROW()-1&lt;=$L$2,IFERROR(INDEX(MCQ!$A:$K,ROW()-1+1,10),""),IF(ROW()-1&lt;=$L$2+$M$2,IFERROR(INDEX(CLOZE_AB!$A:$K,ROW()-1-$L$2+1,10),""),IF(ROW()-1&lt;=$L$2+$M$2+$N$2,IFERROR(INDEX(CLOZE_LIST!$A:$K,ROW()-1-$L$2-$M$2+1,10),""),IF(ROW()-1&lt;=$L$2+$M$2+$N$2+$O$2,IFERROR(INDEX(PROFORMA!$A:$K,ROW()-1-$L$2-$M$2-$N$2+1,10),""),"")))))</f>
        <v>0</v>
      </c>
      <c r="K157" s="3">
        <f>IF(ROW()-1&lt;=0,"",IF(ROW()-1&lt;=$L$2,IFERROR(INDEX(MCQ!$A:$K,ROW()-1+1,11),""),IF(ROW()-1&lt;=$L$2+$M$2,IFERROR(INDEX(CLOZE_AB!$A:$K,ROW()-1-$L$2+1,11),""),IF(ROW()-1&lt;=$L$2+$M$2+$N$2,IFERROR(INDEX(CLOZE_LIST!$A:$K,ROW()-1-$L$2-$M$2+1,11),""),IF(ROW()-1&lt;=$L$2+$M$2+$N$2+$O$2,IFERROR(INDEX(PROFORMA!$A:$K,ROW()-1-$L$2-$M$2-$N$2+1,11),""),"")))))</f>
        <v>0</v>
      </c>
      <c r="L157" s="3">
        <f>COUNTA(MCQ!$A:$A)-1</f>
        <v>143</v>
      </c>
      <c r="M157" s="3">
        <f>COUNTA(CLOZE_AB!$A:$A)-1</f>
        <v>168</v>
      </c>
      <c r="N157" s="3">
        <f>COUNTA(CLOZE_LIST!$A:$A)-1</f>
        <v>199</v>
      </c>
      <c r="O157" s="3">
        <f>COUNTA(PROFORMA!$A:$A)-1</f>
        <v>199</v>
      </c>
    </row>
    <row r="158" spans="1:15" x14ac:dyDescent="0.3">
      <c r="A158" s="3" t="str">
        <f>IF(ROW()-1&lt;=0,"",IF(ROW()-1&lt;=$L$2,IFERROR(INDEX(MCQ!$A:$K,ROW()-1+1,1),""),IF(ROW()-1&lt;=$L$2+$M$2,IFERROR(INDEX(CLOZE_AB!$A:$K,ROW()-1-$L$2+1,1),""),IF(ROW()-1&lt;=$L$2+$M$2+$N$2,IFERROR(INDEX(CLOZE_LIST!$A:$K,ROW()-1-$L$2-$M$2+1,1),""),IF(ROW()-1&lt;=$L$2+$M$2+$N$2+$O$2,IFERROR(INDEX(PROFORMA!$A:$K,ROW()-1-$L$2-$M$2-$N$2+1,1),""),"")))))</f>
        <v/>
      </c>
      <c r="B158" s="3">
        <f>IF(ROW()-1&lt;=0,"",IF(ROW()-1&lt;=$L$2,IFERROR(INDEX(MCQ!$A:$K,ROW()-1+1,2),""),IF(ROW()-1&lt;=$L$2+$M$2,IFERROR(INDEX(CLOZE_AB!$A:$K,ROW()-1-$L$2+1,2),""),IF(ROW()-1&lt;=$L$2+$M$2+$N$2,IFERROR(INDEX(CLOZE_LIST!$A:$K,ROW()-1-$L$2-$M$2+1,2),""),IF(ROW()-1&lt;=$L$2+$M$2+$N$2+$O$2,IFERROR(INDEX(PROFORMA!$A:$K,ROW()-1-$L$2-$M$2-$N$2+1,2),""),"")))))</f>
        <v>0</v>
      </c>
      <c r="C158" s="3">
        <f>IF(ROW()-1&lt;=0,"",IF(ROW()-1&lt;=$L$2,IFERROR(INDEX(MCQ!$A:$K,ROW()-1+1,3),""),IF(ROW()-1&lt;=$L$2+$M$2,IFERROR(INDEX(CLOZE_AB!$A:$K,ROW()-1-$L$2+1,3),""),IF(ROW()-1&lt;=$L$2+$M$2+$N$2,IFERROR(INDEX(CLOZE_LIST!$A:$K,ROW()-1-$L$2-$M$2+1,3),""),IF(ROW()-1&lt;=$L$2+$M$2+$N$2+$O$2,IFERROR(INDEX(PROFORMA!$A:$K,ROW()-1-$L$2-$M$2-$N$2+1,3),""),"")))))</f>
        <v>0</v>
      </c>
      <c r="D158" s="3">
        <f>IF(ROW()-1&lt;=0,"",IF(ROW()-1&lt;=$L$2,IFERROR(INDEX(MCQ!$A:$K,ROW()-1+1,4),""),IF(ROW()-1&lt;=$L$2+$M$2,IFERROR(INDEX(CLOZE_AB!$A:$K,ROW()-1-$L$2+1,4),""),IF(ROW()-1&lt;=$L$2+$M$2+$N$2,IFERROR(INDEX(CLOZE_LIST!$A:$K,ROW()-1-$L$2-$M$2+1,4),""),IF(ROW()-1&lt;=$L$2+$M$2+$N$2+$O$2,IFERROR(INDEX(PROFORMA!$A:$K,ROW()-1-$L$2-$M$2-$N$2+1,4),""),"")))))</f>
        <v>0</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0</v>
      </c>
      <c r="G158" s="3">
        <f>IF(ROW()-1&lt;=0,"",IF(ROW()-1&lt;=$L$2,IFERROR(INDEX(MCQ!$A:$K,ROW()-1+1,7),""),IF(ROW()-1&lt;=$L$2+$M$2,IFERROR(INDEX(CLOZE_AB!$A:$K,ROW()-1-$L$2+1,7),""),IF(ROW()-1&lt;=$L$2+$M$2+$N$2,IFERROR(INDEX(CLOZE_LIST!$A:$K,ROW()-1-$L$2-$M$2+1,7),""),IF(ROW()-1&lt;=$L$2+$M$2+$N$2+$O$2,IFERROR(INDEX(PROFORMA!$A:$K,ROW()-1-$L$2-$M$2-$N$2+1,7),""),"")))))</f>
        <v>0</v>
      </c>
      <c r="H158" s="3">
        <f>IF(ROW()-1&lt;=0,"",IF(ROW()-1&lt;=$L$2,IFERROR(INDEX(MCQ!$A:$K,ROW()-1+1,8),""),IF(ROW()-1&lt;=$L$2+$M$2,IFERROR(INDEX(CLOZE_AB!$A:$K,ROW()-1-$L$2+1,8),""),IF(ROW()-1&lt;=$L$2+$M$2+$N$2,IFERROR(INDEX(CLOZE_LIST!$A:$K,ROW()-1-$L$2-$M$2+1,8),""),IF(ROW()-1&lt;=$L$2+$M$2+$N$2+$O$2,IFERROR(INDEX(PROFORMA!$A:$K,ROW()-1-$L$2-$M$2-$N$2+1,8),""),"")))))</f>
        <v>0</v>
      </c>
      <c r="I158" s="3">
        <f>IF(ROW()-1&lt;=0,"",IF(ROW()-1&lt;=$L$2,IFERROR(INDEX(MCQ!$A:$K,ROW()-1+1,9),""),IF(ROW()-1&lt;=$L$2+$M$2,IFERROR(INDEX(CLOZE_AB!$A:$K,ROW()-1-$L$2+1,9),""),IF(ROW()-1&lt;=$L$2+$M$2+$N$2,IFERROR(INDEX(CLOZE_LIST!$A:$K,ROW()-1-$L$2-$M$2+1,9),""),IF(ROW()-1&lt;=$L$2+$M$2+$N$2+$O$2,IFERROR(INDEX(PROFORMA!$A:$K,ROW()-1-$L$2-$M$2-$N$2+1,9),""),"")))))</f>
        <v>0</v>
      </c>
      <c r="J158" s="3">
        <f>IF(ROW()-1&lt;=0,"",IF(ROW()-1&lt;=$L$2,IFERROR(INDEX(MCQ!$A:$K,ROW()-1+1,10),""),IF(ROW()-1&lt;=$L$2+$M$2,IFERROR(INDEX(CLOZE_AB!$A:$K,ROW()-1-$L$2+1,10),""),IF(ROW()-1&lt;=$L$2+$M$2+$N$2,IFERROR(INDEX(CLOZE_LIST!$A:$K,ROW()-1-$L$2-$M$2+1,10),""),IF(ROW()-1&lt;=$L$2+$M$2+$N$2+$O$2,IFERROR(INDEX(PROFORMA!$A:$K,ROW()-1-$L$2-$M$2-$N$2+1,10),""),"")))))</f>
        <v>0</v>
      </c>
      <c r="K158" s="3">
        <f>IF(ROW()-1&lt;=0,"",IF(ROW()-1&lt;=$L$2,IFERROR(INDEX(MCQ!$A:$K,ROW()-1+1,11),""),IF(ROW()-1&lt;=$L$2+$M$2,IFERROR(INDEX(CLOZE_AB!$A:$K,ROW()-1-$L$2+1,11),""),IF(ROW()-1&lt;=$L$2+$M$2+$N$2,IFERROR(INDEX(CLOZE_LIST!$A:$K,ROW()-1-$L$2-$M$2+1,11),""),IF(ROW()-1&lt;=$L$2+$M$2+$N$2+$O$2,IFERROR(INDEX(PROFORMA!$A:$K,ROW()-1-$L$2-$M$2-$N$2+1,11),""),"")))))</f>
        <v>0</v>
      </c>
      <c r="L158" s="3">
        <f>COUNTA(MCQ!$A:$A)-1</f>
        <v>143</v>
      </c>
      <c r="M158" s="3">
        <f>COUNTA(CLOZE_AB!$A:$A)-1</f>
        <v>168</v>
      </c>
      <c r="N158" s="3">
        <f>COUNTA(CLOZE_LIST!$A:$A)-1</f>
        <v>199</v>
      </c>
      <c r="O158" s="3">
        <f>COUNTA(PROFORMA!$A:$A)-1</f>
        <v>199</v>
      </c>
    </row>
    <row r="159" spans="1:15" x14ac:dyDescent="0.3">
      <c r="A159" s="3" t="str">
        <f>IF(ROW()-1&lt;=0,"",IF(ROW()-1&lt;=$L$2,IFERROR(INDEX(MCQ!$A:$K,ROW()-1+1,1),""),IF(ROW()-1&lt;=$L$2+$M$2,IFERROR(INDEX(CLOZE_AB!$A:$K,ROW()-1-$L$2+1,1),""),IF(ROW()-1&lt;=$L$2+$M$2+$N$2,IFERROR(INDEX(CLOZE_LIST!$A:$K,ROW()-1-$L$2-$M$2+1,1),""),IF(ROW()-1&lt;=$L$2+$M$2+$N$2+$O$2,IFERROR(INDEX(PROFORMA!$A:$K,ROW()-1-$L$2-$M$2-$N$2+1,1),""),"")))))</f>
        <v/>
      </c>
      <c r="B159" s="3">
        <f>IF(ROW()-1&lt;=0,"",IF(ROW()-1&lt;=$L$2,IFERROR(INDEX(MCQ!$A:$K,ROW()-1+1,2),""),IF(ROW()-1&lt;=$L$2+$M$2,IFERROR(INDEX(CLOZE_AB!$A:$K,ROW()-1-$L$2+1,2),""),IF(ROW()-1&lt;=$L$2+$M$2+$N$2,IFERROR(INDEX(CLOZE_LIST!$A:$K,ROW()-1-$L$2-$M$2+1,2),""),IF(ROW()-1&lt;=$L$2+$M$2+$N$2+$O$2,IFERROR(INDEX(PROFORMA!$A:$K,ROW()-1-$L$2-$M$2-$N$2+1,2),""),"")))))</f>
        <v>0</v>
      </c>
      <c r="C159" s="3">
        <f>IF(ROW()-1&lt;=0,"",IF(ROW()-1&lt;=$L$2,IFERROR(INDEX(MCQ!$A:$K,ROW()-1+1,3),""),IF(ROW()-1&lt;=$L$2+$M$2,IFERROR(INDEX(CLOZE_AB!$A:$K,ROW()-1-$L$2+1,3),""),IF(ROW()-1&lt;=$L$2+$M$2+$N$2,IFERROR(INDEX(CLOZE_LIST!$A:$K,ROW()-1-$L$2-$M$2+1,3),""),IF(ROW()-1&lt;=$L$2+$M$2+$N$2+$O$2,IFERROR(INDEX(PROFORMA!$A:$K,ROW()-1-$L$2-$M$2-$N$2+1,3),""),"")))))</f>
        <v>0</v>
      </c>
      <c r="D159" s="3">
        <f>IF(ROW()-1&lt;=0,"",IF(ROW()-1&lt;=$L$2,IFERROR(INDEX(MCQ!$A:$K,ROW()-1+1,4),""),IF(ROW()-1&lt;=$L$2+$M$2,IFERROR(INDEX(CLOZE_AB!$A:$K,ROW()-1-$L$2+1,4),""),IF(ROW()-1&lt;=$L$2+$M$2+$N$2,IFERROR(INDEX(CLOZE_LIST!$A:$K,ROW()-1-$L$2-$M$2+1,4),""),IF(ROW()-1&lt;=$L$2+$M$2+$N$2+$O$2,IFERROR(INDEX(PROFORMA!$A:$K,ROW()-1-$L$2-$M$2-$N$2+1,4),""),"")))))</f>
        <v>0</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0</v>
      </c>
      <c r="G159" s="3">
        <f>IF(ROW()-1&lt;=0,"",IF(ROW()-1&lt;=$L$2,IFERROR(INDEX(MCQ!$A:$K,ROW()-1+1,7),""),IF(ROW()-1&lt;=$L$2+$M$2,IFERROR(INDEX(CLOZE_AB!$A:$K,ROW()-1-$L$2+1,7),""),IF(ROW()-1&lt;=$L$2+$M$2+$N$2,IFERROR(INDEX(CLOZE_LIST!$A:$K,ROW()-1-$L$2-$M$2+1,7),""),IF(ROW()-1&lt;=$L$2+$M$2+$N$2+$O$2,IFERROR(INDEX(PROFORMA!$A:$K,ROW()-1-$L$2-$M$2-$N$2+1,7),""),"")))))</f>
        <v>0</v>
      </c>
      <c r="H159" s="3">
        <f>IF(ROW()-1&lt;=0,"",IF(ROW()-1&lt;=$L$2,IFERROR(INDEX(MCQ!$A:$K,ROW()-1+1,8),""),IF(ROW()-1&lt;=$L$2+$M$2,IFERROR(INDEX(CLOZE_AB!$A:$K,ROW()-1-$L$2+1,8),""),IF(ROW()-1&lt;=$L$2+$M$2+$N$2,IFERROR(INDEX(CLOZE_LIST!$A:$K,ROW()-1-$L$2-$M$2+1,8),""),IF(ROW()-1&lt;=$L$2+$M$2+$N$2+$O$2,IFERROR(INDEX(PROFORMA!$A:$K,ROW()-1-$L$2-$M$2-$N$2+1,8),""),"")))))</f>
        <v>0</v>
      </c>
      <c r="I159" s="3">
        <f>IF(ROW()-1&lt;=0,"",IF(ROW()-1&lt;=$L$2,IFERROR(INDEX(MCQ!$A:$K,ROW()-1+1,9),""),IF(ROW()-1&lt;=$L$2+$M$2,IFERROR(INDEX(CLOZE_AB!$A:$K,ROW()-1-$L$2+1,9),""),IF(ROW()-1&lt;=$L$2+$M$2+$N$2,IFERROR(INDEX(CLOZE_LIST!$A:$K,ROW()-1-$L$2-$M$2+1,9),""),IF(ROW()-1&lt;=$L$2+$M$2+$N$2+$O$2,IFERROR(INDEX(PROFORMA!$A:$K,ROW()-1-$L$2-$M$2-$N$2+1,9),""),"")))))</f>
        <v>0</v>
      </c>
      <c r="J159" s="3">
        <f>IF(ROW()-1&lt;=0,"",IF(ROW()-1&lt;=$L$2,IFERROR(INDEX(MCQ!$A:$K,ROW()-1+1,10),""),IF(ROW()-1&lt;=$L$2+$M$2,IFERROR(INDEX(CLOZE_AB!$A:$K,ROW()-1-$L$2+1,10),""),IF(ROW()-1&lt;=$L$2+$M$2+$N$2,IFERROR(INDEX(CLOZE_LIST!$A:$K,ROW()-1-$L$2-$M$2+1,10),""),IF(ROW()-1&lt;=$L$2+$M$2+$N$2+$O$2,IFERROR(INDEX(PROFORMA!$A:$K,ROW()-1-$L$2-$M$2-$N$2+1,10),""),"")))))</f>
        <v>0</v>
      </c>
      <c r="K159" s="3">
        <f>IF(ROW()-1&lt;=0,"",IF(ROW()-1&lt;=$L$2,IFERROR(INDEX(MCQ!$A:$K,ROW()-1+1,11),""),IF(ROW()-1&lt;=$L$2+$M$2,IFERROR(INDEX(CLOZE_AB!$A:$K,ROW()-1-$L$2+1,11),""),IF(ROW()-1&lt;=$L$2+$M$2+$N$2,IFERROR(INDEX(CLOZE_LIST!$A:$K,ROW()-1-$L$2-$M$2+1,11),""),IF(ROW()-1&lt;=$L$2+$M$2+$N$2+$O$2,IFERROR(INDEX(PROFORMA!$A:$K,ROW()-1-$L$2-$M$2-$N$2+1,11),""),"")))))</f>
        <v>0</v>
      </c>
      <c r="L159" s="3">
        <f>COUNTA(MCQ!$A:$A)-1</f>
        <v>143</v>
      </c>
      <c r="M159" s="3">
        <f>COUNTA(CLOZE_AB!$A:$A)-1</f>
        <v>168</v>
      </c>
      <c r="N159" s="3">
        <f>COUNTA(CLOZE_LIST!$A:$A)-1</f>
        <v>199</v>
      </c>
      <c r="O159" s="3">
        <f>COUNTA(PROFORMA!$A:$A)-1</f>
        <v>199</v>
      </c>
    </row>
    <row r="160" spans="1:15" x14ac:dyDescent="0.3">
      <c r="A160" s="3" t="str">
        <f>IF(ROW()-1&lt;=0,"",IF(ROW()-1&lt;=$L$2,IFERROR(INDEX(MCQ!$A:$K,ROW()-1+1,1),""),IF(ROW()-1&lt;=$L$2+$M$2,IFERROR(INDEX(CLOZE_AB!$A:$K,ROW()-1-$L$2+1,1),""),IF(ROW()-1&lt;=$L$2+$M$2+$N$2,IFERROR(INDEX(CLOZE_LIST!$A:$K,ROW()-1-$L$2-$M$2+1,1),""),IF(ROW()-1&lt;=$L$2+$M$2+$N$2+$O$2,IFERROR(INDEX(PROFORMA!$A:$K,ROW()-1-$L$2-$M$2-$N$2+1,1),""),"")))))</f>
        <v/>
      </c>
      <c r="B160" s="3">
        <f>IF(ROW()-1&lt;=0,"",IF(ROW()-1&lt;=$L$2,IFERROR(INDEX(MCQ!$A:$K,ROW()-1+1,2),""),IF(ROW()-1&lt;=$L$2+$M$2,IFERROR(INDEX(CLOZE_AB!$A:$K,ROW()-1-$L$2+1,2),""),IF(ROW()-1&lt;=$L$2+$M$2+$N$2,IFERROR(INDEX(CLOZE_LIST!$A:$K,ROW()-1-$L$2-$M$2+1,2),""),IF(ROW()-1&lt;=$L$2+$M$2+$N$2+$O$2,IFERROR(INDEX(PROFORMA!$A:$K,ROW()-1-$L$2-$M$2-$N$2+1,2),""),"")))))</f>
        <v>0</v>
      </c>
      <c r="C160" s="3">
        <f>IF(ROW()-1&lt;=0,"",IF(ROW()-1&lt;=$L$2,IFERROR(INDEX(MCQ!$A:$K,ROW()-1+1,3),""),IF(ROW()-1&lt;=$L$2+$M$2,IFERROR(INDEX(CLOZE_AB!$A:$K,ROW()-1-$L$2+1,3),""),IF(ROW()-1&lt;=$L$2+$M$2+$N$2,IFERROR(INDEX(CLOZE_LIST!$A:$K,ROW()-1-$L$2-$M$2+1,3),""),IF(ROW()-1&lt;=$L$2+$M$2+$N$2+$O$2,IFERROR(INDEX(PROFORMA!$A:$K,ROW()-1-$L$2-$M$2-$N$2+1,3),""),"")))))</f>
        <v>0</v>
      </c>
      <c r="D160" s="3">
        <f>IF(ROW()-1&lt;=0,"",IF(ROW()-1&lt;=$L$2,IFERROR(INDEX(MCQ!$A:$K,ROW()-1+1,4),""),IF(ROW()-1&lt;=$L$2+$M$2,IFERROR(INDEX(CLOZE_AB!$A:$K,ROW()-1-$L$2+1,4),""),IF(ROW()-1&lt;=$L$2+$M$2+$N$2,IFERROR(INDEX(CLOZE_LIST!$A:$K,ROW()-1-$L$2-$M$2+1,4),""),IF(ROW()-1&lt;=$L$2+$M$2+$N$2+$O$2,IFERROR(INDEX(PROFORMA!$A:$K,ROW()-1-$L$2-$M$2-$N$2+1,4),""),"")))))</f>
        <v>0</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0</v>
      </c>
      <c r="G160" s="3">
        <f>IF(ROW()-1&lt;=0,"",IF(ROW()-1&lt;=$L$2,IFERROR(INDEX(MCQ!$A:$K,ROW()-1+1,7),""),IF(ROW()-1&lt;=$L$2+$M$2,IFERROR(INDEX(CLOZE_AB!$A:$K,ROW()-1-$L$2+1,7),""),IF(ROW()-1&lt;=$L$2+$M$2+$N$2,IFERROR(INDEX(CLOZE_LIST!$A:$K,ROW()-1-$L$2-$M$2+1,7),""),IF(ROW()-1&lt;=$L$2+$M$2+$N$2+$O$2,IFERROR(INDEX(PROFORMA!$A:$K,ROW()-1-$L$2-$M$2-$N$2+1,7),""),"")))))</f>
        <v>0</v>
      </c>
      <c r="H160" s="3">
        <f>IF(ROW()-1&lt;=0,"",IF(ROW()-1&lt;=$L$2,IFERROR(INDEX(MCQ!$A:$K,ROW()-1+1,8),""),IF(ROW()-1&lt;=$L$2+$M$2,IFERROR(INDEX(CLOZE_AB!$A:$K,ROW()-1-$L$2+1,8),""),IF(ROW()-1&lt;=$L$2+$M$2+$N$2,IFERROR(INDEX(CLOZE_LIST!$A:$K,ROW()-1-$L$2-$M$2+1,8),""),IF(ROW()-1&lt;=$L$2+$M$2+$N$2+$O$2,IFERROR(INDEX(PROFORMA!$A:$K,ROW()-1-$L$2-$M$2-$N$2+1,8),""),"")))))</f>
        <v>0</v>
      </c>
      <c r="I160" s="3">
        <f>IF(ROW()-1&lt;=0,"",IF(ROW()-1&lt;=$L$2,IFERROR(INDEX(MCQ!$A:$K,ROW()-1+1,9),""),IF(ROW()-1&lt;=$L$2+$M$2,IFERROR(INDEX(CLOZE_AB!$A:$K,ROW()-1-$L$2+1,9),""),IF(ROW()-1&lt;=$L$2+$M$2+$N$2,IFERROR(INDEX(CLOZE_LIST!$A:$K,ROW()-1-$L$2-$M$2+1,9),""),IF(ROW()-1&lt;=$L$2+$M$2+$N$2+$O$2,IFERROR(INDEX(PROFORMA!$A:$K,ROW()-1-$L$2-$M$2-$N$2+1,9),""),"")))))</f>
        <v>0</v>
      </c>
      <c r="J160" s="3">
        <f>IF(ROW()-1&lt;=0,"",IF(ROW()-1&lt;=$L$2,IFERROR(INDEX(MCQ!$A:$K,ROW()-1+1,10),""),IF(ROW()-1&lt;=$L$2+$M$2,IFERROR(INDEX(CLOZE_AB!$A:$K,ROW()-1-$L$2+1,10),""),IF(ROW()-1&lt;=$L$2+$M$2+$N$2,IFERROR(INDEX(CLOZE_LIST!$A:$K,ROW()-1-$L$2-$M$2+1,10),""),IF(ROW()-1&lt;=$L$2+$M$2+$N$2+$O$2,IFERROR(INDEX(PROFORMA!$A:$K,ROW()-1-$L$2-$M$2-$N$2+1,10),""),"")))))</f>
        <v>0</v>
      </c>
      <c r="K160" s="3">
        <f>IF(ROW()-1&lt;=0,"",IF(ROW()-1&lt;=$L$2,IFERROR(INDEX(MCQ!$A:$K,ROW()-1+1,11),""),IF(ROW()-1&lt;=$L$2+$M$2,IFERROR(INDEX(CLOZE_AB!$A:$K,ROW()-1-$L$2+1,11),""),IF(ROW()-1&lt;=$L$2+$M$2+$N$2,IFERROR(INDEX(CLOZE_LIST!$A:$K,ROW()-1-$L$2-$M$2+1,11),""),IF(ROW()-1&lt;=$L$2+$M$2+$N$2+$O$2,IFERROR(INDEX(PROFORMA!$A:$K,ROW()-1-$L$2-$M$2-$N$2+1,11),""),"")))))</f>
        <v>0</v>
      </c>
      <c r="L160" s="3">
        <f>COUNTA(MCQ!$A:$A)-1</f>
        <v>143</v>
      </c>
      <c r="M160" s="3">
        <f>COUNTA(CLOZE_AB!$A:$A)-1</f>
        <v>168</v>
      </c>
      <c r="N160" s="3">
        <f>COUNTA(CLOZE_LIST!$A:$A)-1</f>
        <v>199</v>
      </c>
      <c r="O160" s="3">
        <f>COUNTA(PROFORMA!$A:$A)-1</f>
        <v>199</v>
      </c>
    </row>
    <row r="161" spans="1:15" x14ac:dyDescent="0.3">
      <c r="A161" s="3" t="str">
        <f>IF(ROW()-1&lt;=0,"",IF(ROW()-1&lt;=$L$2,IFERROR(INDEX(MCQ!$A:$K,ROW()-1+1,1),""),IF(ROW()-1&lt;=$L$2+$M$2,IFERROR(INDEX(CLOZE_AB!$A:$K,ROW()-1-$L$2+1,1),""),IF(ROW()-1&lt;=$L$2+$M$2+$N$2,IFERROR(INDEX(CLOZE_LIST!$A:$K,ROW()-1-$L$2-$M$2+1,1),""),IF(ROW()-1&lt;=$L$2+$M$2+$N$2+$O$2,IFERROR(INDEX(PROFORMA!$A:$K,ROW()-1-$L$2-$M$2-$N$2+1,1),""),"")))))</f>
        <v/>
      </c>
      <c r="B161" s="3">
        <f>IF(ROW()-1&lt;=0,"",IF(ROW()-1&lt;=$L$2,IFERROR(INDEX(MCQ!$A:$K,ROW()-1+1,2),""),IF(ROW()-1&lt;=$L$2+$M$2,IFERROR(INDEX(CLOZE_AB!$A:$K,ROW()-1-$L$2+1,2),""),IF(ROW()-1&lt;=$L$2+$M$2+$N$2,IFERROR(INDEX(CLOZE_LIST!$A:$K,ROW()-1-$L$2-$M$2+1,2),""),IF(ROW()-1&lt;=$L$2+$M$2+$N$2+$O$2,IFERROR(INDEX(PROFORMA!$A:$K,ROW()-1-$L$2-$M$2-$N$2+1,2),""),"")))))</f>
        <v>0</v>
      </c>
      <c r="C161" s="3">
        <f>IF(ROW()-1&lt;=0,"",IF(ROW()-1&lt;=$L$2,IFERROR(INDEX(MCQ!$A:$K,ROW()-1+1,3),""),IF(ROW()-1&lt;=$L$2+$M$2,IFERROR(INDEX(CLOZE_AB!$A:$K,ROW()-1-$L$2+1,3),""),IF(ROW()-1&lt;=$L$2+$M$2+$N$2,IFERROR(INDEX(CLOZE_LIST!$A:$K,ROW()-1-$L$2-$M$2+1,3),""),IF(ROW()-1&lt;=$L$2+$M$2+$N$2+$O$2,IFERROR(INDEX(PROFORMA!$A:$K,ROW()-1-$L$2-$M$2-$N$2+1,3),""),"")))))</f>
        <v>0</v>
      </c>
      <c r="D161" s="3">
        <f>IF(ROW()-1&lt;=0,"",IF(ROW()-1&lt;=$L$2,IFERROR(INDEX(MCQ!$A:$K,ROW()-1+1,4),""),IF(ROW()-1&lt;=$L$2+$M$2,IFERROR(INDEX(CLOZE_AB!$A:$K,ROW()-1-$L$2+1,4),""),IF(ROW()-1&lt;=$L$2+$M$2+$N$2,IFERROR(INDEX(CLOZE_LIST!$A:$K,ROW()-1-$L$2-$M$2+1,4),""),IF(ROW()-1&lt;=$L$2+$M$2+$N$2+$O$2,IFERROR(INDEX(PROFORMA!$A:$K,ROW()-1-$L$2-$M$2-$N$2+1,4),""),"")))))</f>
        <v>0</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0</v>
      </c>
      <c r="G161" s="3">
        <f>IF(ROW()-1&lt;=0,"",IF(ROW()-1&lt;=$L$2,IFERROR(INDEX(MCQ!$A:$K,ROW()-1+1,7),""),IF(ROW()-1&lt;=$L$2+$M$2,IFERROR(INDEX(CLOZE_AB!$A:$K,ROW()-1-$L$2+1,7),""),IF(ROW()-1&lt;=$L$2+$M$2+$N$2,IFERROR(INDEX(CLOZE_LIST!$A:$K,ROW()-1-$L$2-$M$2+1,7),""),IF(ROW()-1&lt;=$L$2+$M$2+$N$2+$O$2,IFERROR(INDEX(PROFORMA!$A:$K,ROW()-1-$L$2-$M$2-$N$2+1,7),""),"")))))</f>
        <v>0</v>
      </c>
      <c r="H161" s="3">
        <f>IF(ROW()-1&lt;=0,"",IF(ROW()-1&lt;=$L$2,IFERROR(INDEX(MCQ!$A:$K,ROW()-1+1,8),""),IF(ROW()-1&lt;=$L$2+$M$2,IFERROR(INDEX(CLOZE_AB!$A:$K,ROW()-1-$L$2+1,8),""),IF(ROW()-1&lt;=$L$2+$M$2+$N$2,IFERROR(INDEX(CLOZE_LIST!$A:$K,ROW()-1-$L$2-$M$2+1,8),""),IF(ROW()-1&lt;=$L$2+$M$2+$N$2+$O$2,IFERROR(INDEX(PROFORMA!$A:$K,ROW()-1-$L$2-$M$2-$N$2+1,8),""),"")))))</f>
        <v>0</v>
      </c>
      <c r="I161" s="3">
        <f>IF(ROW()-1&lt;=0,"",IF(ROW()-1&lt;=$L$2,IFERROR(INDEX(MCQ!$A:$K,ROW()-1+1,9),""),IF(ROW()-1&lt;=$L$2+$M$2,IFERROR(INDEX(CLOZE_AB!$A:$K,ROW()-1-$L$2+1,9),""),IF(ROW()-1&lt;=$L$2+$M$2+$N$2,IFERROR(INDEX(CLOZE_LIST!$A:$K,ROW()-1-$L$2-$M$2+1,9),""),IF(ROW()-1&lt;=$L$2+$M$2+$N$2+$O$2,IFERROR(INDEX(PROFORMA!$A:$K,ROW()-1-$L$2-$M$2-$N$2+1,9),""),"")))))</f>
        <v>0</v>
      </c>
      <c r="J161" s="3">
        <f>IF(ROW()-1&lt;=0,"",IF(ROW()-1&lt;=$L$2,IFERROR(INDEX(MCQ!$A:$K,ROW()-1+1,10),""),IF(ROW()-1&lt;=$L$2+$M$2,IFERROR(INDEX(CLOZE_AB!$A:$K,ROW()-1-$L$2+1,10),""),IF(ROW()-1&lt;=$L$2+$M$2+$N$2,IFERROR(INDEX(CLOZE_LIST!$A:$K,ROW()-1-$L$2-$M$2+1,10),""),IF(ROW()-1&lt;=$L$2+$M$2+$N$2+$O$2,IFERROR(INDEX(PROFORMA!$A:$K,ROW()-1-$L$2-$M$2-$N$2+1,10),""),"")))))</f>
        <v>0</v>
      </c>
      <c r="K161" s="3">
        <f>IF(ROW()-1&lt;=0,"",IF(ROW()-1&lt;=$L$2,IFERROR(INDEX(MCQ!$A:$K,ROW()-1+1,11),""),IF(ROW()-1&lt;=$L$2+$M$2,IFERROR(INDEX(CLOZE_AB!$A:$K,ROW()-1-$L$2+1,11),""),IF(ROW()-1&lt;=$L$2+$M$2+$N$2,IFERROR(INDEX(CLOZE_LIST!$A:$K,ROW()-1-$L$2-$M$2+1,11),""),IF(ROW()-1&lt;=$L$2+$M$2+$N$2+$O$2,IFERROR(INDEX(PROFORMA!$A:$K,ROW()-1-$L$2-$M$2-$N$2+1,11),""),"")))))</f>
        <v>0</v>
      </c>
      <c r="L161" s="3">
        <f>COUNTA(MCQ!$A:$A)-1</f>
        <v>143</v>
      </c>
      <c r="M161" s="3">
        <f>COUNTA(CLOZE_AB!$A:$A)-1</f>
        <v>168</v>
      </c>
      <c r="N161" s="3">
        <f>COUNTA(CLOZE_LIST!$A:$A)-1</f>
        <v>199</v>
      </c>
      <c r="O161" s="3">
        <f>COUNTA(PROFORMA!$A:$A)-1</f>
        <v>199</v>
      </c>
    </row>
    <row r="162" spans="1:15" x14ac:dyDescent="0.3">
      <c r="A162" s="3" t="str">
        <f>IF(ROW()-1&lt;=0,"",IF(ROW()-1&lt;=$L$2,IFERROR(INDEX(MCQ!$A:$K,ROW()-1+1,1),""),IF(ROW()-1&lt;=$L$2+$M$2,IFERROR(INDEX(CLOZE_AB!$A:$K,ROW()-1-$L$2+1,1),""),IF(ROW()-1&lt;=$L$2+$M$2+$N$2,IFERROR(INDEX(CLOZE_LIST!$A:$K,ROW()-1-$L$2-$M$2+1,1),""),IF(ROW()-1&lt;=$L$2+$M$2+$N$2+$O$2,IFERROR(INDEX(PROFORMA!$A:$K,ROW()-1-$L$2-$M$2-$N$2+1,1),""),"")))))</f>
        <v/>
      </c>
      <c r="B162" s="3">
        <f>IF(ROW()-1&lt;=0,"",IF(ROW()-1&lt;=$L$2,IFERROR(INDEX(MCQ!$A:$K,ROW()-1+1,2),""),IF(ROW()-1&lt;=$L$2+$M$2,IFERROR(INDEX(CLOZE_AB!$A:$K,ROW()-1-$L$2+1,2),""),IF(ROW()-1&lt;=$L$2+$M$2+$N$2,IFERROR(INDEX(CLOZE_LIST!$A:$K,ROW()-1-$L$2-$M$2+1,2),""),IF(ROW()-1&lt;=$L$2+$M$2+$N$2+$O$2,IFERROR(INDEX(PROFORMA!$A:$K,ROW()-1-$L$2-$M$2-$N$2+1,2),""),"")))))</f>
        <v>0</v>
      </c>
      <c r="C162" s="3">
        <f>IF(ROW()-1&lt;=0,"",IF(ROW()-1&lt;=$L$2,IFERROR(INDEX(MCQ!$A:$K,ROW()-1+1,3),""),IF(ROW()-1&lt;=$L$2+$M$2,IFERROR(INDEX(CLOZE_AB!$A:$K,ROW()-1-$L$2+1,3),""),IF(ROW()-1&lt;=$L$2+$M$2+$N$2,IFERROR(INDEX(CLOZE_LIST!$A:$K,ROW()-1-$L$2-$M$2+1,3),""),IF(ROW()-1&lt;=$L$2+$M$2+$N$2+$O$2,IFERROR(INDEX(PROFORMA!$A:$K,ROW()-1-$L$2-$M$2-$N$2+1,3),""),"")))))</f>
        <v>0</v>
      </c>
      <c r="D162" s="3">
        <f>IF(ROW()-1&lt;=0,"",IF(ROW()-1&lt;=$L$2,IFERROR(INDEX(MCQ!$A:$K,ROW()-1+1,4),""),IF(ROW()-1&lt;=$L$2+$M$2,IFERROR(INDEX(CLOZE_AB!$A:$K,ROW()-1-$L$2+1,4),""),IF(ROW()-1&lt;=$L$2+$M$2+$N$2,IFERROR(INDEX(CLOZE_LIST!$A:$K,ROW()-1-$L$2-$M$2+1,4),""),IF(ROW()-1&lt;=$L$2+$M$2+$N$2+$O$2,IFERROR(INDEX(PROFORMA!$A:$K,ROW()-1-$L$2-$M$2-$N$2+1,4),""),"")))))</f>
        <v>0</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0</v>
      </c>
      <c r="G162" s="3">
        <f>IF(ROW()-1&lt;=0,"",IF(ROW()-1&lt;=$L$2,IFERROR(INDEX(MCQ!$A:$K,ROW()-1+1,7),""),IF(ROW()-1&lt;=$L$2+$M$2,IFERROR(INDEX(CLOZE_AB!$A:$K,ROW()-1-$L$2+1,7),""),IF(ROW()-1&lt;=$L$2+$M$2+$N$2,IFERROR(INDEX(CLOZE_LIST!$A:$K,ROW()-1-$L$2-$M$2+1,7),""),IF(ROW()-1&lt;=$L$2+$M$2+$N$2+$O$2,IFERROR(INDEX(PROFORMA!$A:$K,ROW()-1-$L$2-$M$2-$N$2+1,7),""),"")))))</f>
        <v>0</v>
      </c>
      <c r="H162" s="3">
        <f>IF(ROW()-1&lt;=0,"",IF(ROW()-1&lt;=$L$2,IFERROR(INDEX(MCQ!$A:$K,ROW()-1+1,8),""),IF(ROW()-1&lt;=$L$2+$M$2,IFERROR(INDEX(CLOZE_AB!$A:$K,ROW()-1-$L$2+1,8),""),IF(ROW()-1&lt;=$L$2+$M$2+$N$2,IFERROR(INDEX(CLOZE_LIST!$A:$K,ROW()-1-$L$2-$M$2+1,8),""),IF(ROW()-1&lt;=$L$2+$M$2+$N$2+$O$2,IFERROR(INDEX(PROFORMA!$A:$K,ROW()-1-$L$2-$M$2-$N$2+1,8),""),"")))))</f>
        <v>0</v>
      </c>
      <c r="I162" s="3">
        <f>IF(ROW()-1&lt;=0,"",IF(ROW()-1&lt;=$L$2,IFERROR(INDEX(MCQ!$A:$K,ROW()-1+1,9),""),IF(ROW()-1&lt;=$L$2+$M$2,IFERROR(INDEX(CLOZE_AB!$A:$K,ROW()-1-$L$2+1,9),""),IF(ROW()-1&lt;=$L$2+$M$2+$N$2,IFERROR(INDEX(CLOZE_LIST!$A:$K,ROW()-1-$L$2-$M$2+1,9),""),IF(ROW()-1&lt;=$L$2+$M$2+$N$2+$O$2,IFERROR(INDEX(PROFORMA!$A:$K,ROW()-1-$L$2-$M$2-$N$2+1,9),""),"")))))</f>
        <v>0</v>
      </c>
      <c r="J162" s="3">
        <f>IF(ROW()-1&lt;=0,"",IF(ROW()-1&lt;=$L$2,IFERROR(INDEX(MCQ!$A:$K,ROW()-1+1,10),""),IF(ROW()-1&lt;=$L$2+$M$2,IFERROR(INDEX(CLOZE_AB!$A:$K,ROW()-1-$L$2+1,10),""),IF(ROW()-1&lt;=$L$2+$M$2+$N$2,IFERROR(INDEX(CLOZE_LIST!$A:$K,ROW()-1-$L$2-$M$2+1,10),""),IF(ROW()-1&lt;=$L$2+$M$2+$N$2+$O$2,IFERROR(INDEX(PROFORMA!$A:$K,ROW()-1-$L$2-$M$2-$N$2+1,10),""),"")))))</f>
        <v>0</v>
      </c>
      <c r="K162" s="3">
        <f>IF(ROW()-1&lt;=0,"",IF(ROW()-1&lt;=$L$2,IFERROR(INDEX(MCQ!$A:$K,ROW()-1+1,11),""),IF(ROW()-1&lt;=$L$2+$M$2,IFERROR(INDEX(CLOZE_AB!$A:$K,ROW()-1-$L$2+1,11),""),IF(ROW()-1&lt;=$L$2+$M$2+$N$2,IFERROR(INDEX(CLOZE_LIST!$A:$K,ROW()-1-$L$2-$M$2+1,11),""),IF(ROW()-1&lt;=$L$2+$M$2+$N$2+$O$2,IFERROR(INDEX(PROFORMA!$A:$K,ROW()-1-$L$2-$M$2-$N$2+1,11),""),"")))))</f>
        <v>0</v>
      </c>
      <c r="L162" s="3">
        <f>COUNTA(MCQ!$A:$A)-1</f>
        <v>143</v>
      </c>
      <c r="M162" s="3">
        <f>COUNTA(CLOZE_AB!$A:$A)-1</f>
        <v>168</v>
      </c>
      <c r="N162" s="3">
        <f>COUNTA(CLOZE_LIST!$A:$A)-1</f>
        <v>199</v>
      </c>
      <c r="O162" s="3">
        <f>COUNTA(PROFORMA!$A:$A)-1</f>
        <v>199</v>
      </c>
    </row>
    <row r="163" spans="1:15" x14ac:dyDescent="0.3">
      <c r="A163" s="3" t="str">
        <f>IF(ROW()-1&lt;=0,"",IF(ROW()-1&lt;=$L$2,IFERROR(INDEX(MCQ!$A:$K,ROW()-1+1,1),""),IF(ROW()-1&lt;=$L$2+$M$2,IFERROR(INDEX(CLOZE_AB!$A:$K,ROW()-1-$L$2+1,1),""),IF(ROW()-1&lt;=$L$2+$M$2+$N$2,IFERROR(INDEX(CLOZE_LIST!$A:$K,ROW()-1-$L$2-$M$2+1,1),""),IF(ROW()-1&lt;=$L$2+$M$2+$N$2+$O$2,IFERROR(INDEX(PROFORMA!$A:$K,ROW()-1-$L$2-$M$2-$N$2+1,1),""),"")))))</f>
        <v/>
      </c>
      <c r="B163" s="3">
        <f>IF(ROW()-1&lt;=0,"",IF(ROW()-1&lt;=$L$2,IFERROR(INDEX(MCQ!$A:$K,ROW()-1+1,2),""),IF(ROW()-1&lt;=$L$2+$M$2,IFERROR(INDEX(CLOZE_AB!$A:$K,ROW()-1-$L$2+1,2),""),IF(ROW()-1&lt;=$L$2+$M$2+$N$2,IFERROR(INDEX(CLOZE_LIST!$A:$K,ROW()-1-$L$2-$M$2+1,2),""),IF(ROW()-1&lt;=$L$2+$M$2+$N$2+$O$2,IFERROR(INDEX(PROFORMA!$A:$K,ROW()-1-$L$2-$M$2-$N$2+1,2),""),"")))))</f>
        <v>0</v>
      </c>
      <c r="C163" s="3">
        <f>IF(ROW()-1&lt;=0,"",IF(ROW()-1&lt;=$L$2,IFERROR(INDEX(MCQ!$A:$K,ROW()-1+1,3),""),IF(ROW()-1&lt;=$L$2+$M$2,IFERROR(INDEX(CLOZE_AB!$A:$K,ROW()-1-$L$2+1,3),""),IF(ROW()-1&lt;=$L$2+$M$2+$N$2,IFERROR(INDEX(CLOZE_LIST!$A:$K,ROW()-1-$L$2-$M$2+1,3),""),IF(ROW()-1&lt;=$L$2+$M$2+$N$2+$O$2,IFERROR(INDEX(PROFORMA!$A:$K,ROW()-1-$L$2-$M$2-$N$2+1,3),""),"")))))</f>
        <v>0</v>
      </c>
      <c r="D163" s="3">
        <f>IF(ROW()-1&lt;=0,"",IF(ROW()-1&lt;=$L$2,IFERROR(INDEX(MCQ!$A:$K,ROW()-1+1,4),""),IF(ROW()-1&lt;=$L$2+$M$2,IFERROR(INDEX(CLOZE_AB!$A:$K,ROW()-1-$L$2+1,4),""),IF(ROW()-1&lt;=$L$2+$M$2+$N$2,IFERROR(INDEX(CLOZE_LIST!$A:$K,ROW()-1-$L$2-$M$2+1,4),""),IF(ROW()-1&lt;=$L$2+$M$2+$N$2+$O$2,IFERROR(INDEX(PROFORMA!$A:$K,ROW()-1-$L$2-$M$2-$N$2+1,4),""),"")))))</f>
        <v>0</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0</v>
      </c>
      <c r="G163" s="3">
        <f>IF(ROW()-1&lt;=0,"",IF(ROW()-1&lt;=$L$2,IFERROR(INDEX(MCQ!$A:$K,ROW()-1+1,7),""),IF(ROW()-1&lt;=$L$2+$M$2,IFERROR(INDEX(CLOZE_AB!$A:$K,ROW()-1-$L$2+1,7),""),IF(ROW()-1&lt;=$L$2+$M$2+$N$2,IFERROR(INDEX(CLOZE_LIST!$A:$K,ROW()-1-$L$2-$M$2+1,7),""),IF(ROW()-1&lt;=$L$2+$M$2+$N$2+$O$2,IFERROR(INDEX(PROFORMA!$A:$K,ROW()-1-$L$2-$M$2-$N$2+1,7),""),"")))))</f>
        <v>0</v>
      </c>
      <c r="H163" s="3">
        <f>IF(ROW()-1&lt;=0,"",IF(ROW()-1&lt;=$L$2,IFERROR(INDEX(MCQ!$A:$K,ROW()-1+1,8),""),IF(ROW()-1&lt;=$L$2+$M$2,IFERROR(INDEX(CLOZE_AB!$A:$K,ROW()-1-$L$2+1,8),""),IF(ROW()-1&lt;=$L$2+$M$2+$N$2,IFERROR(INDEX(CLOZE_LIST!$A:$K,ROW()-1-$L$2-$M$2+1,8),""),IF(ROW()-1&lt;=$L$2+$M$2+$N$2+$O$2,IFERROR(INDEX(PROFORMA!$A:$K,ROW()-1-$L$2-$M$2-$N$2+1,8),""),"")))))</f>
        <v>0</v>
      </c>
      <c r="I163" s="3">
        <f>IF(ROW()-1&lt;=0,"",IF(ROW()-1&lt;=$L$2,IFERROR(INDEX(MCQ!$A:$K,ROW()-1+1,9),""),IF(ROW()-1&lt;=$L$2+$M$2,IFERROR(INDEX(CLOZE_AB!$A:$K,ROW()-1-$L$2+1,9),""),IF(ROW()-1&lt;=$L$2+$M$2+$N$2,IFERROR(INDEX(CLOZE_LIST!$A:$K,ROW()-1-$L$2-$M$2+1,9),""),IF(ROW()-1&lt;=$L$2+$M$2+$N$2+$O$2,IFERROR(INDEX(PROFORMA!$A:$K,ROW()-1-$L$2-$M$2-$N$2+1,9),""),"")))))</f>
        <v>0</v>
      </c>
      <c r="J163" s="3">
        <f>IF(ROW()-1&lt;=0,"",IF(ROW()-1&lt;=$L$2,IFERROR(INDEX(MCQ!$A:$K,ROW()-1+1,10),""),IF(ROW()-1&lt;=$L$2+$M$2,IFERROR(INDEX(CLOZE_AB!$A:$K,ROW()-1-$L$2+1,10),""),IF(ROW()-1&lt;=$L$2+$M$2+$N$2,IFERROR(INDEX(CLOZE_LIST!$A:$K,ROW()-1-$L$2-$M$2+1,10),""),IF(ROW()-1&lt;=$L$2+$M$2+$N$2+$O$2,IFERROR(INDEX(PROFORMA!$A:$K,ROW()-1-$L$2-$M$2-$N$2+1,10),""),"")))))</f>
        <v>0</v>
      </c>
      <c r="K163" s="3">
        <f>IF(ROW()-1&lt;=0,"",IF(ROW()-1&lt;=$L$2,IFERROR(INDEX(MCQ!$A:$K,ROW()-1+1,11),""),IF(ROW()-1&lt;=$L$2+$M$2,IFERROR(INDEX(CLOZE_AB!$A:$K,ROW()-1-$L$2+1,11),""),IF(ROW()-1&lt;=$L$2+$M$2+$N$2,IFERROR(INDEX(CLOZE_LIST!$A:$K,ROW()-1-$L$2-$M$2+1,11),""),IF(ROW()-1&lt;=$L$2+$M$2+$N$2+$O$2,IFERROR(INDEX(PROFORMA!$A:$K,ROW()-1-$L$2-$M$2-$N$2+1,11),""),"")))))</f>
        <v>0</v>
      </c>
      <c r="L163" s="3">
        <f>COUNTA(MCQ!$A:$A)-1</f>
        <v>143</v>
      </c>
      <c r="M163" s="3">
        <f>COUNTA(CLOZE_AB!$A:$A)-1</f>
        <v>168</v>
      </c>
      <c r="N163" s="3">
        <f>COUNTA(CLOZE_LIST!$A:$A)-1</f>
        <v>199</v>
      </c>
      <c r="O163" s="3">
        <f>COUNTA(PROFORMA!$A:$A)-1</f>
        <v>199</v>
      </c>
    </row>
    <row r="164" spans="1:15" x14ac:dyDescent="0.3">
      <c r="A164" s="3" t="str">
        <f>IF(ROW()-1&lt;=0,"",IF(ROW()-1&lt;=$L$2,IFERROR(INDEX(MCQ!$A:$K,ROW()-1+1,1),""),IF(ROW()-1&lt;=$L$2+$M$2,IFERROR(INDEX(CLOZE_AB!$A:$K,ROW()-1-$L$2+1,1),""),IF(ROW()-1&lt;=$L$2+$M$2+$N$2,IFERROR(INDEX(CLOZE_LIST!$A:$K,ROW()-1-$L$2-$M$2+1,1),""),IF(ROW()-1&lt;=$L$2+$M$2+$N$2+$O$2,IFERROR(INDEX(PROFORMA!$A:$K,ROW()-1-$L$2-$M$2-$N$2+1,1),""),"")))))</f>
        <v/>
      </c>
      <c r="B164" s="3">
        <f>IF(ROW()-1&lt;=0,"",IF(ROW()-1&lt;=$L$2,IFERROR(INDEX(MCQ!$A:$K,ROW()-1+1,2),""),IF(ROW()-1&lt;=$L$2+$M$2,IFERROR(INDEX(CLOZE_AB!$A:$K,ROW()-1-$L$2+1,2),""),IF(ROW()-1&lt;=$L$2+$M$2+$N$2,IFERROR(INDEX(CLOZE_LIST!$A:$K,ROW()-1-$L$2-$M$2+1,2),""),IF(ROW()-1&lt;=$L$2+$M$2+$N$2+$O$2,IFERROR(INDEX(PROFORMA!$A:$K,ROW()-1-$L$2-$M$2-$N$2+1,2),""),"")))))</f>
        <v>0</v>
      </c>
      <c r="C164" s="3">
        <f>IF(ROW()-1&lt;=0,"",IF(ROW()-1&lt;=$L$2,IFERROR(INDEX(MCQ!$A:$K,ROW()-1+1,3),""),IF(ROW()-1&lt;=$L$2+$M$2,IFERROR(INDEX(CLOZE_AB!$A:$K,ROW()-1-$L$2+1,3),""),IF(ROW()-1&lt;=$L$2+$M$2+$N$2,IFERROR(INDEX(CLOZE_LIST!$A:$K,ROW()-1-$L$2-$M$2+1,3),""),IF(ROW()-1&lt;=$L$2+$M$2+$N$2+$O$2,IFERROR(INDEX(PROFORMA!$A:$K,ROW()-1-$L$2-$M$2-$N$2+1,3),""),"")))))</f>
        <v>0</v>
      </c>
      <c r="D164" s="3">
        <f>IF(ROW()-1&lt;=0,"",IF(ROW()-1&lt;=$L$2,IFERROR(INDEX(MCQ!$A:$K,ROW()-1+1,4),""),IF(ROW()-1&lt;=$L$2+$M$2,IFERROR(INDEX(CLOZE_AB!$A:$K,ROW()-1-$L$2+1,4),""),IF(ROW()-1&lt;=$L$2+$M$2+$N$2,IFERROR(INDEX(CLOZE_LIST!$A:$K,ROW()-1-$L$2-$M$2+1,4),""),IF(ROW()-1&lt;=$L$2+$M$2+$N$2+$O$2,IFERROR(INDEX(PROFORMA!$A:$K,ROW()-1-$L$2-$M$2-$N$2+1,4),""),"")))))</f>
        <v>0</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0</v>
      </c>
      <c r="G164" s="3">
        <f>IF(ROW()-1&lt;=0,"",IF(ROW()-1&lt;=$L$2,IFERROR(INDEX(MCQ!$A:$K,ROW()-1+1,7),""),IF(ROW()-1&lt;=$L$2+$M$2,IFERROR(INDEX(CLOZE_AB!$A:$K,ROW()-1-$L$2+1,7),""),IF(ROW()-1&lt;=$L$2+$M$2+$N$2,IFERROR(INDEX(CLOZE_LIST!$A:$K,ROW()-1-$L$2-$M$2+1,7),""),IF(ROW()-1&lt;=$L$2+$M$2+$N$2+$O$2,IFERROR(INDEX(PROFORMA!$A:$K,ROW()-1-$L$2-$M$2-$N$2+1,7),""),"")))))</f>
        <v>0</v>
      </c>
      <c r="H164" s="3">
        <f>IF(ROW()-1&lt;=0,"",IF(ROW()-1&lt;=$L$2,IFERROR(INDEX(MCQ!$A:$K,ROW()-1+1,8),""),IF(ROW()-1&lt;=$L$2+$M$2,IFERROR(INDEX(CLOZE_AB!$A:$K,ROW()-1-$L$2+1,8),""),IF(ROW()-1&lt;=$L$2+$M$2+$N$2,IFERROR(INDEX(CLOZE_LIST!$A:$K,ROW()-1-$L$2-$M$2+1,8),""),IF(ROW()-1&lt;=$L$2+$M$2+$N$2+$O$2,IFERROR(INDEX(PROFORMA!$A:$K,ROW()-1-$L$2-$M$2-$N$2+1,8),""),"")))))</f>
        <v>0</v>
      </c>
      <c r="I164" s="3">
        <f>IF(ROW()-1&lt;=0,"",IF(ROW()-1&lt;=$L$2,IFERROR(INDEX(MCQ!$A:$K,ROW()-1+1,9),""),IF(ROW()-1&lt;=$L$2+$M$2,IFERROR(INDEX(CLOZE_AB!$A:$K,ROW()-1-$L$2+1,9),""),IF(ROW()-1&lt;=$L$2+$M$2+$N$2,IFERROR(INDEX(CLOZE_LIST!$A:$K,ROW()-1-$L$2-$M$2+1,9),""),IF(ROW()-1&lt;=$L$2+$M$2+$N$2+$O$2,IFERROR(INDEX(PROFORMA!$A:$K,ROW()-1-$L$2-$M$2-$N$2+1,9),""),"")))))</f>
        <v>0</v>
      </c>
      <c r="J164" s="3">
        <f>IF(ROW()-1&lt;=0,"",IF(ROW()-1&lt;=$L$2,IFERROR(INDEX(MCQ!$A:$K,ROW()-1+1,10),""),IF(ROW()-1&lt;=$L$2+$M$2,IFERROR(INDEX(CLOZE_AB!$A:$K,ROW()-1-$L$2+1,10),""),IF(ROW()-1&lt;=$L$2+$M$2+$N$2,IFERROR(INDEX(CLOZE_LIST!$A:$K,ROW()-1-$L$2-$M$2+1,10),""),IF(ROW()-1&lt;=$L$2+$M$2+$N$2+$O$2,IFERROR(INDEX(PROFORMA!$A:$K,ROW()-1-$L$2-$M$2-$N$2+1,10),""),"")))))</f>
        <v>0</v>
      </c>
      <c r="K164" s="3">
        <f>IF(ROW()-1&lt;=0,"",IF(ROW()-1&lt;=$L$2,IFERROR(INDEX(MCQ!$A:$K,ROW()-1+1,11),""),IF(ROW()-1&lt;=$L$2+$M$2,IFERROR(INDEX(CLOZE_AB!$A:$K,ROW()-1-$L$2+1,11),""),IF(ROW()-1&lt;=$L$2+$M$2+$N$2,IFERROR(INDEX(CLOZE_LIST!$A:$K,ROW()-1-$L$2-$M$2+1,11),""),IF(ROW()-1&lt;=$L$2+$M$2+$N$2+$O$2,IFERROR(INDEX(PROFORMA!$A:$K,ROW()-1-$L$2-$M$2-$N$2+1,11),""),"")))))</f>
        <v>0</v>
      </c>
      <c r="L164" s="3">
        <f>COUNTA(MCQ!$A:$A)-1</f>
        <v>143</v>
      </c>
      <c r="M164" s="3">
        <f>COUNTA(CLOZE_AB!$A:$A)-1</f>
        <v>168</v>
      </c>
      <c r="N164" s="3">
        <f>COUNTA(CLOZE_LIST!$A:$A)-1</f>
        <v>199</v>
      </c>
      <c r="O164" s="3">
        <f>COUNTA(PROFORMA!$A:$A)-1</f>
        <v>199</v>
      </c>
    </row>
    <row r="165" spans="1:15" x14ac:dyDescent="0.3">
      <c r="A165" s="3" t="str">
        <f>IF(ROW()-1&lt;=0,"",IF(ROW()-1&lt;=$L$2,IFERROR(INDEX(MCQ!$A:$K,ROW()-1+1,1),""),IF(ROW()-1&lt;=$L$2+$M$2,IFERROR(INDEX(CLOZE_AB!$A:$K,ROW()-1-$L$2+1,1),""),IF(ROW()-1&lt;=$L$2+$M$2+$N$2,IFERROR(INDEX(CLOZE_LIST!$A:$K,ROW()-1-$L$2-$M$2+1,1),""),IF(ROW()-1&lt;=$L$2+$M$2+$N$2+$O$2,IFERROR(INDEX(PROFORMA!$A:$K,ROW()-1-$L$2-$M$2-$N$2+1,1),""),"")))))</f>
        <v/>
      </c>
      <c r="B165" s="3">
        <f>IF(ROW()-1&lt;=0,"",IF(ROW()-1&lt;=$L$2,IFERROR(INDEX(MCQ!$A:$K,ROW()-1+1,2),""),IF(ROW()-1&lt;=$L$2+$M$2,IFERROR(INDEX(CLOZE_AB!$A:$K,ROW()-1-$L$2+1,2),""),IF(ROW()-1&lt;=$L$2+$M$2+$N$2,IFERROR(INDEX(CLOZE_LIST!$A:$K,ROW()-1-$L$2-$M$2+1,2),""),IF(ROW()-1&lt;=$L$2+$M$2+$N$2+$O$2,IFERROR(INDEX(PROFORMA!$A:$K,ROW()-1-$L$2-$M$2-$N$2+1,2),""),"")))))</f>
        <v>0</v>
      </c>
      <c r="C165" s="3">
        <f>IF(ROW()-1&lt;=0,"",IF(ROW()-1&lt;=$L$2,IFERROR(INDEX(MCQ!$A:$K,ROW()-1+1,3),""),IF(ROW()-1&lt;=$L$2+$M$2,IFERROR(INDEX(CLOZE_AB!$A:$K,ROW()-1-$L$2+1,3),""),IF(ROW()-1&lt;=$L$2+$M$2+$N$2,IFERROR(INDEX(CLOZE_LIST!$A:$K,ROW()-1-$L$2-$M$2+1,3),""),IF(ROW()-1&lt;=$L$2+$M$2+$N$2+$O$2,IFERROR(INDEX(PROFORMA!$A:$K,ROW()-1-$L$2-$M$2-$N$2+1,3),""),"")))))</f>
        <v>0</v>
      </c>
      <c r="D165" s="3">
        <f>IF(ROW()-1&lt;=0,"",IF(ROW()-1&lt;=$L$2,IFERROR(INDEX(MCQ!$A:$K,ROW()-1+1,4),""),IF(ROW()-1&lt;=$L$2+$M$2,IFERROR(INDEX(CLOZE_AB!$A:$K,ROW()-1-$L$2+1,4),""),IF(ROW()-1&lt;=$L$2+$M$2+$N$2,IFERROR(INDEX(CLOZE_LIST!$A:$K,ROW()-1-$L$2-$M$2+1,4),""),IF(ROW()-1&lt;=$L$2+$M$2+$N$2+$O$2,IFERROR(INDEX(PROFORMA!$A:$K,ROW()-1-$L$2-$M$2-$N$2+1,4),""),"")))))</f>
        <v>0</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0</v>
      </c>
      <c r="G165" s="3">
        <f>IF(ROW()-1&lt;=0,"",IF(ROW()-1&lt;=$L$2,IFERROR(INDEX(MCQ!$A:$K,ROW()-1+1,7),""),IF(ROW()-1&lt;=$L$2+$M$2,IFERROR(INDEX(CLOZE_AB!$A:$K,ROW()-1-$L$2+1,7),""),IF(ROW()-1&lt;=$L$2+$M$2+$N$2,IFERROR(INDEX(CLOZE_LIST!$A:$K,ROW()-1-$L$2-$M$2+1,7),""),IF(ROW()-1&lt;=$L$2+$M$2+$N$2+$O$2,IFERROR(INDEX(PROFORMA!$A:$K,ROW()-1-$L$2-$M$2-$N$2+1,7),""),"")))))</f>
        <v>0</v>
      </c>
      <c r="H165" s="3">
        <f>IF(ROW()-1&lt;=0,"",IF(ROW()-1&lt;=$L$2,IFERROR(INDEX(MCQ!$A:$K,ROW()-1+1,8),""),IF(ROW()-1&lt;=$L$2+$M$2,IFERROR(INDEX(CLOZE_AB!$A:$K,ROW()-1-$L$2+1,8),""),IF(ROW()-1&lt;=$L$2+$M$2+$N$2,IFERROR(INDEX(CLOZE_LIST!$A:$K,ROW()-1-$L$2-$M$2+1,8),""),IF(ROW()-1&lt;=$L$2+$M$2+$N$2+$O$2,IFERROR(INDEX(PROFORMA!$A:$K,ROW()-1-$L$2-$M$2-$N$2+1,8),""),"")))))</f>
        <v>0</v>
      </c>
      <c r="I165" s="3">
        <f>IF(ROW()-1&lt;=0,"",IF(ROW()-1&lt;=$L$2,IFERROR(INDEX(MCQ!$A:$K,ROW()-1+1,9),""),IF(ROW()-1&lt;=$L$2+$M$2,IFERROR(INDEX(CLOZE_AB!$A:$K,ROW()-1-$L$2+1,9),""),IF(ROW()-1&lt;=$L$2+$M$2+$N$2,IFERROR(INDEX(CLOZE_LIST!$A:$K,ROW()-1-$L$2-$M$2+1,9),""),IF(ROW()-1&lt;=$L$2+$M$2+$N$2+$O$2,IFERROR(INDEX(PROFORMA!$A:$K,ROW()-1-$L$2-$M$2-$N$2+1,9),""),"")))))</f>
        <v>0</v>
      </c>
      <c r="J165" s="3">
        <f>IF(ROW()-1&lt;=0,"",IF(ROW()-1&lt;=$L$2,IFERROR(INDEX(MCQ!$A:$K,ROW()-1+1,10),""),IF(ROW()-1&lt;=$L$2+$M$2,IFERROR(INDEX(CLOZE_AB!$A:$K,ROW()-1-$L$2+1,10),""),IF(ROW()-1&lt;=$L$2+$M$2+$N$2,IFERROR(INDEX(CLOZE_LIST!$A:$K,ROW()-1-$L$2-$M$2+1,10),""),IF(ROW()-1&lt;=$L$2+$M$2+$N$2+$O$2,IFERROR(INDEX(PROFORMA!$A:$K,ROW()-1-$L$2-$M$2-$N$2+1,10),""),"")))))</f>
        <v>0</v>
      </c>
      <c r="K165" s="3">
        <f>IF(ROW()-1&lt;=0,"",IF(ROW()-1&lt;=$L$2,IFERROR(INDEX(MCQ!$A:$K,ROW()-1+1,11),""),IF(ROW()-1&lt;=$L$2+$M$2,IFERROR(INDEX(CLOZE_AB!$A:$K,ROW()-1-$L$2+1,11),""),IF(ROW()-1&lt;=$L$2+$M$2+$N$2,IFERROR(INDEX(CLOZE_LIST!$A:$K,ROW()-1-$L$2-$M$2+1,11),""),IF(ROW()-1&lt;=$L$2+$M$2+$N$2+$O$2,IFERROR(INDEX(PROFORMA!$A:$K,ROW()-1-$L$2-$M$2-$N$2+1,11),""),"")))))</f>
        <v>0</v>
      </c>
      <c r="L165" s="3">
        <f>COUNTA(MCQ!$A:$A)-1</f>
        <v>143</v>
      </c>
      <c r="M165" s="3">
        <f>COUNTA(CLOZE_AB!$A:$A)-1</f>
        <v>168</v>
      </c>
      <c r="N165" s="3">
        <f>COUNTA(CLOZE_LIST!$A:$A)-1</f>
        <v>199</v>
      </c>
      <c r="O165" s="3">
        <f>COUNTA(PROFORMA!$A:$A)-1</f>
        <v>199</v>
      </c>
    </row>
    <row r="166" spans="1:15" x14ac:dyDescent="0.3">
      <c r="A166" s="3" t="str">
        <f>IF(ROW()-1&lt;=0,"",IF(ROW()-1&lt;=$L$2,IFERROR(INDEX(MCQ!$A:$K,ROW()-1+1,1),""),IF(ROW()-1&lt;=$L$2+$M$2,IFERROR(INDEX(CLOZE_AB!$A:$K,ROW()-1-$L$2+1,1),""),IF(ROW()-1&lt;=$L$2+$M$2+$N$2,IFERROR(INDEX(CLOZE_LIST!$A:$K,ROW()-1-$L$2-$M$2+1,1),""),IF(ROW()-1&lt;=$L$2+$M$2+$N$2+$O$2,IFERROR(INDEX(PROFORMA!$A:$K,ROW()-1-$L$2-$M$2-$N$2+1,1),""),"")))))</f>
        <v/>
      </c>
      <c r="B166" s="3">
        <f>IF(ROW()-1&lt;=0,"",IF(ROW()-1&lt;=$L$2,IFERROR(INDEX(MCQ!$A:$K,ROW()-1+1,2),""),IF(ROW()-1&lt;=$L$2+$M$2,IFERROR(INDEX(CLOZE_AB!$A:$K,ROW()-1-$L$2+1,2),""),IF(ROW()-1&lt;=$L$2+$M$2+$N$2,IFERROR(INDEX(CLOZE_LIST!$A:$K,ROW()-1-$L$2-$M$2+1,2),""),IF(ROW()-1&lt;=$L$2+$M$2+$N$2+$O$2,IFERROR(INDEX(PROFORMA!$A:$K,ROW()-1-$L$2-$M$2-$N$2+1,2),""),"")))))</f>
        <v>0</v>
      </c>
      <c r="C166" s="3">
        <f>IF(ROW()-1&lt;=0,"",IF(ROW()-1&lt;=$L$2,IFERROR(INDEX(MCQ!$A:$K,ROW()-1+1,3),""),IF(ROW()-1&lt;=$L$2+$M$2,IFERROR(INDEX(CLOZE_AB!$A:$K,ROW()-1-$L$2+1,3),""),IF(ROW()-1&lt;=$L$2+$M$2+$N$2,IFERROR(INDEX(CLOZE_LIST!$A:$K,ROW()-1-$L$2-$M$2+1,3),""),IF(ROW()-1&lt;=$L$2+$M$2+$N$2+$O$2,IFERROR(INDEX(PROFORMA!$A:$K,ROW()-1-$L$2-$M$2-$N$2+1,3),""),"")))))</f>
        <v>0</v>
      </c>
      <c r="D166" s="3">
        <f>IF(ROW()-1&lt;=0,"",IF(ROW()-1&lt;=$L$2,IFERROR(INDEX(MCQ!$A:$K,ROW()-1+1,4),""),IF(ROW()-1&lt;=$L$2+$M$2,IFERROR(INDEX(CLOZE_AB!$A:$K,ROW()-1-$L$2+1,4),""),IF(ROW()-1&lt;=$L$2+$M$2+$N$2,IFERROR(INDEX(CLOZE_LIST!$A:$K,ROW()-1-$L$2-$M$2+1,4),""),IF(ROW()-1&lt;=$L$2+$M$2+$N$2+$O$2,IFERROR(INDEX(PROFORMA!$A:$K,ROW()-1-$L$2-$M$2-$N$2+1,4),""),"")))))</f>
        <v>0</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0</v>
      </c>
      <c r="G166" s="3">
        <f>IF(ROW()-1&lt;=0,"",IF(ROW()-1&lt;=$L$2,IFERROR(INDEX(MCQ!$A:$K,ROW()-1+1,7),""),IF(ROW()-1&lt;=$L$2+$M$2,IFERROR(INDEX(CLOZE_AB!$A:$K,ROW()-1-$L$2+1,7),""),IF(ROW()-1&lt;=$L$2+$M$2+$N$2,IFERROR(INDEX(CLOZE_LIST!$A:$K,ROW()-1-$L$2-$M$2+1,7),""),IF(ROW()-1&lt;=$L$2+$M$2+$N$2+$O$2,IFERROR(INDEX(PROFORMA!$A:$K,ROW()-1-$L$2-$M$2-$N$2+1,7),""),"")))))</f>
        <v>0</v>
      </c>
      <c r="H166" s="3">
        <f>IF(ROW()-1&lt;=0,"",IF(ROW()-1&lt;=$L$2,IFERROR(INDEX(MCQ!$A:$K,ROW()-1+1,8),""),IF(ROW()-1&lt;=$L$2+$M$2,IFERROR(INDEX(CLOZE_AB!$A:$K,ROW()-1-$L$2+1,8),""),IF(ROW()-1&lt;=$L$2+$M$2+$N$2,IFERROR(INDEX(CLOZE_LIST!$A:$K,ROW()-1-$L$2-$M$2+1,8),""),IF(ROW()-1&lt;=$L$2+$M$2+$N$2+$O$2,IFERROR(INDEX(PROFORMA!$A:$K,ROW()-1-$L$2-$M$2-$N$2+1,8),""),"")))))</f>
        <v>0</v>
      </c>
      <c r="I166" s="3">
        <f>IF(ROW()-1&lt;=0,"",IF(ROW()-1&lt;=$L$2,IFERROR(INDEX(MCQ!$A:$K,ROW()-1+1,9),""),IF(ROW()-1&lt;=$L$2+$M$2,IFERROR(INDEX(CLOZE_AB!$A:$K,ROW()-1-$L$2+1,9),""),IF(ROW()-1&lt;=$L$2+$M$2+$N$2,IFERROR(INDEX(CLOZE_LIST!$A:$K,ROW()-1-$L$2-$M$2+1,9),""),IF(ROW()-1&lt;=$L$2+$M$2+$N$2+$O$2,IFERROR(INDEX(PROFORMA!$A:$K,ROW()-1-$L$2-$M$2-$N$2+1,9),""),"")))))</f>
        <v>0</v>
      </c>
      <c r="J166" s="3">
        <f>IF(ROW()-1&lt;=0,"",IF(ROW()-1&lt;=$L$2,IFERROR(INDEX(MCQ!$A:$K,ROW()-1+1,10),""),IF(ROW()-1&lt;=$L$2+$M$2,IFERROR(INDEX(CLOZE_AB!$A:$K,ROW()-1-$L$2+1,10),""),IF(ROW()-1&lt;=$L$2+$M$2+$N$2,IFERROR(INDEX(CLOZE_LIST!$A:$K,ROW()-1-$L$2-$M$2+1,10),""),IF(ROW()-1&lt;=$L$2+$M$2+$N$2+$O$2,IFERROR(INDEX(PROFORMA!$A:$K,ROW()-1-$L$2-$M$2-$N$2+1,10),""),"")))))</f>
        <v>0</v>
      </c>
      <c r="K166" s="3">
        <f>IF(ROW()-1&lt;=0,"",IF(ROW()-1&lt;=$L$2,IFERROR(INDEX(MCQ!$A:$K,ROW()-1+1,11),""),IF(ROW()-1&lt;=$L$2+$M$2,IFERROR(INDEX(CLOZE_AB!$A:$K,ROW()-1-$L$2+1,11),""),IF(ROW()-1&lt;=$L$2+$M$2+$N$2,IFERROR(INDEX(CLOZE_LIST!$A:$K,ROW()-1-$L$2-$M$2+1,11),""),IF(ROW()-1&lt;=$L$2+$M$2+$N$2+$O$2,IFERROR(INDEX(PROFORMA!$A:$K,ROW()-1-$L$2-$M$2-$N$2+1,11),""),"")))))</f>
        <v>0</v>
      </c>
      <c r="L166" s="3">
        <f>COUNTA(MCQ!$A:$A)-1</f>
        <v>143</v>
      </c>
      <c r="M166" s="3">
        <f>COUNTA(CLOZE_AB!$A:$A)-1</f>
        <v>168</v>
      </c>
      <c r="N166" s="3">
        <f>COUNTA(CLOZE_LIST!$A:$A)-1</f>
        <v>199</v>
      </c>
      <c r="O166" s="3">
        <f>COUNTA(PROFORMA!$A:$A)-1</f>
        <v>199</v>
      </c>
    </row>
    <row r="167" spans="1:15" x14ac:dyDescent="0.3">
      <c r="A167" s="3" t="str">
        <f>IF(ROW()-1&lt;=0,"",IF(ROW()-1&lt;=$L$2,IFERROR(INDEX(MCQ!$A:$K,ROW()-1+1,1),""),IF(ROW()-1&lt;=$L$2+$M$2,IFERROR(INDEX(CLOZE_AB!$A:$K,ROW()-1-$L$2+1,1),""),IF(ROW()-1&lt;=$L$2+$M$2+$N$2,IFERROR(INDEX(CLOZE_LIST!$A:$K,ROW()-1-$L$2-$M$2+1,1),""),IF(ROW()-1&lt;=$L$2+$M$2+$N$2+$O$2,IFERROR(INDEX(PROFORMA!$A:$K,ROW()-1-$L$2-$M$2-$N$2+1,1),""),"")))))</f>
        <v/>
      </c>
      <c r="B167" s="3">
        <f>IF(ROW()-1&lt;=0,"",IF(ROW()-1&lt;=$L$2,IFERROR(INDEX(MCQ!$A:$K,ROW()-1+1,2),""),IF(ROW()-1&lt;=$L$2+$M$2,IFERROR(INDEX(CLOZE_AB!$A:$K,ROW()-1-$L$2+1,2),""),IF(ROW()-1&lt;=$L$2+$M$2+$N$2,IFERROR(INDEX(CLOZE_LIST!$A:$K,ROW()-1-$L$2-$M$2+1,2),""),IF(ROW()-1&lt;=$L$2+$M$2+$N$2+$O$2,IFERROR(INDEX(PROFORMA!$A:$K,ROW()-1-$L$2-$M$2-$N$2+1,2),""),"")))))</f>
        <v>0</v>
      </c>
      <c r="C167" s="3">
        <f>IF(ROW()-1&lt;=0,"",IF(ROW()-1&lt;=$L$2,IFERROR(INDEX(MCQ!$A:$K,ROW()-1+1,3),""),IF(ROW()-1&lt;=$L$2+$M$2,IFERROR(INDEX(CLOZE_AB!$A:$K,ROW()-1-$L$2+1,3),""),IF(ROW()-1&lt;=$L$2+$M$2+$N$2,IFERROR(INDEX(CLOZE_LIST!$A:$K,ROW()-1-$L$2-$M$2+1,3),""),IF(ROW()-1&lt;=$L$2+$M$2+$N$2+$O$2,IFERROR(INDEX(PROFORMA!$A:$K,ROW()-1-$L$2-$M$2-$N$2+1,3),""),"")))))</f>
        <v>0</v>
      </c>
      <c r="D167" s="3">
        <f>IF(ROW()-1&lt;=0,"",IF(ROW()-1&lt;=$L$2,IFERROR(INDEX(MCQ!$A:$K,ROW()-1+1,4),""),IF(ROW()-1&lt;=$L$2+$M$2,IFERROR(INDEX(CLOZE_AB!$A:$K,ROW()-1-$L$2+1,4),""),IF(ROW()-1&lt;=$L$2+$M$2+$N$2,IFERROR(INDEX(CLOZE_LIST!$A:$K,ROW()-1-$L$2-$M$2+1,4),""),IF(ROW()-1&lt;=$L$2+$M$2+$N$2+$O$2,IFERROR(INDEX(PROFORMA!$A:$K,ROW()-1-$L$2-$M$2-$N$2+1,4),""),"")))))</f>
        <v>0</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0</v>
      </c>
      <c r="G167" s="3">
        <f>IF(ROW()-1&lt;=0,"",IF(ROW()-1&lt;=$L$2,IFERROR(INDEX(MCQ!$A:$K,ROW()-1+1,7),""),IF(ROW()-1&lt;=$L$2+$M$2,IFERROR(INDEX(CLOZE_AB!$A:$K,ROW()-1-$L$2+1,7),""),IF(ROW()-1&lt;=$L$2+$M$2+$N$2,IFERROR(INDEX(CLOZE_LIST!$A:$K,ROW()-1-$L$2-$M$2+1,7),""),IF(ROW()-1&lt;=$L$2+$M$2+$N$2+$O$2,IFERROR(INDEX(PROFORMA!$A:$K,ROW()-1-$L$2-$M$2-$N$2+1,7),""),"")))))</f>
        <v>0</v>
      </c>
      <c r="H167" s="3">
        <f>IF(ROW()-1&lt;=0,"",IF(ROW()-1&lt;=$L$2,IFERROR(INDEX(MCQ!$A:$K,ROW()-1+1,8),""),IF(ROW()-1&lt;=$L$2+$M$2,IFERROR(INDEX(CLOZE_AB!$A:$K,ROW()-1-$L$2+1,8),""),IF(ROW()-1&lt;=$L$2+$M$2+$N$2,IFERROR(INDEX(CLOZE_LIST!$A:$K,ROW()-1-$L$2-$M$2+1,8),""),IF(ROW()-1&lt;=$L$2+$M$2+$N$2+$O$2,IFERROR(INDEX(PROFORMA!$A:$K,ROW()-1-$L$2-$M$2-$N$2+1,8),""),"")))))</f>
        <v>0</v>
      </c>
      <c r="I167" s="3">
        <f>IF(ROW()-1&lt;=0,"",IF(ROW()-1&lt;=$L$2,IFERROR(INDEX(MCQ!$A:$K,ROW()-1+1,9),""),IF(ROW()-1&lt;=$L$2+$M$2,IFERROR(INDEX(CLOZE_AB!$A:$K,ROW()-1-$L$2+1,9),""),IF(ROW()-1&lt;=$L$2+$M$2+$N$2,IFERROR(INDEX(CLOZE_LIST!$A:$K,ROW()-1-$L$2-$M$2+1,9),""),IF(ROW()-1&lt;=$L$2+$M$2+$N$2+$O$2,IFERROR(INDEX(PROFORMA!$A:$K,ROW()-1-$L$2-$M$2-$N$2+1,9),""),"")))))</f>
        <v>0</v>
      </c>
      <c r="J167" s="3">
        <f>IF(ROW()-1&lt;=0,"",IF(ROW()-1&lt;=$L$2,IFERROR(INDEX(MCQ!$A:$K,ROW()-1+1,10),""),IF(ROW()-1&lt;=$L$2+$M$2,IFERROR(INDEX(CLOZE_AB!$A:$K,ROW()-1-$L$2+1,10),""),IF(ROW()-1&lt;=$L$2+$M$2+$N$2,IFERROR(INDEX(CLOZE_LIST!$A:$K,ROW()-1-$L$2-$M$2+1,10),""),IF(ROW()-1&lt;=$L$2+$M$2+$N$2+$O$2,IFERROR(INDEX(PROFORMA!$A:$K,ROW()-1-$L$2-$M$2-$N$2+1,10),""),"")))))</f>
        <v>0</v>
      </c>
      <c r="K167" s="3">
        <f>IF(ROW()-1&lt;=0,"",IF(ROW()-1&lt;=$L$2,IFERROR(INDEX(MCQ!$A:$K,ROW()-1+1,11),""),IF(ROW()-1&lt;=$L$2+$M$2,IFERROR(INDEX(CLOZE_AB!$A:$K,ROW()-1-$L$2+1,11),""),IF(ROW()-1&lt;=$L$2+$M$2+$N$2,IFERROR(INDEX(CLOZE_LIST!$A:$K,ROW()-1-$L$2-$M$2+1,11),""),IF(ROW()-1&lt;=$L$2+$M$2+$N$2+$O$2,IFERROR(INDEX(PROFORMA!$A:$K,ROW()-1-$L$2-$M$2-$N$2+1,11),""),"")))))</f>
        <v>0</v>
      </c>
      <c r="L167" s="3">
        <f>COUNTA(MCQ!$A:$A)-1</f>
        <v>143</v>
      </c>
      <c r="M167" s="3">
        <f>COUNTA(CLOZE_AB!$A:$A)-1</f>
        <v>168</v>
      </c>
      <c r="N167" s="3">
        <f>COUNTA(CLOZE_LIST!$A:$A)-1</f>
        <v>199</v>
      </c>
      <c r="O167" s="3">
        <f>COUNTA(PROFORMA!$A:$A)-1</f>
        <v>199</v>
      </c>
    </row>
    <row r="168" spans="1:15" x14ac:dyDescent="0.3">
      <c r="A168" s="3" t="str">
        <f>IF(ROW()-1&lt;=0,"",IF(ROW()-1&lt;=$L$2,IFERROR(INDEX(MCQ!$A:$K,ROW()-1+1,1),""),IF(ROW()-1&lt;=$L$2+$M$2,IFERROR(INDEX(CLOZE_AB!$A:$K,ROW()-1-$L$2+1,1),""),IF(ROW()-1&lt;=$L$2+$M$2+$N$2,IFERROR(INDEX(CLOZE_LIST!$A:$K,ROW()-1-$L$2-$M$2+1,1),""),IF(ROW()-1&lt;=$L$2+$M$2+$N$2+$O$2,IFERROR(INDEX(PROFORMA!$A:$K,ROW()-1-$L$2-$M$2-$N$2+1,1),""),"")))))</f>
        <v/>
      </c>
      <c r="B168" s="3">
        <f>IF(ROW()-1&lt;=0,"",IF(ROW()-1&lt;=$L$2,IFERROR(INDEX(MCQ!$A:$K,ROW()-1+1,2),""),IF(ROW()-1&lt;=$L$2+$M$2,IFERROR(INDEX(CLOZE_AB!$A:$K,ROW()-1-$L$2+1,2),""),IF(ROW()-1&lt;=$L$2+$M$2+$N$2,IFERROR(INDEX(CLOZE_LIST!$A:$K,ROW()-1-$L$2-$M$2+1,2),""),IF(ROW()-1&lt;=$L$2+$M$2+$N$2+$O$2,IFERROR(INDEX(PROFORMA!$A:$K,ROW()-1-$L$2-$M$2-$N$2+1,2),""),"")))))</f>
        <v>0</v>
      </c>
      <c r="C168" s="3">
        <f>IF(ROW()-1&lt;=0,"",IF(ROW()-1&lt;=$L$2,IFERROR(INDEX(MCQ!$A:$K,ROW()-1+1,3),""),IF(ROW()-1&lt;=$L$2+$M$2,IFERROR(INDEX(CLOZE_AB!$A:$K,ROW()-1-$L$2+1,3),""),IF(ROW()-1&lt;=$L$2+$M$2+$N$2,IFERROR(INDEX(CLOZE_LIST!$A:$K,ROW()-1-$L$2-$M$2+1,3),""),IF(ROW()-1&lt;=$L$2+$M$2+$N$2+$O$2,IFERROR(INDEX(PROFORMA!$A:$K,ROW()-1-$L$2-$M$2-$N$2+1,3),""),"")))))</f>
        <v>0</v>
      </c>
      <c r="D168" s="3">
        <f>IF(ROW()-1&lt;=0,"",IF(ROW()-1&lt;=$L$2,IFERROR(INDEX(MCQ!$A:$K,ROW()-1+1,4),""),IF(ROW()-1&lt;=$L$2+$M$2,IFERROR(INDEX(CLOZE_AB!$A:$K,ROW()-1-$L$2+1,4),""),IF(ROW()-1&lt;=$L$2+$M$2+$N$2,IFERROR(INDEX(CLOZE_LIST!$A:$K,ROW()-1-$L$2-$M$2+1,4),""),IF(ROW()-1&lt;=$L$2+$M$2+$N$2+$O$2,IFERROR(INDEX(PROFORMA!$A:$K,ROW()-1-$L$2-$M$2-$N$2+1,4),""),"")))))</f>
        <v>0</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0</v>
      </c>
      <c r="G168" s="3">
        <f>IF(ROW()-1&lt;=0,"",IF(ROW()-1&lt;=$L$2,IFERROR(INDEX(MCQ!$A:$K,ROW()-1+1,7),""),IF(ROW()-1&lt;=$L$2+$M$2,IFERROR(INDEX(CLOZE_AB!$A:$K,ROW()-1-$L$2+1,7),""),IF(ROW()-1&lt;=$L$2+$M$2+$N$2,IFERROR(INDEX(CLOZE_LIST!$A:$K,ROW()-1-$L$2-$M$2+1,7),""),IF(ROW()-1&lt;=$L$2+$M$2+$N$2+$O$2,IFERROR(INDEX(PROFORMA!$A:$K,ROW()-1-$L$2-$M$2-$N$2+1,7),""),"")))))</f>
        <v>0</v>
      </c>
      <c r="H168" s="3">
        <f>IF(ROW()-1&lt;=0,"",IF(ROW()-1&lt;=$L$2,IFERROR(INDEX(MCQ!$A:$K,ROW()-1+1,8),""),IF(ROW()-1&lt;=$L$2+$M$2,IFERROR(INDEX(CLOZE_AB!$A:$K,ROW()-1-$L$2+1,8),""),IF(ROW()-1&lt;=$L$2+$M$2+$N$2,IFERROR(INDEX(CLOZE_LIST!$A:$K,ROW()-1-$L$2-$M$2+1,8),""),IF(ROW()-1&lt;=$L$2+$M$2+$N$2+$O$2,IFERROR(INDEX(PROFORMA!$A:$K,ROW()-1-$L$2-$M$2-$N$2+1,8),""),"")))))</f>
        <v>0</v>
      </c>
      <c r="I168" s="3">
        <f>IF(ROW()-1&lt;=0,"",IF(ROW()-1&lt;=$L$2,IFERROR(INDEX(MCQ!$A:$K,ROW()-1+1,9),""),IF(ROW()-1&lt;=$L$2+$M$2,IFERROR(INDEX(CLOZE_AB!$A:$K,ROW()-1-$L$2+1,9),""),IF(ROW()-1&lt;=$L$2+$M$2+$N$2,IFERROR(INDEX(CLOZE_LIST!$A:$K,ROW()-1-$L$2-$M$2+1,9),""),IF(ROW()-1&lt;=$L$2+$M$2+$N$2+$O$2,IFERROR(INDEX(PROFORMA!$A:$K,ROW()-1-$L$2-$M$2-$N$2+1,9),""),"")))))</f>
        <v>0</v>
      </c>
      <c r="J168" s="3">
        <f>IF(ROW()-1&lt;=0,"",IF(ROW()-1&lt;=$L$2,IFERROR(INDEX(MCQ!$A:$K,ROW()-1+1,10),""),IF(ROW()-1&lt;=$L$2+$M$2,IFERROR(INDEX(CLOZE_AB!$A:$K,ROW()-1-$L$2+1,10),""),IF(ROW()-1&lt;=$L$2+$M$2+$N$2,IFERROR(INDEX(CLOZE_LIST!$A:$K,ROW()-1-$L$2-$M$2+1,10),""),IF(ROW()-1&lt;=$L$2+$M$2+$N$2+$O$2,IFERROR(INDEX(PROFORMA!$A:$K,ROW()-1-$L$2-$M$2-$N$2+1,10),""),"")))))</f>
        <v>0</v>
      </c>
      <c r="K168" s="3">
        <f>IF(ROW()-1&lt;=0,"",IF(ROW()-1&lt;=$L$2,IFERROR(INDEX(MCQ!$A:$K,ROW()-1+1,11),""),IF(ROW()-1&lt;=$L$2+$M$2,IFERROR(INDEX(CLOZE_AB!$A:$K,ROW()-1-$L$2+1,11),""),IF(ROW()-1&lt;=$L$2+$M$2+$N$2,IFERROR(INDEX(CLOZE_LIST!$A:$K,ROW()-1-$L$2-$M$2+1,11),""),IF(ROW()-1&lt;=$L$2+$M$2+$N$2+$O$2,IFERROR(INDEX(PROFORMA!$A:$K,ROW()-1-$L$2-$M$2-$N$2+1,11),""),"")))))</f>
        <v>0</v>
      </c>
      <c r="L168" s="3">
        <f>COUNTA(MCQ!$A:$A)-1</f>
        <v>143</v>
      </c>
      <c r="M168" s="3">
        <f>COUNTA(CLOZE_AB!$A:$A)-1</f>
        <v>168</v>
      </c>
      <c r="N168" s="3">
        <f>COUNTA(CLOZE_LIST!$A:$A)-1</f>
        <v>199</v>
      </c>
      <c r="O168" s="3">
        <f>COUNTA(PROFORMA!$A:$A)-1</f>
        <v>199</v>
      </c>
    </row>
    <row r="169" spans="1:15" x14ac:dyDescent="0.3">
      <c r="A169" s="3" t="str">
        <f>IF(ROW()-1&lt;=0,"",IF(ROW()-1&lt;=$L$2,IFERROR(INDEX(MCQ!$A:$K,ROW()-1+1,1),""),IF(ROW()-1&lt;=$L$2+$M$2,IFERROR(INDEX(CLOZE_AB!$A:$K,ROW()-1-$L$2+1,1),""),IF(ROW()-1&lt;=$L$2+$M$2+$N$2,IFERROR(INDEX(CLOZE_LIST!$A:$K,ROW()-1-$L$2-$M$2+1,1),""),IF(ROW()-1&lt;=$L$2+$M$2+$N$2+$O$2,IFERROR(INDEX(PROFORMA!$A:$K,ROW()-1-$L$2-$M$2-$N$2+1,1),""),"")))))</f>
        <v/>
      </c>
      <c r="B169" s="3">
        <f>IF(ROW()-1&lt;=0,"",IF(ROW()-1&lt;=$L$2,IFERROR(INDEX(MCQ!$A:$K,ROW()-1+1,2),""),IF(ROW()-1&lt;=$L$2+$M$2,IFERROR(INDEX(CLOZE_AB!$A:$K,ROW()-1-$L$2+1,2),""),IF(ROW()-1&lt;=$L$2+$M$2+$N$2,IFERROR(INDEX(CLOZE_LIST!$A:$K,ROW()-1-$L$2-$M$2+1,2),""),IF(ROW()-1&lt;=$L$2+$M$2+$N$2+$O$2,IFERROR(INDEX(PROFORMA!$A:$K,ROW()-1-$L$2-$M$2-$N$2+1,2),""),"")))))</f>
        <v>0</v>
      </c>
      <c r="C169" s="3">
        <f>IF(ROW()-1&lt;=0,"",IF(ROW()-1&lt;=$L$2,IFERROR(INDEX(MCQ!$A:$K,ROW()-1+1,3),""),IF(ROW()-1&lt;=$L$2+$M$2,IFERROR(INDEX(CLOZE_AB!$A:$K,ROW()-1-$L$2+1,3),""),IF(ROW()-1&lt;=$L$2+$M$2+$N$2,IFERROR(INDEX(CLOZE_LIST!$A:$K,ROW()-1-$L$2-$M$2+1,3),""),IF(ROW()-1&lt;=$L$2+$M$2+$N$2+$O$2,IFERROR(INDEX(PROFORMA!$A:$K,ROW()-1-$L$2-$M$2-$N$2+1,3),""),"")))))</f>
        <v>0</v>
      </c>
      <c r="D169" s="3">
        <f>IF(ROW()-1&lt;=0,"",IF(ROW()-1&lt;=$L$2,IFERROR(INDEX(MCQ!$A:$K,ROW()-1+1,4),""),IF(ROW()-1&lt;=$L$2+$M$2,IFERROR(INDEX(CLOZE_AB!$A:$K,ROW()-1-$L$2+1,4),""),IF(ROW()-1&lt;=$L$2+$M$2+$N$2,IFERROR(INDEX(CLOZE_LIST!$A:$K,ROW()-1-$L$2-$M$2+1,4),""),IF(ROW()-1&lt;=$L$2+$M$2+$N$2+$O$2,IFERROR(INDEX(PROFORMA!$A:$K,ROW()-1-$L$2-$M$2-$N$2+1,4),""),"")))))</f>
        <v>0</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0</v>
      </c>
      <c r="G169" s="3">
        <f>IF(ROW()-1&lt;=0,"",IF(ROW()-1&lt;=$L$2,IFERROR(INDEX(MCQ!$A:$K,ROW()-1+1,7),""),IF(ROW()-1&lt;=$L$2+$M$2,IFERROR(INDEX(CLOZE_AB!$A:$K,ROW()-1-$L$2+1,7),""),IF(ROW()-1&lt;=$L$2+$M$2+$N$2,IFERROR(INDEX(CLOZE_LIST!$A:$K,ROW()-1-$L$2-$M$2+1,7),""),IF(ROW()-1&lt;=$L$2+$M$2+$N$2+$O$2,IFERROR(INDEX(PROFORMA!$A:$K,ROW()-1-$L$2-$M$2-$N$2+1,7),""),"")))))</f>
        <v>0</v>
      </c>
      <c r="H169" s="3">
        <f>IF(ROW()-1&lt;=0,"",IF(ROW()-1&lt;=$L$2,IFERROR(INDEX(MCQ!$A:$K,ROW()-1+1,8),""),IF(ROW()-1&lt;=$L$2+$M$2,IFERROR(INDEX(CLOZE_AB!$A:$K,ROW()-1-$L$2+1,8),""),IF(ROW()-1&lt;=$L$2+$M$2+$N$2,IFERROR(INDEX(CLOZE_LIST!$A:$K,ROW()-1-$L$2-$M$2+1,8),""),IF(ROW()-1&lt;=$L$2+$M$2+$N$2+$O$2,IFERROR(INDEX(PROFORMA!$A:$K,ROW()-1-$L$2-$M$2-$N$2+1,8),""),"")))))</f>
        <v>0</v>
      </c>
      <c r="I169" s="3">
        <f>IF(ROW()-1&lt;=0,"",IF(ROW()-1&lt;=$L$2,IFERROR(INDEX(MCQ!$A:$K,ROW()-1+1,9),""),IF(ROW()-1&lt;=$L$2+$M$2,IFERROR(INDEX(CLOZE_AB!$A:$K,ROW()-1-$L$2+1,9),""),IF(ROW()-1&lt;=$L$2+$M$2+$N$2,IFERROR(INDEX(CLOZE_LIST!$A:$K,ROW()-1-$L$2-$M$2+1,9),""),IF(ROW()-1&lt;=$L$2+$M$2+$N$2+$O$2,IFERROR(INDEX(PROFORMA!$A:$K,ROW()-1-$L$2-$M$2-$N$2+1,9),""),"")))))</f>
        <v>0</v>
      </c>
      <c r="J169" s="3">
        <f>IF(ROW()-1&lt;=0,"",IF(ROW()-1&lt;=$L$2,IFERROR(INDEX(MCQ!$A:$K,ROW()-1+1,10),""),IF(ROW()-1&lt;=$L$2+$M$2,IFERROR(INDEX(CLOZE_AB!$A:$K,ROW()-1-$L$2+1,10),""),IF(ROW()-1&lt;=$L$2+$M$2+$N$2,IFERROR(INDEX(CLOZE_LIST!$A:$K,ROW()-1-$L$2-$M$2+1,10),""),IF(ROW()-1&lt;=$L$2+$M$2+$N$2+$O$2,IFERROR(INDEX(PROFORMA!$A:$K,ROW()-1-$L$2-$M$2-$N$2+1,10),""),"")))))</f>
        <v>0</v>
      </c>
      <c r="K169" s="3">
        <f>IF(ROW()-1&lt;=0,"",IF(ROW()-1&lt;=$L$2,IFERROR(INDEX(MCQ!$A:$K,ROW()-1+1,11),""),IF(ROW()-1&lt;=$L$2+$M$2,IFERROR(INDEX(CLOZE_AB!$A:$K,ROW()-1-$L$2+1,11),""),IF(ROW()-1&lt;=$L$2+$M$2+$N$2,IFERROR(INDEX(CLOZE_LIST!$A:$K,ROW()-1-$L$2-$M$2+1,11),""),IF(ROW()-1&lt;=$L$2+$M$2+$N$2+$O$2,IFERROR(INDEX(PROFORMA!$A:$K,ROW()-1-$L$2-$M$2-$N$2+1,11),""),"")))))</f>
        <v>0</v>
      </c>
      <c r="L169" s="3">
        <f>COUNTA(MCQ!$A:$A)-1</f>
        <v>143</v>
      </c>
      <c r="M169" s="3">
        <f>COUNTA(CLOZE_AB!$A:$A)-1</f>
        <v>168</v>
      </c>
      <c r="N169" s="3">
        <f>COUNTA(CLOZE_LIST!$A:$A)-1</f>
        <v>199</v>
      </c>
      <c r="O169" s="3">
        <f>COUNTA(PROFORMA!$A:$A)-1</f>
        <v>199</v>
      </c>
    </row>
    <row r="170" spans="1:15" x14ac:dyDescent="0.3">
      <c r="A170" s="3" t="str">
        <f>IF(ROW()-1&lt;=0,"",IF(ROW()-1&lt;=$L$2,IFERROR(INDEX(MCQ!$A:$K,ROW()-1+1,1),""),IF(ROW()-1&lt;=$L$2+$M$2,IFERROR(INDEX(CLOZE_AB!$A:$K,ROW()-1-$L$2+1,1),""),IF(ROW()-1&lt;=$L$2+$M$2+$N$2,IFERROR(INDEX(CLOZE_LIST!$A:$K,ROW()-1-$L$2-$M$2+1,1),""),IF(ROW()-1&lt;=$L$2+$M$2+$N$2+$O$2,IFERROR(INDEX(PROFORMA!$A:$K,ROW()-1-$L$2-$M$2-$N$2+1,1),""),"")))))</f>
        <v/>
      </c>
      <c r="B170" s="3">
        <f>IF(ROW()-1&lt;=0,"",IF(ROW()-1&lt;=$L$2,IFERROR(INDEX(MCQ!$A:$K,ROW()-1+1,2),""),IF(ROW()-1&lt;=$L$2+$M$2,IFERROR(INDEX(CLOZE_AB!$A:$K,ROW()-1-$L$2+1,2),""),IF(ROW()-1&lt;=$L$2+$M$2+$N$2,IFERROR(INDEX(CLOZE_LIST!$A:$K,ROW()-1-$L$2-$M$2+1,2),""),IF(ROW()-1&lt;=$L$2+$M$2+$N$2+$O$2,IFERROR(INDEX(PROFORMA!$A:$K,ROW()-1-$L$2-$M$2-$N$2+1,2),""),"")))))</f>
        <v>0</v>
      </c>
      <c r="C170" s="3">
        <f>IF(ROW()-1&lt;=0,"",IF(ROW()-1&lt;=$L$2,IFERROR(INDEX(MCQ!$A:$K,ROW()-1+1,3),""),IF(ROW()-1&lt;=$L$2+$M$2,IFERROR(INDEX(CLOZE_AB!$A:$K,ROW()-1-$L$2+1,3),""),IF(ROW()-1&lt;=$L$2+$M$2+$N$2,IFERROR(INDEX(CLOZE_LIST!$A:$K,ROW()-1-$L$2-$M$2+1,3),""),IF(ROW()-1&lt;=$L$2+$M$2+$N$2+$O$2,IFERROR(INDEX(PROFORMA!$A:$K,ROW()-1-$L$2-$M$2-$N$2+1,3),""),"")))))</f>
        <v>0</v>
      </c>
      <c r="D170" s="3">
        <f>IF(ROW()-1&lt;=0,"",IF(ROW()-1&lt;=$L$2,IFERROR(INDEX(MCQ!$A:$K,ROW()-1+1,4),""),IF(ROW()-1&lt;=$L$2+$M$2,IFERROR(INDEX(CLOZE_AB!$A:$K,ROW()-1-$L$2+1,4),""),IF(ROW()-1&lt;=$L$2+$M$2+$N$2,IFERROR(INDEX(CLOZE_LIST!$A:$K,ROW()-1-$L$2-$M$2+1,4),""),IF(ROW()-1&lt;=$L$2+$M$2+$N$2+$O$2,IFERROR(INDEX(PROFORMA!$A:$K,ROW()-1-$L$2-$M$2-$N$2+1,4),""),"")))))</f>
        <v>0</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0</v>
      </c>
      <c r="G170" s="3">
        <f>IF(ROW()-1&lt;=0,"",IF(ROW()-1&lt;=$L$2,IFERROR(INDEX(MCQ!$A:$K,ROW()-1+1,7),""),IF(ROW()-1&lt;=$L$2+$M$2,IFERROR(INDEX(CLOZE_AB!$A:$K,ROW()-1-$L$2+1,7),""),IF(ROW()-1&lt;=$L$2+$M$2+$N$2,IFERROR(INDEX(CLOZE_LIST!$A:$K,ROW()-1-$L$2-$M$2+1,7),""),IF(ROW()-1&lt;=$L$2+$M$2+$N$2+$O$2,IFERROR(INDEX(PROFORMA!$A:$K,ROW()-1-$L$2-$M$2-$N$2+1,7),""),"")))))</f>
        <v>0</v>
      </c>
      <c r="H170" s="3">
        <f>IF(ROW()-1&lt;=0,"",IF(ROW()-1&lt;=$L$2,IFERROR(INDEX(MCQ!$A:$K,ROW()-1+1,8),""),IF(ROW()-1&lt;=$L$2+$M$2,IFERROR(INDEX(CLOZE_AB!$A:$K,ROW()-1-$L$2+1,8),""),IF(ROW()-1&lt;=$L$2+$M$2+$N$2,IFERROR(INDEX(CLOZE_LIST!$A:$K,ROW()-1-$L$2-$M$2+1,8),""),IF(ROW()-1&lt;=$L$2+$M$2+$N$2+$O$2,IFERROR(INDEX(PROFORMA!$A:$K,ROW()-1-$L$2-$M$2-$N$2+1,8),""),"")))))</f>
        <v>0</v>
      </c>
      <c r="I170" s="3">
        <f>IF(ROW()-1&lt;=0,"",IF(ROW()-1&lt;=$L$2,IFERROR(INDEX(MCQ!$A:$K,ROW()-1+1,9),""),IF(ROW()-1&lt;=$L$2+$M$2,IFERROR(INDEX(CLOZE_AB!$A:$K,ROW()-1-$L$2+1,9),""),IF(ROW()-1&lt;=$L$2+$M$2+$N$2,IFERROR(INDEX(CLOZE_LIST!$A:$K,ROW()-1-$L$2-$M$2+1,9),""),IF(ROW()-1&lt;=$L$2+$M$2+$N$2+$O$2,IFERROR(INDEX(PROFORMA!$A:$K,ROW()-1-$L$2-$M$2-$N$2+1,9),""),"")))))</f>
        <v>0</v>
      </c>
      <c r="J170" s="3">
        <f>IF(ROW()-1&lt;=0,"",IF(ROW()-1&lt;=$L$2,IFERROR(INDEX(MCQ!$A:$K,ROW()-1+1,10),""),IF(ROW()-1&lt;=$L$2+$M$2,IFERROR(INDEX(CLOZE_AB!$A:$K,ROW()-1-$L$2+1,10),""),IF(ROW()-1&lt;=$L$2+$M$2+$N$2,IFERROR(INDEX(CLOZE_LIST!$A:$K,ROW()-1-$L$2-$M$2+1,10),""),IF(ROW()-1&lt;=$L$2+$M$2+$N$2+$O$2,IFERROR(INDEX(PROFORMA!$A:$K,ROW()-1-$L$2-$M$2-$N$2+1,10),""),"")))))</f>
        <v>0</v>
      </c>
      <c r="K170" s="3">
        <f>IF(ROW()-1&lt;=0,"",IF(ROW()-1&lt;=$L$2,IFERROR(INDEX(MCQ!$A:$K,ROW()-1+1,11),""),IF(ROW()-1&lt;=$L$2+$M$2,IFERROR(INDEX(CLOZE_AB!$A:$K,ROW()-1-$L$2+1,11),""),IF(ROW()-1&lt;=$L$2+$M$2+$N$2,IFERROR(INDEX(CLOZE_LIST!$A:$K,ROW()-1-$L$2-$M$2+1,11),""),IF(ROW()-1&lt;=$L$2+$M$2+$N$2+$O$2,IFERROR(INDEX(PROFORMA!$A:$K,ROW()-1-$L$2-$M$2-$N$2+1,11),""),"")))))</f>
        <v>0</v>
      </c>
      <c r="L170" s="3">
        <f>COUNTA(MCQ!$A:$A)-1</f>
        <v>143</v>
      </c>
      <c r="M170" s="3">
        <f>COUNTA(CLOZE_AB!$A:$A)-1</f>
        <v>168</v>
      </c>
      <c r="N170" s="3">
        <f>COUNTA(CLOZE_LIST!$A:$A)-1</f>
        <v>199</v>
      </c>
      <c r="O170" s="3">
        <f>COUNTA(PROFORMA!$A:$A)-1</f>
        <v>199</v>
      </c>
    </row>
    <row r="171" spans="1:15" x14ac:dyDescent="0.3">
      <c r="A171" s="3" t="str">
        <f>IF(ROW()-1&lt;=0,"",IF(ROW()-1&lt;=$L$2,IFERROR(INDEX(MCQ!$A:$K,ROW()-1+1,1),""),IF(ROW()-1&lt;=$L$2+$M$2,IFERROR(INDEX(CLOZE_AB!$A:$K,ROW()-1-$L$2+1,1),""),IF(ROW()-1&lt;=$L$2+$M$2+$N$2,IFERROR(INDEX(CLOZE_LIST!$A:$K,ROW()-1-$L$2-$M$2+1,1),""),IF(ROW()-1&lt;=$L$2+$M$2+$N$2+$O$2,IFERROR(INDEX(PROFORMA!$A:$K,ROW()-1-$L$2-$M$2-$N$2+1,1),""),"")))))</f>
        <v/>
      </c>
      <c r="B171" s="3">
        <f>IF(ROW()-1&lt;=0,"",IF(ROW()-1&lt;=$L$2,IFERROR(INDEX(MCQ!$A:$K,ROW()-1+1,2),""),IF(ROW()-1&lt;=$L$2+$M$2,IFERROR(INDEX(CLOZE_AB!$A:$K,ROW()-1-$L$2+1,2),""),IF(ROW()-1&lt;=$L$2+$M$2+$N$2,IFERROR(INDEX(CLOZE_LIST!$A:$K,ROW()-1-$L$2-$M$2+1,2),""),IF(ROW()-1&lt;=$L$2+$M$2+$N$2+$O$2,IFERROR(INDEX(PROFORMA!$A:$K,ROW()-1-$L$2-$M$2-$N$2+1,2),""),"")))))</f>
        <v>0</v>
      </c>
      <c r="C171" s="3">
        <f>IF(ROW()-1&lt;=0,"",IF(ROW()-1&lt;=$L$2,IFERROR(INDEX(MCQ!$A:$K,ROW()-1+1,3),""),IF(ROW()-1&lt;=$L$2+$M$2,IFERROR(INDEX(CLOZE_AB!$A:$K,ROW()-1-$L$2+1,3),""),IF(ROW()-1&lt;=$L$2+$M$2+$N$2,IFERROR(INDEX(CLOZE_LIST!$A:$K,ROW()-1-$L$2-$M$2+1,3),""),IF(ROW()-1&lt;=$L$2+$M$2+$N$2+$O$2,IFERROR(INDEX(PROFORMA!$A:$K,ROW()-1-$L$2-$M$2-$N$2+1,3),""),"")))))</f>
        <v>0</v>
      </c>
      <c r="D171" s="3">
        <f>IF(ROW()-1&lt;=0,"",IF(ROW()-1&lt;=$L$2,IFERROR(INDEX(MCQ!$A:$K,ROW()-1+1,4),""),IF(ROW()-1&lt;=$L$2+$M$2,IFERROR(INDEX(CLOZE_AB!$A:$K,ROW()-1-$L$2+1,4),""),IF(ROW()-1&lt;=$L$2+$M$2+$N$2,IFERROR(INDEX(CLOZE_LIST!$A:$K,ROW()-1-$L$2-$M$2+1,4),""),IF(ROW()-1&lt;=$L$2+$M$2+$N$2+$O$2,IFERROR(INDEX(PROFORMA!$A:$K,ROW()-1-$L$2-$M$2-$N$2+1,4),""),"")))))</f>
        <v>0</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0</v>
      </c>
      <c r="G171" s="3">
        <f>IF(ROW()-1&lt;=0,"",IF(ROW()-1&lt;=$L$2,IFERROR(INDEX(MCQ!$A:$K,ROW()-1+1,7),""),IF(ROW()-1&lt;=$L$2+$M$2,IFERROR(INDEX(CLOZE_AB!$A:$K,ROW()-1-$L$2+1,7),""),IF(ROW()-1&lt;=$L$2+$M$2+$N$2,IFERROR(INDEX(CLOZE_LIST!$A:$K,ROW()-1-$L$2-$M$2+1,7),""),IF(ROW()-1&lt;=$L$2+$M$2+$N$2+$O$2,IFERROR(INDEX(PROFORMA!$A:$K,ROW()-1-$L$2-$M$2-$N$2+1,7),""),"")))))</f>
        <v>0</v>
      </c>
      <c r="H171" s="3">
        <f>IF(ROW()-1&lt;=0,"",IF(ROW()-1&lt;=$L$2,IFERROR(INDEX(MCQ!$A:$K,ROW()-1+1,8),""),IF(ROW()-1&lt;=$L$2+$M$2,IFERROR(INDEX(CLOZE_AB!$A:$K,ROW()-1-$L$2+1,8),""),IF(ROW()-1&lt;=$L$2+$M$2+$N$2,IFERROR(INDEX(CLOZE_LIST!$A:$K,ROW()-1-$L$2-$M$2+1,8),""),IF(ROW()-1&lt;=$L$2+$M$2+$N$2+$O$2,IFERROR(INDEX(PROFORMA!$A:$K,ROW()-1-$L$2-$M$2-$N$2+1,8),""),"")))))</f>
        <v>0</v>
      </c>
      <c r="I171" s="3">
        <f>IF(ROW()-1&lt;=0,"",IF(ROW()-1&lt;=$L$2,IFERROR(INDEX(MCQ!$A:$K,ROW()-1+1,9),""),IF(ROW()-1&lt;=$L$2+$M$2,IFERROR(INDEX(CLOZE_AB!$A:$K,ROW()-1-$L$2+1,9),""),IF(ROW()-1&lt;=$L$2+$M$2+$N$2,IFERROR(INDEX(CLOZE_LIST!$A:$K,ROW()-1-$L$2-$M$2+1,9),""),IF(ROW()-1&lt;=$L$2+$M$2+$N$2+$O$2,IFERROR(INDEX(PROFORMA!$A:$K,ROW()-1-$L$2-$M$2-$N$2+1,9),""),"")))))</f>
        <v>0</v>
      </c>
      <c r="J171" s="3">
        <f>IF(ROW()-1&lt;=0,"",IF(ROW()-1&lt;=$L$2,IFERROR(INDEX(MCQ!$A:$K,ROW()-1+1,10),""),IF(ROW()-1&lt;=$L$2+$M$2,IFERROR(INDEX(CLOZE_AB!$A:$K,ROW()-1-$L$2+1,10),""),IF(ROW()-1&lt;=$L$2+$M$2+$N$2,IFERROR(INDEX(CLOZE_LIST!$A:$K,ROW()-1-$L$2-$M$2+1,10),""),IF(ROW()-1&lt;=$L$2+$M$2+$N$2+$O$2,IFERROR(INDEX(PROFORMA!$A:$K,ROW()-1-$L$2-$M$2-$N$2+1,10),""),"")))))</f>
        <v>0</v>
      </c>
      <c r="K171" s="3">
        <f>IF(ROW()-1&lt;=0,"",IF(ROW()-1&lt;=$L$2,IFERROR(INDEX(MCQ!$A:$K,ROW()-1+1,11),""),IF(ROW()-1&lt;=$L$2+$M$2,IFERROR(INDEX(CLOZE_AB!$A:$K,ROW()-1-$L$2+1,11),""),IF(ROW()-1&lt;=$L$2+$M$2+$N$2,IFERROR(INDEX(CLOZE_LIST!$A:$K,ROW()-1-$L$2-$M$2+1,11),""),IF(ROW()-1&lt;=$L$2+$M$2+$N$2+$O$2,IFERROR(INDEX(PROFORMA!$A:$K,ROW()-1-$L$2-$M$2-$N$2+1,11),""),"")))))</f>
        <v>0</v>
      </c>
      <c r="L171" s="3">
        <f>COUNTA(MCQ!$A:$A)-1</f>
        <v>143</v>
      </c>
      <c r="M171" s="3">
        <f>COUNTA(CLOZE_AB!$A:$A)-1</f>
        <v>168</v>
      </c>
      <c r="N171" s="3">
        <f>COUNTA(CLOZE_LIST!$A:$A)-1</f>
        <v>199</v>
      </c>
      <c r="O171" s="3">
        <f>COUNTA(PROFORMA!$A:$A)-1</f>
        <v>199</v>
      </c>
    </row>
    <row r="172" spans="1:15" x14ac:dyDescent="0.3">
      <c r="A172" s="3" t="str">
        <f>IF(ROW()-1&lt;=0,"",IF(ROW()-1&lt;=$L$2,IFERROR(INDEX(MCQ!$A:$K,ROW()-1+1,1),""),IF(ROW()-1&lt;=$L$2+$M$2,IFERROR(INDEX(CLOZE_AB!$A:$K,ROW()-1-$L$2+1,1),""),IF(ROW()-1&lt;=$L$2+$M$2+$N$2,IFERROR(INDEX(CLOZE_LIST!$A:$K,ROW()-1-$L$2-$M$2+1,1),""),IF(ROW()-1&lt;=$L$2+$M$2+$N$2+$O$2,IFERROR(INDEX(PROFORMA!$A:$K,ROW()-1-$L$2-$M$2-$N$2+1,1),""),"")))))</f>
        <v/>
      </c>
      <c r="B172" s="3">
        <f>IF(ROW()-1&lt;=0,"",IF(ROW()-1&lt;=$L$2,IFERROR(INDEX(MCQ!$A:$K,ROW()-1+1,2),""),IF(ROW()-1&lt;=$L$2+$M$2,IFERROR(INDEX(CLOZE_AB!$A:$K,ROW()-1-$L$2+1,2),""),IF(ROW()-1&lt;=$L$2+$M$2+$N$2,IFERROR(INDEX(CLOZE_LIST!$A:$K,ROW()-1-$L$2-$M$2+1,2),""),IF(ROW()-1&lt;=$L$2+$M$2+$N$2+$O$2,IFERROR(INDEX(PROFORMA!$A:$K,ROW()-1-$L$2-$M$2-$N$2+1,2),""),"")))))</f>
        <v>0</v>
      </c>
      <c r="C172" s="3">
        <f>IF(ROW()-1&lt;=0,"",IF(ROW()-1&lt;=$L$2,IFERROR(INDEX(MCQ!$A:$K,ROW()-1+1,3),""),IF(ROW()-1&lt;=$L$2+$M$2,IFERROR(INDEX(CLOZE_AB!$A:$K,ROW()-1-$L$2+1,3),""),IF(ROW()-1&lt;=$L$2+$M$2+$N$2,IFERROR(INDEX(CLOZE_LIST!$A:$K,ROW()-1-$L$2-$M$2+1,3),""),IF(ROW()-1&lt;=$L$2+$M$2+$N$2+$O$2,IFERROR(INDEX(PROFORMA!$A:$K,ROW()-1-$L$2-$M$2-$N$2+1,3),""),"")))))</f>
        <v>0</v>
      </c>
      <c r="D172" s="3">
        <f>IF(ROW()-1&lt;=0,"",IF(ROW()-1&lt;=$L$2,IFERROR(INDEX(MCQ!$A:$K,ROW()-1+1,4),""),IF(ROW()-1&lt;=$L$2+$M$2,IFERROR(INDEX(CLOZE_AB!$A:$K,ROW()-1-$L$2+1,4),""),IF(ROW()-1&lt;=$L$2+$M$2+$N$2,IFERROR(INDEX(CLOZE_LIST!$A:$K,ROW()-1-$L$2-$M$2+1,4),""),IF(ROW()-1&lt;=$L$2+$M$2+$N$2+$O$2,IFERROR(INDEX(PROFORMA!$A:$K,ROW()-1-$L$2-$M$2-$N$2+1,4),""),"")))))</f>
        <v>0</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0</v>
      </c>
      <c r="G172" s="3">
        <f>IF(ROW()-1&lt;=0,"",IF(ROW()-1&lt;=$L$2,IFERROR(INDEX(MCQ!$A:$K,ROW()-1+1,7),""),IF(ROW()-1&lt;=$L$2+$M$2,IFERROR(INDEX(CLOZE_AB!$A:$K,ROW()-1-$L$2+1,7),""),IF(ROW()-1&lt;=$L$2+$M$2+$N$2,IFERROR(INDEX(CLOZE_LIST!$A:$K,ROW()-1-$L$2-$M$2+1,7),""),IF(ROW()-1&lt;=$L$2+$M$2+$N$2+$O$2,IFERROR(INDEX(PROFORMA!$A:$K,ROW()-1-$L$2-$M$2-$N$2+1,7),""),"")))))</f>
        <v>0</v>
      </c>
      <c r="H172" s="3">
        <f>IF(ROW()-1&lt;=0,"",IF(ROW()-1&lt;=$L$2,IFERROR(INDEX(MCQ!$A:$K,ROW()-1+1,8),""),IF(ROW()-1&lt;=$L$2+$M$2,IFERROR(INDEX(CLOZE_AB!$A:$K,ROW()-1-$L$2+1,8),""),IF(ROW()-1&lt;=$L$2+$M$2+$N$2,IFERROR(INDEX(CLOZE_LIST!$A:$K,ROW()-1-$L$2-$M$2+1,8),""),IF(ROW()-1&lt;=$L$2+$M$2+$N$2+$O$2,IFERROR(INDEX(PROFORMA!$A:$K,ROW()-1-$L$2-$M$2-$N$2+1,8),""),"")))))</f>
        <v>0</v>
      </c>
      <c r="I172" s="3">
        <f>IF(ROW()-1&lt;=0,"",IF(ROW()-1&lt;=$L$2,IFERROR(INDEX(MCQ!$A:$K,ROW()-1+1,9),""),IF(ROW()-1&lt;=$L$2+$M$2,IFERROR(INDEX(CLOZE_AB!$A:$K,ROW()-1-$L$2+1,9),""),IF(ROW()-1&lt;=$L$2+$M$2+$N$2,IFERROR(INDEX(CLOZE_LIST!$A:$K,ROW()-1-$L$2-$M$2+1,9),""),IF(ROW()-1&lt;=$L$2+$M$2+$N$2+$O$2,IFERROR(INDEX(PROFORMA!$A:$K,ROW()-1-$L$2-$M$2-$N$2+1,9),""),"")))))</f>
        <v>0</v>
      </c>
      <c r="J172" s="3">
        <f>IF(ROW()-1&lt;=0,"",IF(ROW()-1&lt;=$L$2,IFERROR(INDEX(MCQ!$A:$K,ROW()-1+1,10),""),IF(ROW()-1&lt;=$L$2+$M$2,IFERROR(INDEX(CLOZE_AB!$A:$K,ROW()-1-$L$2+1,10),""),IF(ROW()-1&lt;=$L$2+$M$2+$N$2,IFERROR(INDEX(CLOZE_LIST!$A:$K,ROW()-1-$L$2-$M$2+1,10),""),IF(ROW()-1&lt;=$L$2+$M$2+$N$2+$O$2,IFERROR(INDEX(PROFORMA!$A:$K,ROW()-1-$L$2-$M$2-$N$2+1,10),""),"")))))</f>
        <v>0</v>
      </c>
      <c r="K172" s="3">
        <f>IF(ROW()-1&lt;=0,"",IF(ROW()-1&lt;=$L$2,IFERROR(INDEX(MCQ!$A:$K,ROW()-1+1,11),""),IF(ROW()-1&lt;=$L$2+$M$2,IFERROR(INDEX(CLOZE_AB!$A:$K,ROW()-1-$L$2+1,11),""),IF(ROW()-1&lt;=$L$2+$M$2+$N$2,IFERROR(INDEX(CLOZE_LIST!$A:$K,ROW()-1-$L$2-$M$2+1,11),""),IF(ROW()-1&lt;=$L$2+$M$2+$N$2+$O$2,IFERROR(INDEX(PROFORMA!$A:$K,ROW()-1-$L$2-$M$2-$N$2+1,11),""),"")))))</f>
        <v>0</v>
      </c>
      <c r="L172" s="3">
        <f>COUNTA(MCQ!$A:$A)-1</f>
        <v>143</v>
      </c>
      <c r="M172" s="3">
        <f>COUNTA(CLOZE_AB!$A:$A)-1</f>
        <v>168</v>
      </c>
      <c r="N172" s="3">
        <f>COUNTA(CLOZE_LIST!$A:$A)-1</f>
        <v>199</v>
      </c>
      <c r="O172" s="3">
        <f>COUNTA(PROFORMA!$A:$A)-1</f>
        <v>199</v>
      </c>
    </row>
    <row r="173" spans="1:15" x14ac:dyDescent="0.3">
      <c r="A173" s="3" t="str">
        <f>IF(ROW()-1&lt;=0,"",IF(ROW()-1&lt;=$L$2,IFERROR(INDEX(MCQ!$A:$K,ROW()-1+1,1),""),IF(ROW()-1&lt;=$L$2+$M$2,IFERROR(INDEX(CLOZE_AB!$A:$K,ROW()-1-$L$2+1,1),""),IF(ROW()-1&lt;=$L$2+$M$2+$N$2,IFERROR(INDEX(CLOZE_LIST!$A:$K,ROW()-1-$L$2-$M$2+1,1),""),IF(ROW()-1&lt;=$L$2+$M$2+$N$2+$O$2,IFERROR(INDEX(PROFORMA!$A:$K,ROW()-1-$L$2-$M$2-$N$2+1,1),""),"")))))</f>
        <v/>
      </c>
      <c r="B173" s="3">
        <f>IF(ROW()-1&lt;=0,"",IF(ROW()-1&lt;=$L$2,IFERROR(INDEX(MCQ!$A:$K,ROW()-1+1,2),""),IF(ROW()-1&lt;=$L$2+$M$2,IFERROR(INDEX(CLOZE_AB!$A:$K,ROW()-1-$L$2+1,2),""),IF(ROW()-1&lt;=$L$2+$M$2+$N$2,IFERROR(INDEX(CLOZE_LIST!$A:$K,ROW()-1-$L$2-$M$2+1,2),""),IF(ROW()-1&lt;=$L$2+$M$2+$N$2+$O$2,IFERROR(INDEX(PROFORMA!$A:$K,ROW()-1-$L$2-$M$2-$N$2+1,2),""),"")))))</f>
        <v>0</v>
      </c>
      <c r="C173" s="3">
        <f>IF(ROW()-1&lt;=0,"",IF(ROW()-1&lt;=$L$2,IFERROR(INDEX(MCQ!$A:$K,ROW()-1+1,3),""),IF(ROW()-1&lt;=$L$2+$M$2,IFERROR(INDEX(CLOZE_AB!$A:$K,ROW()-1-$L$2+1,3),""),IF(ROW()-1&lt;=$L$2+$M$2+$N$2,IFERROR(INDEX(CLOZE_LIST!$A:$K,ROW()-1-$L$2-$M$2+1,3),""),IF(ROW()-1&lt;=$L$2+$M$2+$N$2+$O$2,IFERROR(INDEX(PROFORMA!$A:$K,ROW()-1-$L$2-$M$2-$N$2+1,3),""),"")))))</f>
        <v>0</v>
      </c>
      <c r="D173" s="3">
        <f>IF(ROW()-1&lt;=0,"",IF(ROW()-1&lt;=$L$2,IFERROR(INDEX(MCQ!$A:$K,ROW()-1+1,4),""),IF(ROW()-1&lt;=$L$2+$M$2,IFERROR(INDEX(CLOZE_AB!$A:$K,ROW()-1-$L$2+1,4),""),IF(ROW()-1&lt;=$L$2+$M$2+$N$2,IFERROR(INDEX(CLOZE_LIST!$A:$K,ROW()-1-$L$2-$M$2+1,4),""),IF(ROW()-1&lt;=$L$2+$M$2+$N$2+$O$2,IFERROR(INDEX(PROFORMA!$A:$K,ROW()-1-$L$2-$M$2-$N$2+1,4),""),"")))))</f>
        <v>0</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0</v>
      </c>
      <c r="G173" s="3">
        <f>IF(ROW()-1&lt;=0,"",IF(ROW()-1&lt;=$L$2,IFERROR(INDEX(MCQ!$A:$K,ROW()-1+1,7),""),IF(ROW()-1&lt;=$L$2+$M$2,IFERROR(INDEX(CLOZE_AB!$A:$K,ROW()-1-$L$2+1,7),""),IF(ROW()-1&lt;=$L$2+$M$2+$N$2,IFERROR(INDEX(CLOZE_LIST!$A:$K,ROW()-1-$L$2-$M$2+1,7),""),IF(ROW()-1&lt;=$L$2+$M$2+$N$2+$O$2,IFERROR(INDEX(PROFORMA!$A:$K,ROW()-1-$L$2-$M$2-$N$2+1,7),""),"")))))</f>
        <v>0</v>
      </c>
      <c r="H173" s="3">
        <f>IF(ROW()-1&lt;=0,"",IF(ROW()-1&lt;=$L$2,IFERROR(INDEX(MCQ!$A:$K,ROW()-1+1,8),""),IF(ROW()-1&lt;=$L$2+$M$2,IFERROR(INDEX(CLOZE_AB!$A:$K,ROW()-1-$L$2+1,8),""),IF(ROW()-1&lt;=$L$2+$M$2+$N$2,IFERROR(INDEX(CLOZE_LIST!$A:$K,ROW()-1-$L$2-$M$2+1,8),""),IF(ROW()-1&lt;=$L$2+$M$2+$N$2+$O$2,IFERROR(INDEX(PROFORMA!$A:$K,ROW()-1-$L$2-$M$2-$N$2+1,8),""),"")))))</f>
        <v>0</v>
      </c>
      <c r="I173" s="3">
        <f>IF(ROW()-1&lt;=0,"",IF(ROW()-1&lt;=$L$2,IFERROR(INDEX(MCQ!$A:$K,ROW()-1+1,9),""),IF(ROW()-1&lt;=$L$2+$M$2,IFERROR(INDEX(CLOZE_AB!$A:$K,ROW()-1-$L$2+1,9),""),IF(ROW()-1&lt;=$L$2+$M$2+$N$2,IFERROR(INDEX(CLOZE_LIST!$A:$K,ROW()-1-$L$2-$M$2+1,9),""),IF(ROW()-1&lt;=$L$2+$M$2+$N$2+$O$2,IFERROR(INDEX(PROFORMA!$A:$K,ROW()-1-$L$2-$M$2-$N$2+1,9),""),"")))))</f>
        <v>0</v>
      </c>
      <c r="J173" s="3">
        <f>IF(ROW()-1&lt;=0,"",IF(ROW()-1&lt;=$L$2,IFERROR(INDEX(MCQ!$A:$K,ROW()-1+1,10),""),IF(ROW()-1&lt;=$L$2+$M$2,IFERROR(INDEX(CLOZE_AB!$A:$K,ROW()-1-$L$2+1,10),""),IF(ROW()-1&lt;=$L$2+$M$2+$N$2,IFERROR(INDEX(CLOZE_LIST!$A:$K,ROW()-1-$L$2-$M$2+1,10),""),IF(ROW()-1&lt;=$L$2+$M$2+$N$2+$O$2,IFERROR(INDEX(PROFORMA!$A:$K,ROW()-1-$L$2-$M$2-$N$2+1,10),""),"")))))</f>
        <v>0</v>
      </c>
      <c r="K173" s="3">
        <f>IF(ROW()-1&lt;=0,"",IF(ROW()-1&lt;=$L$2,IFERROR(INDEX(MCQ!$A:$K,ROW()-1+1,11),""),IF(ROW()-1&lt;=$L$2+$M$2,IFERROR(INDEX(CLOZE_AB!$A:$K,ROW()-1-$L$2+1,11),""),IF(ROW()-1&lt;=$L$2+$M$2+$N$2,IFERROR(INDEX(CLOZE_LIST!$A:$K,ROW()-1-$L$2-$M$2+1,11),""),IF(ROW()-1&lt;=$L$2+$M$2+$N$2+$O$2,IFERROR(INDEX(PROFORMA!$A:$K,ROW()-1-$L$2-$M$2-$N$2+1,11),""),"")))))</f>
        <v>0</v>
      </c>
      <c r="L173" s="3">
        <f>COUNTA(MCQ!$A:$A)-1</f>
        <v>143</v>
      </c>
      <c r="M173" s="3">
        <f>COUNTA(CLOZE_AB!$A:$A)-1</f>
        <v>168</v>
      </c>
      <c r="N173" s="3">
        <f>COUNTA(CLOZE_LIST!$A:$A)-1</f>
        <v>199</v>
      </c>
      <c r="O173" s="3">
        <f>COUNTA(PROFORMA!$A:$A)-1</f>
        <v>199</v>
      </c>
    </row>
    <row r="174" spans="1:15" x14ac:dyDescent="0.3">
      <c r="A174" s="3" t="str">
        <f>IF(ROW()-1&lt;=0,"",IF(ROW()-1&lt;=$L$2,IFERROR(INDEX(MCQ!$A:$K,ROW()-1+1,1),""),IF(ROW()-1&lt;=$L$2+$M$2,IFERROR(INDEX(CLOZE_AB!$A:$K,ROW()-1-$L$2+1,1),""),IF(ROW()-1&lt;=$L$2+$M$2+$N$2,IFERROR(INDEX(CLOZE_LIST!$A:$K,ROW()-1-$L$2-$M$2+1,1),""),IF(ROW()-1&lt;=$L$2+$M$2+$N$2+$O$2,IFERROR(INDEX(PROFORMA!$A:$K,ROW()-1-$L$2-$M$2-$N$2+1,1),""),"")))))</f>
        <v/>
      </c>
      <c r="B174" s="3">
        <f>IF(ROW()-1&lt;=0,"",IF(ROW()-1&lt;=$L$2,IFERROR(INDEX(MCQ!$A:$K,ROW()-1+1,2),""),IF(ROW()-1&lt;=$L$2+$M$2,IFERROR(INDEX(CLOZE_AB!$A:$K,ROW()-1-$L$2+1,2),""),IF(ROW()-1&lt;=$L$2+$M$2+$N$2,IFERROR(INDEX(CLOZE_LIST!$A:$K,ROW()-1-$L$2-$M$2+1,2),""),IF(ROW()-1&lt;=$L$2+$M$2+$N$2+$O$2,IFERROR(INDEX(PROFORMA!$A:$K,ROW()-1-$L$2-$M$2-$N$2+1,2),""),"")))))</f>
        <v>0</v>
      </c>
      <c r="C174" s="3">
        <f>IF(ROW()-1&lt;=0,"",IF(ROW()-1&lt;=$L$2,IFERROR(INDEX(MCQ!$A:$K,ROW()-1+1,3),""),IF(ROW()-1&lt;=$L$2+$M$2,IFERROR(INDEX(CLOZE_AB!$A:$K,ROW()-1-$L$2+1,3),""),IF(ROW()-1&lt;=$L$2+$M$2+$N$2,IFERROR(INDEX(CLOZE_LIST!$A:$K,ROW()-1-$L$2-$M$2+1,3),""),IF(ROW()-1&lt;=$L$2+$M$2+$N$2+$O$2,IFERROR(INDEX(PROFORMA!$A:$K,ROW()-1-$L$2-$M$2-$N$2+1,3),""),"")))))</f>
        <v>0</v>
      </c>
      <c r="D174" s="3">
        <f>IF(ROW()-1&lt;=0,"",IF(ROW()-1&lt;=$L$2,IFERROR(INDEX(MCQ!$A:$K,ROW()-1+1,4),""),IF(ROW()-1&lt;=$L$2+$M$2,IFERROR(INDEX(CLOZE_AB!$A:$K,ROW()-1-$L$2+1,4),""),IF(ROW()-1&lt;=$L$2+$M$2+$N$2,IFERROR(INDEX(CLOZE_LIST!$A:$K,ROW()-1-$L$2-$M$2+1,4),""),IF(ROW()-1&lt;=$L$2+$M$2+$N$2+$O$2,IFERROR(INDEX(PROFORMA!$A:$K,ROW()-1-$L$2-$M$2-$N$2+1,4),""),"")))))</f>
        <v>0</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0</v>
      </c>
      <c r="G174" s="3">
        <f>IF(ROW()-1&lt;=0,"",IF(ROW()-1&lt;=$L$2,IFERROR(INDEX(MCQ!$A:$K,ROW()-1+1,7),""),IF(ROW()-1&lt;=$L$2+$M$2,IFERROR(INDEX(CLOZE_AB!$A:$K,ROW()-1-$L$2+1,7),""),IF(ROW()-1&lt;=$L$2+$M$2+$N$2,IFERROR(INDEX(CLOZE_LIST!$A:$K,ROW()-1-$L$2-$M$2+1,7),""),IF(ROW()-1&lt;=$L$2+$M$2+$N$2+$O$2,IFERROR(INDEX(PROFORMA!$A:$K,ROW()-1-$L$2-$M$2-$N$2+1,7),""),"")))))</f>
        <v>0</v>
      </c>
      <c r="H174" s="3">
        <f>IF(ROW()-1&lt;=0,"",IF(ROW()-1&lt;=$L$2,IFERROR(INDEX(MCQ!$A:$K,ROW()-1+1,8),""),IF(ROW()-1&lt;=$L$2+$M$2,IFERROR(INDEX(CLOZE_AB!$A:$K,ROW()-1-$L$2+1,8),""),IF(ROW()-1&lt;=$L$2+$M$2+$N$2,IFERROR(INDEX(CLOZE_LIST!$A:$K,ROW()-1-$L$2-$M$2+1,8),""),IF(ROW()-1&lt;=$L$2+$M$2+$N$2+$O$2,IFERROR(INDEX(PROFORMA!$A:$K,ROW()-1-$L$2-$M$2-$N$2+1,8),""),"")))))</f>
        <v>0</v>
      </c>
      <c r="I174" s="3">
        <f>IF(ROW()-1&lt;=0,"",IF(ROW()-1&lt;=$L$2,IFERROR(INDEX(MCQ!$A:$K,ROW()-1+1,9),""),IF(ROW()-1&lt;=$L$2+$M$2,IFERROR(INDEX(CLOZE_AB!$A:$K,ROW()-1-$L$2+1,9),""),IF(ROW()-1&lt;=$L$2+$M$2+$N$2,IFERROR(INDEX(CLOZE_LIST!$A:$K,ROW()-1-$L$2-$M$2+1,9),""),IF(ROW()-1&lt;=$L$2+$M$2+$N$2+$O$2,IFERROR(INDEX(PROFORMA!$A:$K,ROW()-1-$L$2-$M$2-$N$2+1,9),""),"")))))</f>
        <v>0</v>
      </c>
      <c r="J174" s="3">
        <f>IF(ROW()-1&lt;=0,"",IF(ROW()-1&lt;=$L$2,IFERROR(INDEX(MCQ!$A:$K,ROW()-1+1,10),""),IF(ROW()-1&lt;=$L$2+$M$2,IFERROR(INDEX(CLOZE_AB!$A:$K,ROW()-1-$L$2+1,10),""),IF(ROW()-1&lt;=$L$2+$M$2+$N$2,IFERROR(INDEX(CLOZE_LIST!$A:$K,ROW()-1-$L$2-$M$2+1,10),""),IF(ROW()-1&lt;=$L$2+$M$2+$N$2+$O$2,IFERROR(INDEX(PROFORMA!$A:$K,ROW()-1-$L$2-$M$2-$N$2+1,10),""),"")))))</f>
        <v>0</v>
      </c>
      <c r="K174" s="3">
        <f>IF(ROW()-1&lt;=0,"",IF(ROW()-1&lt;=$L$2,IFERROR(INDEX(MCQ!$A:$K,ROW()-1+1,11),""),IF(ROW()-1&lt;=$L$2+$M$2,IFERROR(INDEX(CLOZE_AB!$A:$K,ROW()-1-$L$2+1,11),""),IF(ROW()-1&lt;=$L$2+$M$2+$N$2,IFERROR(INDEX(CLOZE_LIST!$A:$K,ROW()-1-$L$2-$M$2+1,11),""),IF(ROW()-1&lt;=$L$2+$M$2+$N$2+$O$2,IFERROR(INDEX(PROFORMA!$A:$K,ROW()-1-$L$2-$M$2-$N$2+1,11),""),"")))))</f>
        <v>0</v>
      </c>
      <c r="L174" s="3">
        <f>COUNTA(MCQ!$A:$A)-1</f>
        <v>143</v>
      </c>
      <c r="M174" s="3">
        <f>COUNTA(CLOZE_AB!$A:$A)-1</f>
        <v>168</v>
      </c>
      <c r="N174" s="3">
        <f>COUNTA(CLOZE_LIST!$A:$A)-1</f>
        <v>199</v>
      </c>
      <c r="O174" s="3">
        <f>COUNTA(PROFORMA!$A:$A)-1</f>
        <v>199</v>
      </c>
    </row>
    <row r="175" spans="1:15" x14ac:dyDescent="0.3">
      <c r="A175" s="3" t="str">
        <f>IF(ROW()-1&lt;=0,"",IF(ROW()-1&lt;=$L$2,IFERROR(INDEX(MCQ!$A:$K,ROW()-1+1,1),""),IF(ROW()-1&lt;=$L$2+$M$2,IFERROR(INDEX(CLOZE_AB!$A:$K,ROW()-1-$L$2+1,1),""),IF(ROW()-1&lt;=$L$2+$M$2+$N$2,IFERROR(INDEX(CLOZE_LIST!$A:$K,ROW()-1-$L$2-$M$2+1,1),""),IF(ROW()-1&lt;=$L$2+$M$2+$N$2+$O$2,IFERROR(INDEX(PROFORMA!$A:$K,ROW()-1-$L$2-$M$2-$N$2+1,1),""),"")))))</f>
        <v/>
      </c>
      <c r="B175" s="3">
        <f>IF(ROW()-1&lt;=0,"",IF(ROW()-1&lt;=$L$2,IFERROR(INDEX(MCQ!$A:$K,ROW()-1+1,2),""),IF(ROW()-1&lt;=$L$2+$M$2,IFERROR(INDEX(CLOZE_AB!$A:$K,ROW()-1-$L$2+1,2),""),IF(ROW()-1&lt;=$L$2+$M$2+$N$2,IFERROR(INDEX(CLOZE_LIST!$A:$K,ROW()-1-$L$2-$M$2+1,2),""),IF(ROW()-1&lt;=$L$2+$M$2+$N$2+$O$2,IFERROR(INDEX(PROFORMA!$A:$K,ROW()-1-$L$2-$M$2-$N$2+1,2),""),"")))))</f>
        <v>0</v>
      </c>
      <c r="C175" s="3">
        <f>IF(ROW()-1&lt;=0,"",IF(ROW()-1&lt;=$L$2,IFERROR(INDEX(MCQ!$A:$K,ROW()-1+1,3),""),IF(ROW()-1&lt;=$L$2+$M$2,IFERROR(INDEX(CLOZE_AB!$A:$K,ROW()-1-$L$2+1,3),""),IF(ROW()-1&lt;=$L$2+$M$2+$N$2,IFERROR(INDEX(CLOZE_LIST!$A:$K,ROW()-1-$L$2-$M$2+1,3),""),IF(ROW()-1&lt;=$L$2+$M$2+$N$2+$O$2,IFERROR(INDEX(PROFORMA!$A:$K,ROW()-1-$L$2-$M$2-$N$2+1,3),""),"")))))</f>
        <v>0</v>
      </c>
      <c r="D175" s="3">
        <f>IF(ROW()-1&lt;=0,"",IF(ROW()-1&lt;=$L$2,IFERROR(INDEX(MCQ!$A:$K,ROW()-1+1,4),""),IF(ROW()-1&lt;=$L$2+$M$2,IFERROR(INDEX(CLOZE_AB!$A:$K,ROW()-1-$L$2+1,4),""),IF(ROW()-1&lt;=$L$2+$M$2+$N$2,IFERROR(INDEX(CLOZE_LIST!$A:$K,ROW()-1-$L$2-$M$2+1,4),""),IF(ROW()-1&lt;=$L$2+$M$2+$N$2+$O$2,IFERROR(INDEX(PROFORMA!$A:$K,ROW()-1-$L$2-$M$2-$N$2+1,4),""),"")))))</f>
        <v>0</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0</v>
      </c>
      <c r="G175" s="3">
        <f>IF(ROW()-1&lt;=0,"",IF(ROW()-1&lt;=$L$2,IFERROR(INDEX(MCQ!$A:$K,ROW()-1+1,7),""),IF(ROW()-1&lt;=$L$2+$M$2,IFERROR(INDEX(CLOZE_AB!$A:$K,ROW()-1-$L$2+1,7),""),IF(ROW()-1&lt;=$L$2+$M$2+$N$2,IFERROR(INDEX(CLOZE_LIST!$A:$K,ROW()-1-$L$2-$M$2+1,7),""),IF(ROW()-1&lt;=$L$2+$M$2+$N$2+$O$2,IFERROR(INDEX(PROFORMA!$A:$K,ROW()-1-$L$2-$M$2-$N$2+1,7),""),"")))))</f>
        <v>0</v>
      </c>
      <c r="H175" s="3">
        <f>IF(ROW()-1&lt;=0,"",IF(ROW()-1&lt;=$L$2,IFERROR(INDEX(MCQ!$A:$K,ROW()-1+1,8),""),IF(ROW()-1&lt;=$L$2+$M$2,IFERROR(INDEX(CLOZE_AB!$A:$K,ROW()-1-$L$2+1,8),""),IF(ROW()-1&lt;=$L$2+$M$2+$N$2,IFERROR(INDEX(CLOZE_LIST!$A:$K,ROW()-1-$L$2-$M$2+1,8),""),IF(ROW()-1&lt;=$L$2+$M$2+$N$2+$O$2,IFERROR(INDEX(PROFORMA!$A:$K,ROW()-1-$L$2-$M$2-$N$2+1,8),""),"")))))</f>
        <v>0</v>
      </c>
      <c r="I175" s="3">
        <f>IF(ROW()-1&lt;=0,"",IF(ROW()-1&lt;=$L$2,IFERROR(INDEX(MCQ!$A:$K,ROW()-1+1,9),""),IF(ROW()-1&lt;=$L$2+$M$2,IFERROR(INDEX(CLOZE_AB!$A:$K,ROW()-1-$L$2+1,9),""),IF(ROW()-1&lt;=$L$2+$M$2+$N$2,IFERROR(INDEX(CLOZE_LIST!$A:$K,ROW()-1-$L$2-$M$2+1,9),""),IF(ROW()-1&lt;=$L$2+$M$2+$N$2+$O$2,IFERROR(INDEX(PROFORMA!$A:$K,ROW()-1-$L$2-$M$2-$N$2+1,9),""),"")))))</f>
        <v>0</v>
      </c>
      <c r="J175" s="3">
        <f>IF(ROW()-1&lt;=0,"",IF(ROW()-1&lt;=$L$2,IFERROR(INDEX(MCQ!$A:$K,ROW()-1+1,10),""),IF(ROW()-1&lt;=$L$2+$M$2,IFERROR(INDEX(CLOZE_AB!$A:$K,ROW()-1-$L$2+1,10),""),IF(ROW()-1&lt;=$L$2+$M$2+$N$2,IFERROR(INDEX(CLOZE_LIST!$A:$K,ROW()-1-$L$2-$M$2+1,10),""),IF(ROW()-1&lt;=$L$2+$M$2+$N$2+$O$2,IFERROR(INDEX(PROFORMA!$A:$K,ROW()-1-$L$2-$M$2-$N$2+1,10),""),"")))))</f>
        <v>0</v>
      </c>
      <c r="K175" s="3">
        <f>IF(ROW()-1&lt;=0,"",IF(ROW()-1&lt;=$L$2,IFERROR(INDEX(MCQ!$A:$K,ROW()-1+1,11),""),IF(ROW()-1&lt;=$L$2+$M$2,IFERROR(INDEX(CLOZE_AB!$A:$K,ROW()-1-$L$2+1,11),""),IF(ROW()-1&lt;=$L$2+$M$2+$N$2,IFERROR(INDEX(CLOZE_LIST!$A:$K,ROW()-1-$L$2-$M$2+1,11),""),IF(ROW()-1&lt;=$L$2+$M$2+$N$2+$O$2,IFERROR(INDEX(PROFORMA!$A:$K,ROW()-1-$L$2-$M$2-$N$2+1,11),""),"")))))</f>
        <v>0</v>
      </c>
      <c r="L175" s="3">
        <f>COUNTA(MCQ!$A:$A)-1</f>
        <v>143</v>
      </c>
      <c r="M175" s="3">
        <f>COUNTA(CLOZE_AB!$A:$A)-1</f>
        <v>168</v>
      </c>
      <c r="N175" s="3">
        <f>COUNTA(CLOZE_LIST!$A:$A)-1</f>
        <v>199</v>
      </c>
      <c r="O175" s="3">
        <f>COUNTA(PROFORMA!$A:$A)-1</f>
        <v>199</v>
      </c>
    </row>
    <row r="176" spans="1:15" x14ac:dyDescent="0.3">
      <c r="A176" s="3" t="str">
        <f>IF(ROW()-1&lt;=0,"",IF(ROW()-1&lt;=$L$2,IFERROR(INDEX(MCQ!$A:$K,ROW()-1+1,1),""),IF(ROW()-1&lt;=$L$2+$M$2,IFERROR(INDEX(CLOZE_AB!$A:$K,ROW()-1-$L$2+1,1),""),IF(ROW()-1&lt;=$L$2+$M$2+$N$2,IFERROR(INDEX(CLOZE_LIST!$A:$K,ROW()-1-$L$2-$M$2+1,1),""),IF(ROW()-1&lt;=$L$2+$M$2+$N$2+$O$2,IFERROR(INDEX(PROFORMA!$A:$K,ROW()-1-$L$2-$M$2-$N$2+1,1),""),"")))))</f>
        <v/>
      </c>
      <c r="B176" s="3">
        <f>IF(ROW()-1&lt;=0,"",IF(ROW()-1&lt;=$L$2,IFERROR(INDEX(MCQ!$A:$K,ROW()-1+1,2),""),IF(ROW()-1&lt;=$L$2+$M$2,IFERROR(INDEX(CLOZE_AB!$A:$K,ROW()-1-$L$2+1,2),""),IF(ROW()-1&lt;=$L$2+$M$2+$N$2,IFERROR(INDEX(CLOZE_LIST!$A:$K,ROW()-1-$L$2-$M$2+1,2),""),IF(ROW()-1&lt;=$L$2+$M$2+$N$2+$O$2,IFERROR(INDEX(PROFORMA!$A:$K,ROW()-1-$L$2-$M$2-$N$2+1,2),""),"")))))</f>
        <v>0</v>
      </c>
      <c r="C176" s="3">
        <f>IF(ROW()-1&lt;=0,"",IF(ROW()-1&lt;=$L$2,IFERROR(INDEX(MCQ!$A:$K,ROW()-1+1,3),""),IF(ROW()-1&lt;=$L$2+$M$2,IFERROR(INDEX(CLOZE_AB!$A:$K,ROW()-1-$L$2+1,3),""),IF(ROW()-1&lt;=$L$2+$M$2+$N$2,IFERROR(INDEX(CLOZE_LIST!$A:$K,ROW()-1-$L$2-$M$2+1,3),""),IF(ROW()-1&lt;=$L$2+$M$2+$N$2+$O$2,IFERROR(INDEX(PROFORMA!$A:$K,ROW()-1-$L$2-$M$2-$N$2+1,3),""),"")))))</f>
        <v>0</v>
      </c>
      <c r="D176" s="3">
        <f>IF(ROW()-1&lt;=0,"",IF(ROW()-1&lt;=$L$2,IFERROR(INDEX(MCQ!$A:$K,ROW()-1+1,4),""),IF(ROW()-1&lt;=$L$2+$M$2,IFERROR(INDEX(CLOZE_AB!$A:$K,ROW()-1-$L$2+1,4),""),IF(ROW()-1&lt;=$L$2+$M$2+$N$2,IFERROR(INDEX(CLOZE_LIST!$A:$K,ROW()-1-$L$2-$M$2+1,4),""),IF(ROW()-1&lt;=$L$2+$M$2+$N$2+$O$2,IFERROR(INDEX(PROFORMA!$A:$K,ROW()-1-$L$2-$M$2-$N$2+1,4),""),"")))))</f>
        <v>0</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0</v>
      </c>
      <c r="G176" s="3">
        <f>IF(ROW()-1&lt;=0,"",IF(ROW()-1&lt;=$L$2,IFERROR(INDEX(MCQ!$A:$K,ROW()-1+1,7),""),IF(ROW()-1&lt;=$L$2+$M$2,IFERROR(INDEX(CLOZE_AB!$A:$K,ROW()-1-$L$2+1,7),""),IF(ROW()-1&lt;=$L$2+$M$2+$N$2,IFERROR(INDEX(CLOZE_LIST!$A:$K,ROW()-1-$L$2-$M$2+1,7),""),IF(ROW()-1&lt;=$L$2+$M$2+$N$2+$O$2,IFERROR(INDEX(PROFORMA!$A:$K,ROW()-1-$L$2-$M$2-$N$2+1,7),""),"")))))</f>
        <v>0</v>
      </c>
      <c r="H176" s="3">
        <f>IF(ROW()-1&lt;=0,"",IF(ROW()-1&lt;=$L$2,IFERROR(INDEX(MCQ!$A:$K,ROW()-1+1,8),""),IF(ROW()-1&lt;=$L$2+$M$2,IFERROR(INDEX(CLOZE_AB!$A:$K,ROW()-1-$L$2+1,8),""),IF(ROW()-1&lt;=$L$2+$M$2+$N$2,IFERROR(INDEX(CLOZE_LIST!$A:$K,ROW()-1-$L$2-$M$2+1,8),""),IF(ROW()-1&lt;=$L$2+$M$2+$N$2+$O$2,IFERROR(INDEX(PROFORMA!$A:$K,ROW()-1-$L$2-$M$2-$N$2+1,8),""),"")))))</f>
        <v>0</v>
      </c>
      <c r="I176" s="3">
        <f>IF(ROW()-1&lt;=0,"",IF(ROW()-1&lt;=$L$2,IFERROR(INDEX(MCQ!$A:$K,ROW()-1+1,9),""),IF(ROW()-1&lt;=$L$2+$M$2,IFERROR(INDEX(CLOZE_AB!$A:$K,ROW()-1-$L$2+1,9),""),IF(ROW()-1&lt;=$L$2+$M$2+$N$2,IFERROR(INDEX(CLOZE_LIST!$A:$K,ROW()-1-$L$2-$M$2+1,9),""),IF(ROW()-1&lt;=$L$2+$M$2+$N$2+$O$2,IFERROR(INDEX(PROFORMA!$A:$K,ROW()-1-$L$2-$M$2-$N$2+1,9),""),"")))))</f>
        <v>0</v>
      </c>
      <c r="J176" s="3">
        <f>IF(ROW()-1&lt;=0,"",IF(ROW()-1&lt;=$L$2,IFERROR(INDEX(MCQ!$A:$K,ROW()-1+1,10),""),IF(ROW()-1&lt;=$L$2+$M$2,IFERROR(INDEX(CLOZE_AB!$A:$K,ROW()-1-$L$2+1,10),""),IF(ROW()-1&lt;=$L$2+$M$2+$N$2,IFERROR(INDEX(CLOZE_LIST!$A:$K,ROW()-1-$L$2-$M$2+1,10),""),IF(ROW()-1&lt;=$L$2+$M$2+$N$2+$O$2,IFERROR(INDEX(PROFORMA!$A:$K,ROW()-1-$L$2-$M$2-$N$2+1,10),""),"")))))</f>
        <v>0</v>
      </c>
      <c r="K176" s="3">
        <f>IF(ROW()-1&lt;=0,"",IF(ROW()-1&lt;=$L$2,IFERROR(INDEX(MCQ!$A:$K,ROW()-1+1,11),""),IF(ROW()-1&lt;=$L$2+$M$2,IFERROR(INDEX(CLOZE_AB!$A:$K,ROW()-1-$L$2+1,11),""),IF(ROW()-1&lt;=$L$2+$M$2+$N$2,IFERROR(INDEX(CLOZE_LIST!$A:$K,ROW()-1-$L$2-$M$2+1,11),""),IF(ROW()-1&lt;=$L$2+$M$2+$N$2+$O$2,IFERROR(INDEX(PROFORMA!$A:$K,ROW()-1-$L$2-$M$2-$N$2+1,11),""),"")))))</f>
        <v>0</v>
      </c>
      <c r="L176" s="3">
        <f>COUNTA(MCQ!$A:$A)-1</f>
        <v>143</v>
      </c>
      <c r="M176" s="3">
        <f>COUNTA(CLOZE_AB!$A:$A)-1</f>
        <v>168</v>
      </c>
      <c r="N176" s="3">
        <f>COUNTA(CLOZE_LIST!$A:$A)-1</f>
        <v>199</v>
      </c>
      <c r="O176" s="3">
        <f>COUNTA(PROFORMA!$A:$A)-1</f>
        <v>199</v>
      </c>
    </row>
    <row r="177" spans="1:15" x14ac:dyDescent="0.3">
      <c r="A177" s="3" t="str">
        <f>IF(ROW()-1&lt;=0,"",IF(ROW()-1&lt;=$L$2,IFERROR(INDEX(MCQ!$A:$K,ROW()-1+1,1),""),IF(ROW()-1&lt;=$L$2+$M$2,IFERROR(INDEX(CLOZE_AB!$A:$K,ROW()-1-$L$2+1,1),""),IF(ROW()-1&lt;=$L$2+$M$2+$N$2,IFERROR(INDEX(CLOZE_LIST!$A:$K,ROW()-1-$L$2-$M$2+1,1),""),IF(ROW()-1&lt;=$L$2+$M$2+$N$2+$O$2,IFERROR(INDEX(PROFORMA!$A:$K,ROW()-1-$L$2-$M$2-$N$2+1,1),""),"")))))</f>
        <v/>
      </c>
      <c r="B177" s="3">
        <f>IF(ROW()-1&lt;=0,"",IF(ROW()-1&lt;=$L$2,IFERROR(INDEX(MCQ!$A:$K,ROW()-1+1,2),""),IF(ROW()-1&lt;=$L$2+$M$2,IFERROR(INDEX(CLOZE_AB!$A:$K,ROW()-1-$L$2+1,2),""),IF(ROW()-1&lt;=$L$2+$M$2+$N$2,IFERROR(INDEX(CLOZE_LIST!$A:$K,ROW()-1-$L$2-$M$2+1,2),""),IF(ROW()-1&lt;=$L$2+$M$2+$N$2+$O$2,IFERROR(INDEX(PROFORMA!$A:$K,ROW()-1-$L$2-$M$2-$N$2+1,2),""),"")))))</f>
        <v>0</v>
      </c>
      <c r="C177" s="3">
        <f>IF(ROW()-1&lt;=0,"",IF(ROW()-1&lt;=$L$2,IFERROR(INDEX(MCQ!$A:$K,ROW()-1+1,3),""),IF(ROW()-1&lt;=$L$2+$M$2,IFERROR(INDEX(CLOZE_AB!$A:$K,ROW()-1-$L$2+1,3),""),IF(ROW()-1&lt;=$L$2+$M$2+$N$2,IFERROR(INDEX(CLOZE_LIST!$A:$K,ROW()-1-$L$2-$M$2+1,3),""),IF(ROW()-1&lt;=$L$2+$M$2+$N$2+$O$2,IFERROR(INDEX(PROFORMA!$A:$K,ROW()-1-$L$2-$M$2-$N$2+1,3),""),"")))))</f>
        <v>0</v>
      </c>
      <c r="D177" s="3">
        <f>IF(ROW()-1&lt;=0,"",IF(ROW()-1&lt;=$L$2,IFERROR(INDEX(MCQ!$A:$K,ROW()-1+1,4),""),IF(ROW()-1&lt;=$L$2+$M$2,IFERROR(INDEX(CLOZE_AB!$A:$K,ROW()-1-$L$2+1,4),""),IF(ROW()-1&lt;=$L$2+$M$2+$N$2,IFERROR(INDEX(CLOZE_LIST!$A:$K,ROW()-1-$L$2-$M$2+1,4),""),IF(ROW()-1&lt;=$L$2+$M$2+$N$2+$O$2,IFERROR(INDEX(PROFORMA!$A:$K,ROW()-1-$L$2-$M$2-$N$2+1,4),""),"")))))</f>
        <v>0</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0</v>
      </c>
      <c r="G177" s="3">
        <f>IF(ROW()-1&lt;=0,"",IF(ROW()-1&lt;=$L$2,IFERROR(INDEX(MCQ!$A:$K,ROW()-1+1,7),""),IF(ROW()-1&lt;=$L$2+$M$2,IFERROR(INDEX(CLOZE_AB!$A:$K,ROW()-1-$L$2+1,7),""),IF(ROW()-1&lt;=$L$2+$M$2+$N$2,IFERROR(INDEX(CLOZE_LIST!$A:$K,ROW()-1-$L$2-$M$2+1,7),""),IF(ROW()-1&lt;=$L$2+$M$2+$N$2+$O$2,IFERROR(INDEX(PROFORMA!$A:$K,ROW()-1-$L$2-$M$2-$N$2+1,7),""),"")))))</f>
        <v>0</v>
      </c>
      <c r="H177" s="3">
        <f>IF(ROW()-1&lt;=0,"",IF(ROW()-1&lt;=$L$2,IFERROR(INDEX(MCQ!$A:$K,ROW()-1+1,8),""),IF(ROW()-1&lt;=$L$2+$M$2,IFERROR(INDEX(CLOZE_AB!$A:$K,ROW()-1-$L$2+1,8),""),IF(ROW()-1&lt;=$L$2+$M$2+$N$2,IFERROR(INDEX(CLOZE_LIST!$A:$K,ROW()-1-$L$2-$M$2+1,8),""),IF(ROW()-1&lt;=$L$2+$M$2+$N$2+$O$2,IFERROR(INDEX(PROFORMA!$A:$K,ROW()-1-$L$2-$M$2-$N$2+1,8),""),"")))))</f>
        <v>0</v>
      </c>
      <c r="I177" s="3">
        <f>IF(ROW()-1&lt;=0,"",IF(ROW()-1&lt;=$L$2,IFERROR(INDEX(MCQ!$A:$K,ROW()-1+1,9),""),IF(ROW()-1&lt;=$L$2+$M$2,IFERROR(INDEX(CLOZE_AB!$A:$K,ROW()-1-$L$2+1,9),""),IF(ROW()-1&lt;=$L$2+$M$2+$N$2,IFERROR(INDEX(CLOZE_LIST!$A:$K,ROW()-1-$L$2-$M$2+1,9),""),IF(ROW()-1&lt;=$L$2+$M$2+$N$2+$O$2,IFERROR(INDEX(PROFORMA!$A:$K,ROW()-1-$L$2-$M$2-$N$2+1,9),""),"")))))</f>
        <v>0</v>
      </c>
      <c r="J177" s="3">
        <f>IF(ROW()-1&lt;=0,"",IF(ROW()-1&lt;=$L$2,IFERROR(INDEX(MCQ!$A:$K,ROW()-1+1,10),""),IF(ROW()-1&lt;=$L$2+$M$2,IFERROR(INDEX(CLOZE_AB!$A:$K,ROW()-1-$L$2+1,10),""),IF(ROW()-1&lt;=$L$2+$M$2+$N$2,IFERROR(INDEX(CLOZE_LIST!$A:$K,ROW()-1-$L$2-$M$2+1,10),""),IF(ROW()-1&lt;=$L$2+$M$2+$N$2+$O$2,IFERROR(INDEX(PROFORMA!$A:$K,ROW()-1-$L$2-$M$2-$N$2+1,10),""),"")))))</f>
        <v>0</v>
      </c>
      <c r="K177" s="3">
        <f>IF(ROW()-1&lt;=0,"",IF(ROW()-1&lt;=$L$2,IFERROR(INDEX(MCQ!$A:$K,ROW()-1+1,11),""),IF(ROW()-1&lt;=$L$2+$M$2,IFERROR(INDEX(CLOZE_AB!$A:$K,ROW()-1-$L$2+1,11),""),IF(ROW()-1&lt;=$L$2+$M$2+$N$2,IFERROR(INDEX(CLOZE_LIST!$A:$K,ROW()-1-$L$2-$M$2+1,11),""),IF(ROW()-1&lt;=$L$2+$M$2+$N$2+$O$2,IFERROR(INDEX(PROFORMA!$A:$K,ROW()-1-$L$2-$M$2-$N$2+1,11),""),"")))))</f>
        <v>0</v>
      </c>
      <c r="L177" s="3">
        <f>COUNTA(MCQ!$A:$A)-1</f>
        <v>143</v>
      </c>
      <c r="M177" s="3">
        <f>COUNTA(CLOZE_AB!$A:$A)-1</f>
        <v>168</v>
      </c>
      <c r="N177" s="3">
        <f>COUNTA(CLOZE_LIST!$A:$A)-1</f>
        <v>199</v>
      </c>
      <c r="O177" s="3">
        <f>COUNTA(PROFORMA!$A:$A)-1</f>
        <v>199</v>
      </c>
    </row>
    <row r="178" spans="1:15" x14ac:dyDescent="0.3">
      <c r="A178" s="3" t="str">
        <f>IF(ROW()-1&lt;=0,"",IF(ROW()-1&lt;=$L$2,IFERROR(INDEX(MCQ!$A:$K,ROW()-1+1,1),""),IF(ROW()-1&lt;=$L$2+$M$2,IFERROR(INDEX(CLOZE_AB!$A:$K,ROW()-1-$L$2+1,1),""),IF(ROW()-1&lt;=$L$2+$M$2+$N$2,IFERROR(INDEX(CLOZE_LIST!$A:$K,ROW()-1-$L$2-$M$2+1,1),""),IF(ROW()-1&lt;=$L$2+$M$2+$N$2+$O$2,IFERROR(INDEX(PROFORMA!$A:$K,ROW()-1-$L$2-$M$2-$N$2+1,1),""),"")))))</f>
        <v/>
      </c>
      <c r="B178" s="3">
        <f>IF(ROW()-1&lt;=0,"",IF(ROW()-1&lt;=$L$2,IFERROR(INDEX(MCQ!$A:$K,ROW()-1+1,2),""),IF(ROW()-1&lt;=$L$2+$M$2,IFERROR(INDEX(CLOZE_AB!$A:$K,ROW()-1-$L$2+1,2),""),IF(ROW()-1&lt;=$L$2+$M$2+$N$2,IFERROR(INDEX(CLOZE_LIST!$A:$K,ROW()-1-$L$2-$M$2+1,2),""),IF(ROW()-1&lt;=$L$2+$M$2+$N$2+$O$2,IFERROR(INDEX(PROFORMA!$A:$K,ROW()-1-$L$2-$M$2-$N$2+1,2),""),"")))))</f>
        <v>0</v>
      </c>
      <c r="C178" s="3">
        <f>IF(ROW()-1&lt;=0,"",IF(ROW()-1&lt;=$L$2,IFERROR(INDEX(MCQ!$A:$K,ROW()-1+1,3),""),IF(ROW()-1&lt;=$L$2+$M$2,IFERROR(INDEX(CLOZE_AB!$A:$K,ROW()-1-$L$2+1,3),""),IF(ROW()-1&lt;=$L$2+$M$2+$N$2,IFERROR(INDEX(CLOZE_LIST!$A:$K,ROW()-1-$L$2-$M$2+1,3),""),IF(ROW()-1&lt;=$L$2+$M$2+$N$2+$O$2,IFERROR(INDEX(PROFORMA!$A:$K,ROW()-1-$L$2-$M$2-$N$2+1,3),""),"")))))</f>
        <v>0</v>
      </c>
      <c r="D178" s="3">
        <f>IF(ROW()-1&lt;=0,"",IF(ROW()-1&lt;=$L$2,IFERROR(INDEX(MCQ!$A:$K,ROW()-1+1,4),""),IF(ROW()-1&lt;=$L$2+$M$2,IFERROR(INDEX(CLOZE_AB!$A:$K,ROW()-1-$L$2+1,4),""),IF(ROW()-1&lt;=$L$2+$M$2+$N$2,IFERROR(INDEX(CLOZE_LIST!$A:$K,ROW()-1-$L$2-$M$2+1,4),""),IF(ROW()-1&lt;=$L$2+$M$2+$N$2+$O$2,IFERROR(INDEX(PROFORMA!$A:$K,ROW()-1-$L$2-$M$2-$N$2+1,4),""),"")))))</f>
        <v>0</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0</v>
      </c>
      <c r="G178" s="3">
        <f>IF(ROW()-1&lt;=0,"",IF(ROW()-1&lt;=$L$2,IFERROR(INDEX(MCQ!$A:$K,ROW()-1+1,7),""),IF(ROW()-1&lt;=$L$2+$M$2,IFERROR(INDEX(CLOZE_AB!$A:$K,ROW()-1-$L$2+1,7),""),IF(ROW()-1&lt;=$L$2+$M$2+$N$2,IFERROR(INDEX(CLOZE_LIST!$A:$K,ROW()-1-$L$2-$M$2+1,7),""),IF(ROW()-1&lt;=$L$2+$M$2+$N$2+$O$2,IFERROR(INDEX(PROFORMA!$A:$K,ROW()-1-$L$2-$M$2-$N$2+1,7),""),"")))))</f>
        <v>0</v>
      </c>
      <c r="H178" s="3">
        <f>IF(ROW()-1&lt;=0,"",IF(ROW()-1&lt;=$L$2,IFERROR(INDEX(MCQ!$A:$K,ROW()-1+1,8),""),IF(ROW()-1&lt;=$L$2+$M$2,IFERROR(INDEX(CLOZE_AB!$A:$K,ROW()-1-$L$2+1,8),""),IF(ROW()-1&lt;=$L$2+$M$2+$N$2,IFERROR(INDEX(CLOZE_LIST!$A:$K,ROW()-1-$L$2-$M$2+1,8),""),IF(ROW()-1&lt;=$L$2+$M$2+$N$2+$O$2,IFERROR(INDEX(PROFORMA!$A:$K,ROW()-1-$L$2-$M$2-$N$2+1,8),""),"")))))</f>
        <v>0</v>
      </c>
      <c r="I178" s="3">
        <f>IF(ROW()-1&lt;=0,"",IF(ROW()-1&lt;=$L$2,IFERROR(INDEX(MCQ!$A:$K,ROW()-1+1,9),""),IF(ROW()-1&lt;=$L$2+$M$2,IFERROR(INDEX(CLOZE_AB!$A:$K,ROW()-1-$L$2+1,9),""),IF(ROW()-1&lt;=$L$2+$M$2+$N$2,IFERROR(INDEX(CLOZE_LIST!$A:$K,ROW()-1-$L$2-$M$2+1,9),""),IF(ROW()-1&lt;=$L$2+$M$2+$N$2+$O$2,IFERROR(INDEX(PROFORMA!$A:$K,ROW()-1-$L$2-$M$2-$N$2+1,9),""),"")))))</f>
        <v>0</v>
      </c>
      <c r="J178" s="3">
        <f>IF(ROW()-1&lt;=0,"",IF(ROW()-1&lt;=$L$2,IFERROR(INDEX(MCQ!$A:$K,ROW()-1+1,10),""),IF(ROW()-1&lt;=$L$2+$M$2,IFERROR(INDEX(CLOZE_AB!$A:$K,ROW()-1-$L$2+1,10),""),IF(ROW()-1&lt;=$L$2+$M$2+$N$2,IFERROR(INDEX(CLOZE_LIST!$A:$K,ROW()-1-$L$2-$M$2+1,10),""),IF(ROW()-1&lt;=$L$2+$M$2+$N$2+$O$2,IFERROR(INDEX(PROFORMA!$A:$K,ROW()-1-$L$2-$M$2-$N$2+1,10),""),"")))))</f>
        <v>0</v>
      </c>
      <c r="K178" s="3">
        <f>IF(ROW()-1&lt;=0,"",IF(ROW()-1&lt;=$L$2,IFERROR(INDEX(MCQ!$A:$K,ROW()-1+1,11),""),IF(ROW()-1&lt;=$L$2+$M$2,IFERROR(INDEX(CLOZE_AB!$A:$K,ROW()-1-$L$2+1,11),""),IF(ROW()-1&lt;=$L$2+$M$2+$N$2,IFERROR(INDEX(CLOZE_LIST!$A:$K,ROW()-1-$L$2-$M$2+1,11),""),IF(ROW()-1&lt;=$L$2+$M$2+$N$2+$O$2,IFERROR(INDEX(PROFORMA!$A:$K,ROW()-1-$L$2-$M$2-$N$2+1,11),""),"")))))</f>
        <v>0</v>
      </c>
      <c r="L178" s="3">
        <f>COUNTA(MCQ!$A:$A)-1</f>
        <v>143</v>
      </c>
      <c r="M178" s="3">
        <f>COUNTA(CLOZE_AB!$A:$A)-1</f>
        <v>168</v>
      </c>
      <c r="N178" s="3">
        <f>COUNTA(CLOZE_LIST!$A:$A)-1</f>
        <v>199</v>
      </c>
      <c r="O178" s="3">
        <f>COUNTA(PROFORMA!$A:$A)-1</f>
        <v>199</v>
      </c>
    </row>
    <row r="179" spans="1:15" x14ac:dyDescent="0.3">
      <c r="A179" s="3" t="str">
        <f>IF(ROW()-1&lt;=0,"",IF(ROW()-1&lt;=$L$2,IFERROR(INDEX(MCQ!$A:$K,ROW()-1+1,1),""),IF(ROW()-1&lt;=$L$2+$M$2,IFERROR(INDEX(CLOZE_AB!$A:$K,ROW()-1-$L$2+1,1),""),IF(ROW()-1&lt;=$L$2+$M$2+$N$2,IFERROR(INDEX(CLOZE_LIST!$A:$K,ROW()-1-$L$2-$M$2+1,1),""),IF(ROW()-1&lt;=$L$2+$M$2+$N$2+$O$2,IFERROR(INDEX(PROFORMA!$A:$K,ROW()-1-$L$2-$M$2-$N$2+1,1),""),"")))))</f>
        <v/>
      </c>
      <c r="B179" s="3">
        <f>IF(ROW()-1&lt;=0,"",IF(ROW()-1&lt;=$L$2,IFERROR(INDEX(MCQ!$A:$K,ROW()-1+1,2),""),IF(ROW()-1&lt;=$L$2+$M$2,IFERROR(INDEX(CLOZE_AB!$A:$K,ROW()-1-$L$2+1,2),""),IF(ROW()-1&lt;=$L$2+$M$2+$N$2,IFERROR(INDEX(CLOZE_LIST!$A:$K,ROW()-1-$L$2-$M$2+1,2),""),IF(ROW()-1&lt;=$L$2+$M$2+$N$2+$O$2,IFERROR(INDEX(PROFORMA!$A:$K,ROW()-1-$L$2-$M$2-$N$2+1,2),""),"")))))</f>
        <v>0</v>
      </c>
      <c r="C179" s="3">
        <f>IF(ROW()-1&lt;=0,"",IF(ROW()-1&lt;=$L$2,IFERROR(INDEX(MCQ!$A:$K,ROW()-1+1,3),""),IF(ROW()-1&lt;=$L$2+$M$2,IFERROR(INDEX(CLOZE_AB!$A:$K,ROW()-1-$L$2+1,3),""),IF(ROW()-1&lt;=$L$2+$M$2+$N$2,IFERROR(INDEX(CLOZE_LIST!$A:$K,ROW()-1-$L$2-$M$2+1,3),""),IF(ROW()-1&lt;=$L$2+$M$2+$N$2+$O$2,IFERROR(INDEX(PROFORMA!$A:$K,ROW()-1-$L$2-$M$2-$N$2+1,3),""),"")))))</f>
        <v>0</v>
      </c>
      <c r="D179" s="3">
        <f>IF(ROW()-1&lt;=0,"",IF(ROW()-1&lt;=$L$2,IFERROR(INDEX(MCQ!$A:$K,ROW()-1+1,4),""),IF(ROW()-1&lt;=$L$2+$M$2,IFERROR(INDEX(CLOZE_AB!$A:$K,ROW()-1-$L$2+1,4),""),IF(ROW()-1&lt;=$L$2+$M$2+$N$2,IFERROR(INDEX(CLOZE_LIST!$A:$K,ROW()-1-$L$2-$M$2+1,4),""),IF(ROW()-1&lt;=$L$2+$M$2+$N$2+$O$2,IFERROR(INDEX(PROFORMA!$A:$K,ROW()-1-$L$2-$M$2-$N$2+1,4),""),"")))))</f>
        <v>0</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0</v>
      </c>
      <c r="G179" s="3">
        <f>IF(ROW()-1&lt;=0,"",IF(ROW()-1&lt;=$L$2,IFERROR(INDEX(MCQ!$A:$K,ROW()-1+1,7),""),IF(ROW()-1&lt;=$L$2+$M$2,IFERROR(INDEX(CLOZE_AB!$A:$K,ROW()-1-$L$2+1,7),""),IF(ROW()-1&lt;=$L$2+$M$2+$N$2,IFERROR(INDEX(CLOZE_LIST!$A:$K,ROW()-1-$L$2-$M$2+1,7),""),IF(ROW()-1&lt;=$L$2+$M$2+$N$2+$O$2,IFERROR(INDEX(PROFORMA!$A:$K,ROW()-1-$L$2-$M$2-$N$2+1,7),""),"")))))</f>
        <v>0</v>
      </c>
      <c r="H179" s="3">
        <f>IF(ROW()-1&lt;=0,"",IF(ROW()-1&lt;=$L$2,IFERROR(INDEX(MCQ!$A:$K,ROW()-1+1,8),""),IF(ROW()-1&lt;=$L$2+$M$2,IFERROR(INDEX(CLOZE_AB!$A:$K,ROW()-1-$L$2+1,8),""),IF(ROW()-1&lt;=$L$2+$M$2+$N$2,IFERROR(INDEX(CLOZE_LIST!$A:$K,ROW()-1-$L$2-$M$2+1,8),""),IF(ROW()-1&lt;=$L$2+$M$2+$N$2+$O$2,IFERROR(INDEX(PROFORMA!$A:$K,ROW()-1-$L$2-$M$2-$N$2+1,8),""),"")))))</f>
        <v>0</v>
      </c>
      <c r="I179" s="3">
        <f>IF(ROW()-1&lt;=0,"",IF(ROW()-1&lt;=$L$2,IFERROR(INDEX(MCQ!$A:$K,ROW()-1+1,9),""),IF(ROW()-1&lt;=$L$2+$M$2,IFERROR(INDEX(CLOZE_AB!$A:$K,ROW()-1-$L$2+1,9),""),IF(ROW()-1&lt;=$L$2+$M$2+$N$2,IFERROR(INDEX(CLOZE_LIST!$A:$K,ROW()-1-$L$2-$M$2+1,9),""),IF(ROW()-1&lt;=$L$2+$M$2+$N$2+$O$2,IFERROR(INDEX(PROFORMA!$A:$K,ROW()-1-$L$2-$M$2-$N$2+1,9),""),"")))))</f>
        <v>0</v>
      </c>
      <c r="J179" s="3">
        <f>IF(ROW()-1&lt;=0,"",IF(ROW()-1&lt;=$L$2,IFERROR(INDEX(MCQ!$A:$K,ROW()-1+1,10),""),IF(ROW()-1&lt;=$L$2+$M$2,IFERROR(INDEX(CLOZE_AB!$A:$K,ROW()-1-$L$2+1,10),""),IF(ROW()-1&lt;=$L$2+$M$2+$N$2,IFERROR(INDEX(CLOZE_LIST!$A:$K,ROW()-1-$L$2-$M$2+1,10),""),IF(ROW()-1&lt;=$L$2+$M$2+$N$2+$O$2,IFERROR(INDEX(PROFORMA!$A:$K,ROW()-1-$L$2-$M$2-$N$2+1,10),""),"")))))</f>
        <v>0</v>
      </c>
      <c r="K179" s="3">
        <f>IF(ROW()-1&lt;=0,"",IF(ROW()-1&lt;=$L$2,IFERROR(INDEX(MCQ!$A:$K,ROW()-1+1,11),""),IF(ROW()-1&lt;=$L$2+$M$2,IFERROR(INDEX(CLOZE_AB!$A:$K,ROW()-1-$L$2+1,11),""),IF(ROW()-1&lt;=$L$2+$M$2+$N$2,IFERROR(INDEX(CLOZE_LIST!$A:$K,ROW()-1-$L$2-$M$2+1,11),""),IF(ROW()-1&lt;=$L$2+$M$2+$N$2+$O$2,IFERROR(INDEX(PROFORMA!$A:$K,ROW()-1-$L$2-$M$2-$N$2+1,11),""),"")))))</f>
        <v>0</v>
      </c>
      <c r="L179" s="3">
        <f>COUNTA(MCQ!$A:$A)-1</f>
        <v>143</v>
      </c>
      <c r="M179" s="3">
        <f>COUNTA(CLOZE_AB!$A:$A)-1</f>
        <v>168</v>
      </c>
      <c r="N179" s="3">
        <f>COUNTA(CLOZE_LIST!$A:$A)-1</f>
        <v>199</v>
      </c>
      <c r="O179" s="3">
        <f>COUNTA(PROFORMA!$A:$A)-1</f>
        <v>199</v>
      </c>
    </row>
    <row r="180" spans="1:15" x14ac:dyDescent="0.3">
      <c r="A180" s="3" t="str">
        <f>IF(ROW()-1&lt;=0,"",IF(ROW()-1&lt;=$L$2,IFERROR(INDEX(MCQ!$A:$K,ROW()-1+1,1),""),IF(ROW()-1&lt;=$L$2+$M$2,IFERROR(INDEX(CLOZE_AB!$A:$K,ROW()-1-$L$2+1,1),""),IF(ROW()-1&lt;=$L$2+$M$2+$N$2,IFERROR(INDEX(CLOZE_LIST!$A:$K,ROW()-1-$L$2-$M$2+1,1),""),IF(ROW()-1&lt;=$L$2+$M$2+$N$2+$O$2,IFERROR(INDEX(PROFORMA!$A:$K,ROW()-1-$L$2-$M$2-$N$2+1,1),""),"")))))</f>
        <v/>
      </c>
      <c r="B180" s="3">
        <f>IF(ROW()-1&lt;=0,"",IF(ROW()-1&lt;=$L$2,IFERROR(INDEX(MCQ!$A:$K,ROW()-1+1,2),""),IF(ROW()-1&lt;=$L$2+$M$2,IFERROR(INDEX(CLOZE_AB!$A:$K,ROW()-1-$L$2+1,2),""),IF(ROW()-1&lt;=$L$2+$M$2+$N$2,IFERROR(INDEX(CLOZE_LIST!$A:$K,ROW()-1-$L$2-$M$2+1,2),""),IF(ROW()-1&lt;=$L$2+$M$2+$N$2+$O$2,IFERROR(INDEX(PROFORMA!$A:$K,ROW()-1-$L$2-$M$2-$N$2+1,2),""),"")))))</f>
        <v>0</v>
      </c>
      <c r="C180" s="3">
        <f>IF(ROW()-1&lt;=0,"",IF(ROW()-1&lt;=$L$2,IFERROR(INDEX(MCQ!$A:$K,ROW()-1+1,3),""),IF(ROW()-1&lt;=$L$2+$M$2,IFERROR(INDEX(CLOZE_AB!$A:$K,ROW()-1-$L$2+1,3),""),IF(ROW()-1&lt;=$L$2+$M$2+$N$2,IFERROR(INDEX(CLOZE_LIST!$A:$K,ROW()-1-$L$2-$M$2+1,3),""),IF(ROW()-1&lt;=$L$2+$M$2+$N$2+$O$2,IFERROR(INDEX(PROFORMA!$A:$K,ROW()-1-$L$2-$M$2-$N$2+1,3),""),"")))))</f>
        <v>0</v>
      </c>
      <c r="D180" s="3">
        <f>IF(ROW()-1&lt;=0,"",IF(ROW()-1&lt;=$L$2,IFERROR(INDEX(MCQ!$A:$K,ROW()-1+1,4),""),IF(ROW()-1&lt;=$L$2+$M$2,IFERROR(INDEX(CLOZE_AB!$A:$K,ROW()-1-$L$2+1,4),""),IF(ROW()-1&lt;=$L$2+$M$2+$N$2,IFERROR(INDEX(CLOZE_LIST!$A:$K,ROW()-1-$L$2-$M$2+1,4),""),IF(ROW()-1&lt;=$L$2+$M$2+$N$2+$O$2,IFERROR(INDEX(PROFORMA!$A:$K,ROW()-1-$L$2-$M$2-$N$2+1,4),""),"")))))</f>
        <v>0</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0</v>
      </c>
      <c r="G180" s="3">
        <f>IF(ROW()-1&lt;=0,"",IF(ROW()-1&lt;=$L$2,IFERROR(INDEX(MCQ!$A:$K,ROW()-1+1,7),""),IF(ROW()-1&lt;=$L$2+$M$2,IFERROR(INDEX(CLOZE_AB!$A:$K,ROW()-1-$L$2+1,7),""),IF(ROW()-1&lt;=$L$2+$M$2+$N$2,IFERROR(INDEX(CLOZE_LIST!$A:$K,ROW()-1-$L$2-$M$2+1,7),""),IF(ROW()-1&lt;=$L$2+$M$2+$N$2+$O$2,IFERROR(INDEX(PROFORMA!$A:$K,ROW()-1-$L$2-$M$2-$N$2+1,7),""),"")))))</f>
        <v>0</v>
      </c>
      <c r="H180" s="3">
        <f>IF(ROW()-1&lt;=0,"",IF(ROW()-1&lt;=$L$2,IFERROR(INDEX(MCQ!$A:$K,ROW()-1+1,8),""),IF(ROW()-1&lt;=$L$2+$M$2,IFERROR(INDEX(CLOZE_AB!$A:$K,ROW()-1-$L$2+1,8),""),IF(ROW()-1&lt;=$L$2+$M$2+$N$2,IFERROR(INDEX(CLOZE_LIST!$A:$K,ROW()-1-$L$2-$M$2+1,8),""),IF(ROW()-1&lt;=$L$2+$M$2+$N$2+$O$2,IFERROR(INDEX(PROFORMA!$A:$K,ROW()-1-$L$2-$M$2-$N$2+1,8),""),"")))))</f>
        <v>0</v>
      </c>
      <c r="I180" s="3">
        <f>IF(ROW()-1&lt;=0,"",IF(ROW()-1&lt;=$L$2,IFERROR(INDEX(MCQ!$A:$K,ROW()-1+1,9),""),IF(ROW()-1&lt;=$L$2+$M$2,IFERROR(INDEX(CLOZE_AB!$A:$K,ROW()-1-$L$2+1,9),""),IF(ROW()-1&lt;=$L$2+$M$2+$N$2,IFERROR(INDEX(CLOZE_LIST!$A:$K,ROW()-1-$L$2-$M$2+1,9),""),IF(ROW()-1&lt;=$L$2+$M$2+$N$2+$O$2,IFERROR(INDEX(PROFORMA!$A:$K,ROW()-1-$L$2-$M$2-$N$2+1,9),""),"")))))</f>
        <v>0</v>
      </c>
      <c r="J180" s="3">
        <f>IF(ROW()-1&lt;=0,"",IF(ROW()-1&lt;=$L$2,IFERROR(INDEX(MCQ!$A:$K,ROW()-1+1,10),""),IF(ROW()-1&lt;=$L$2+$M$2,IFERROR(INDEX(CLOZE_AB!$A:$K,ROW()-1-$L$2+1,10),""),IF(ROW()-1&lt;=$L$2+$M$2+$N$2,IFERROR(INDEX(CLOZE_LIST!$A:$K,ROW()-1-$L$2-$M$2+1,10),""),IF(ROW()-1&lt;=$L$2+$M$2+$N$2+$O$2,IFERROR(INDEX(PROFORMA!$A:$K,ROW()-1-$L$2-$M$2-$N$2+1,10),""),"")))))</f>
        <v>0</v>
      </c>
      <c r="K180" s="3">
        <f>IF(ROW()-1&lt;=0,"",IF(ROW()-1&lt;=$L$2,IFERROR(INDEX(MCQ!$A:$K,ROW()-1+1,11),""),IF(ROW()-1&lt;=$L$2+$M$2,IFERROR(INDEX(CLOZE_AB!$A:$K,ROW()-1-$L$2+1,11),""),IF(ROW()-1&lt;=$L$2+$M$2+$N$2,IFERROR(INDEX(CLOZE_LIST!$A:$K,ROW()-1-$L$2-$M$2+1,11),""),IF(ROW()-1&lt;=$L$2+$M$2+$N$2+$O$2,IFERROR(INDEX(PROFORMA!$A:$K,ROW()-1-$L$2-$M$2-$N$2+1,11),""),"")))))</f>
        <v>0</v>
      </c>
      <c r="L180" s="3">
        <f>COUNTA(MCQ!$A:$A)-1</f>
        <v>143</v>
      </c>
      <c r="M180" s="3">
        <f>COUNTA(CLOZE_AB!$A:$A)-1</f>
        <v>168</v>
      </c>
      <c r="N180" s="3">
        <f>COUNTA(CLOZE_LIST!$A:$A)-1</f>
        <v>199</v>
      </c>
      <c r="O180" s="3">
        <f>COUNTA(PROFORMA!$A:$A)-1</f>
        <v>199</v>
      </c>
    </row>
    <row r="181" spans="1:15" x14ac:dyDescent="0.3">
      <c r="A181" s="3" t="str">
        <f>IF(ROW()-1&lt;=0,"",IF(ROW()-1&lt;=$L$2,IFERROR(INDEX(MCQ!$A:$K,ROW()-1+1,1),""),IF(ROW()-1&lt;=$L$2+$M$2,IFERROR(INDEX(CLOZE_AB!$A:$K,ROW()-1-$L$2+1,1),""),IF(ROW()-1&lt;=$L$2+$M$2+$N$2,IFERROR(INDEX(CLOZE_LIST!$A:$K,ROW()-1-$L$2-$M$2+1,1),""),IF(ROW()-1&lt;=$L$2+$M$2+$N$2+$O$2,IFERROR(INDEX(PROFORMA!$A:$K,ROW()-1-$L$2-$M$2-$N$2+1,1),""),"")))))</f>
        <v/>
      </c>
      <c r="B181" s="3">
        <f>IF(ROW()-1&lt;=0,"",IF(ROW()-1&lt;=$L$2,IFERROR(INDEX(MCQ!$A:$K,ROW()-1+1,2),""),IF(ROW()-1&lt;=$L$2+$M$2,IFERROR(INDEX(CLOZE_AB!$A:$K,ROW()-1-$L$2+1,2),""),IF(ROW()-1&lt;=$L$2+$M$2+$N$2,IFERROR(INDEX(CLOZE_LIST!$A:$K,ROW()-1-$L$2-$M$2+1,2),""),IF(ROW()-1&lt;=$L$2+$M$2+$N$2+$O$2,IFERROR(INDEX(PROFORMA!$A:$K,ROW()-1-$L$2-$M$2-$N$2+1,2),""),"")))))</f>
        <v>0</v>
      </c>
      <c r="C181" s="3">
        <f>IF(ROW()-1&lt;=0,"",IF(ROW()-1&lt;=$L$2,IFERROR(INDEX(MCQ!$A:$K,ROW()-1+1,3),""),IF(ROW()-1&lt;=$L$2+$M$2,IFERROR(INDEX(CLOZE_AB!$A:$K,ROW()-1-$L$2+1,3),""),IF(ROW()-1&lt;=$L$2+$M$2+$N$2,IFERROR(INDEX(CLOZE_LIST!$A:$K,ROW()-1-$L$2-$M$2+1,3),""),IF(ROW()-1&lt;=$L$2+$M$2+$N$2+$O$2,IFERROR(INDEX(PROFORMA!$A:$K,ROW()-1-$L$2-$M$2-$N$2+1,3),""),"")))))</f>
        <v>0</v>
      </c>
      <c r="D181" s="3">
        <f>IF(ROW()-1&lt;=0,"",IF(ROW()-1&lt;=$L$2,IFERROR(INDEX(MCQ!$A:$K,ROW()-1+1,4),""),IF(ROW()-1&lt;=$L$2+$M$2,IFERROR(INDEX(CLOZE_AB!$A:$K,ROW()-1-$L$2+1,4),""),IF(ROW()-1&lt;=$L$2+$M$2+$N$2,IFERROR(INDEX(CLOZE_LIST!$A:$K,ROW()-1-$L$2-$M$2+1,4),""),IF(ROW()-1&lt;=$L$2+$M$2+$N$2+$O$2,IFERROR(INDEX(PROFORMA!$A:$K,ROW()-1-$L$2-$M$2-$N$2+1,4),""),"")))))</f>
        <v>0</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0</v>
      </c>
      <c r="G181" s="3">
        <f>IF(ROW()-1&lt;=0,"",IF(ROW()-1&lt;=$L$2,IFERROR(INDEX(MCQ!$A:$K,ROW()-1+1,7),""),IF(ROW()-1&lt;=$L$2+$M$2,IFERROR(INDEX(CLOZE_AB!$A:$K,ROW()-1-$L$2+1,7),""),IF(ROW()-1&lt;=$L$2+$M$2+$N$2,IFERROR(INDEX(CLOZE_LIST!$A:$K,ROW()-1-$L$2-$M$2+1,7),""),IF(ROW()-1&lt;=$L$2+$M$2+$N$2+$O$2,IFERROR(INDEX(PROFORMA!$A:$K,ROW()-1-$L$2-$M$2-$N$2+1,7),""),"")))))</f>
        <v>0</v>
      </c>
      <c r="H181" s="3">
        <f>IF(ROW()-1&lt;=0,"",IF(ROW()-1&lt;=$L$2,IFERROR(INDEX(MCQ!$A:$K,ROW()-1+1,8),""),IF(ROW()-1&lt;=$L$2+$M$2,IFERROR(INDEX(CLOZE_AB!$A:$K,ROW()-1-$L$2+1,8),""),IF(ROW()-1&lt;=$L$2+$M$2+$N$2,IFERROR(INDEX(CLOZE_LIST!$A:$K,ROW()-1-$L$2-$M$2+1,8),""),IF(ROW()-1&lt;=$L$2+$M$2+$N$2+$O$2,IFERROR(INDEX(PROFORMA!$A:$K,ROW()-1-$L$2-$M$2-$N$2+1,8),""),"")))))</f>
        <v>0</v>
      </c>
      <c r="I181" s="3">
        <f>IF(ROW()-1&lt;=0,"",IF(ROW()-1&lt;=$L$2,IFERROR(INDEX(MCQ!$A:$K,ROW()-1+1,9),""),IF(ROW()-1&lt;=$L$2+$M$2,IFERROR(INDEX(CLOZE_AB!$A:$K,ROW()-1-$L$2+1,9),""),IF(ROW()-1&lt;=$L$2+$M$2+$N$2,IFERROR(INDEX(CLOZE_LIST!$A:$K,ROW()-1-$L$2-$M$2+1,9),""),IF(ROW()-1&lt;=$L$2+$M$2+$N$2+$O$2,IFERROR(INDEX(PROFORMA!$A:$K,ROW()-1-$L$2-$M$2-$N$2+1,9),""),"")))))</f>
        <v>0</v>
      </c>
      <c r="J181" s="3">
        <f>IF(ROW()-1&lt;=0,"",IF(ROW()-1&lt;=$L$2,IFERROR(INDEX(MCQ!$A:$K,ROW()-1+1,10),""),IF(ROW()-1&lt;=$L$2+$M$2,IFERROR(INDEX(CLOZE_AB!$A:$K,ROW()-1-$L$2+1,10),""),IF(ROW()-1&lt;=$L$2+$M$2+$N$2,IFERROR(INDEX(CLOZE_LIST!$A:$K,ROW()-1-$L$2-$M$2+1,10),""),IF(ROW()-1&lt;=$L$2+$M$2+$N$2+$O$2,IFERROR(INDEX(PROFORMA!$A:$K,ROW()-1-$L$2-$M$2-$N$2+1,10),""),"")))))</f>
        <v>0</v>
      </c>
      <c r="K181" s="3">
        <f>IF(ROW()-1&lt;=0,"",IF(ROW()-1&lt;=$L$2,IFERROR(INDEX(MCQ!$A:$K,ROW()-1+1,11),""),IF(ROW()-1&lt;=$L$2+$M$2,IFERROR(INDEX(CLOZE_AB!$A:$K,ROW()-1-$L$2+1,11),""),IF(ROW()-1&lt;=$L$2+$M$2+$N$2,IFERROR(INDEX(CLOZE_LIST!$A:$K,ROW()-1-$L$2-$M$2+1,11),""),IF(ROW()-1&lt;=$L$2+$M$2+$N$2+$O$2,IFERROR(INDEX(PROFORMA!$A:$K,ROW()-1-$L$2-$M$2-$N$2+1,11),""),"")))))</f>
        <v>0</v>
      </c>
      <c r="L181" s="3">
        <f>COUNTA(MCQ!$A:$A)-1</f>
        <v>143</v>
      </c>
      <c r="M181" s="3">
        <f>COUNTA(CLOZE_AB!$A:$A)-1</f>
        <v>168</v>
      </c>
      <c r="N181" s="3">
        <f>COUNTA(CLOZE_LIST!$A:$A)-1</f>
        <v>199</v>
      </c>
      <c r="O181" s="3">
        <f>COUNTA(PROFORMA!$A:$A)-1</f>
        <v>199</v>
      </c>
    </row>
    <row r="182" spans="1:15" x14ac:dyDescent="0.3">
      <c r="A182" s="3" t="str">
        <f>IF(ROW()-1&lt;=0,"",IF(ROW()-1&lt;=$L$2,IFERROR(INDEX(MCQ!$A:$K,ROW()-1+1,1),""),IF(ROW()-1&lt;=$L$2+$M$2,IFERROR(INDEX(CLOZE_AB!$A:$K,ROW()-1-$L$2+1,1),""),IF(ROW()-1&lt;=$L$2+$M$2+$N$2,IFERROR(INDEX(CLOZE_LIST!$A:$K,ROW()-1-$L$2-$M$2+1,1),""),IF(ROW()-1&lt;=$L$2+$M$2+$N$2+$O$2,IFERROR(INDEX(PROFORMA!$A:$K,ROW()-1-$L$2-$M$2-$N$2+1,1),""),"")))))</f>
        <v/>
      </c>
      <c r="B182" s="3">
        <f>IF(ROW()-1&lt;=0,"",IF(ROW()-1&lt;=$L$2,IFERROR(INDEX(MCQ!$A:$K,ROW()-1+1,2),""),IF(ROW()-1&lt;=$L$2+$M$2,IFERROR(INDEX(CLOZE_AB!$A:$K,ROW()-1-$L$2+1,2),""),IF(ROW()-1&lt;=$L$2+$M$2+$N$2,IFERROR(INDEX(CLOZE_LIST!$A:$K,ROW()-1-$L$2-$M$2+1,2),""),IF(ROW()-1&lt;=$L$2+$M$2+$N$2+$O$2,IFERROR(INDEX(PROFORMA!$A:$K,ROW()-1-$L$2-$M$2-$N$2+1,2),""),"")))))</f>
        <v>0</v>
      </c>
      <c r="C182" s="3">
        <f>IF(ROW()-1&lt;=0,"",IF(ROW()-1&lt;=$L$2,IFERROR(INDEX(MCQ!$A:$K,ROW()-1+1,3),""),IF(ROW()-1&lt;=$L$2+$M$2,IFERROR(INDEX(CLOZE_AB!$A:$K,ROW()-1-$L$2+1,3),""),IF(ROW()-1&lt;=$L$2+$M$2+$N$2,IFERROR(INDEX(CLOZE_LIST!$A:$K,ROW()-1-$L$2-$M$2+1,3),""),IF(ROW()-1&lt;=$L$2+$M$2+$N$2+$O$2,IFERROR(INDEX(PROFORMA!$A:$K,ROW()-1-$L$2-$M$2-$N$2+1,3),""),"")))))</f>
        <v>0</v>
      </c>
      <c r="D182" s="3">
        <f>IF(ROW()-1&lt;=0,"",IF(ROW()-1&lt;=$L$2,IFERROR(INDEX(MCQ!$A:$K,ROW()-1+1,4),""),IF(ROW()-1&lt;=$L$2+$M$2,IFERROR(INDEX(CLOZE_AB!$A:$K,ROW()-1-$L$2+1,4),""),IF(ROW()-1&lt;=$L$2+$M$2+$N$2,IFERROR(INDEX(CLOZE_LIST!$A:$K,ROW()-1-$L$2-$M$2+1,4),""),IF(ROW()-1&lt;=$L$2+$M$2+$N$2+$O$2,IFERROR(INDEX(PROFORMA!$A:$K,ROW()-1-$L$2-$M$2-$N$2+1,4),""),"")))))</f>
        <v>0</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0</v>
      </c>
      <c r="G182" s="3">
        <f>IF(ROW()-1&lt;=0,"",IF(ROW()-1&lt;=$L$2,IFERROR(INDEX(MCQ!$A:$K,ROW()-1+1,7),""),IF(ROW()-1&lt;=$L$2+$M$2,IFERROR(INDEX(CLOZE_AB!$A:$K,ROW()-1-$L$2+1,7),""),IF(ROW()-1&lt;=$L$2+$M$2+$N$2,IFERROR(INDEX(CLOZE_LIST!$A:$K,ROW()-1-$L$2-$M$2+1,7),""),IF(ROW()-1&lt;=$L$2+$M$2+$N$2+$O$2,IFERROR(INDEX(PROFORMA!$A:$K,ROW()-1-$L$2-$M$2-$N$2+1,7),""),"")))))</f>
        <v>0</v>
      </c>
      <c r="H182" s="3">
        <f>IF(ROW()-1&lt;=0,"",IF(ROW()-1&lt;=$L$2,IFERROR(INDEX(MCQ!$A:$K,ROW()-1+1,8),""),IF(ROW()-1&lt;=$L$2+$M$2,IFERROR(INDEX(CLOZE_AB!$A:$K,ROW()-1-$L$2+1,8),""),IF(ROW()-1&lt;=$L$2+$M$2+$N$2,IFERROR(INDEX(CLOZE_LIST!$A:$K,ROW()-1-$L$2-$M$2+1,8),""),IF(ROW()-1&lt;=$L$2+$M$2+$N$2+$O$2,IFERROR(INDEX(PROFORMA!$A:$K,ROW()-1-$L$2-$M$2-$N$2+1,8),""),"")))))</f>
        <v>0</v>
      </c>
      <c r="I182" s="3">
        <f>IF(ROW()-1&lt;=0,"",IF(ROW()-1&lt;=$L$2,IFERROR(INDEX(MCQ!$A:$K,ROW()-1+1,9),""),IF(ROW()-1&lt;=$L$2+$M$2,IFERROR(INDEX(CLOZE_AB!$A:$K,ROW()-1-$L$2+1,9),""),IF(ROW()-1&lt;=$L$2+$M$2+$N$2,IFERROR(INDEX(CLOZE_LIST!$A:$K,ROW()-1-$L$2-$M$2+1,9),""),IF(ROW()-1&lt;=$L$2+$M$2+$N$2+$O$2,IFERROR(INDEX(PROFORMA!$A:$K,ROW()-1-$L$2-$M$2-$N$2+1,9),""),"")))))</f>
        <v>0</v>
      </c>
      <c r="J182" s="3">
        <f>IF(ROW()-1&lt;=0,"",IF(ROW()-1&lt;=$L$2,IFERROR(INDEX(MCQ!$A:$K,ROW()-1+1,10),""),IF(ROW()-1&lt;=$L$2+$M$2,IFERROR(INDEX(CLOZE_AB!$A:$K,ROW()-1-$L$2+1,10),""),IF(ROW()-1&lt;=$L$2+$M$2+$N$2,IFERROR(INDEX(CLOZE_LIST!$A:$K,ROW()-1-$L$2-$M$2+1,10),""),IF(ROW()-1&lt;=$L$2+$M$2+$N$2+$O$2,IFERROR(INDEX(PROFORMA!$A:$K,ROW()-1-$L$2-$M$2-$N$2+1,10),""),"")))))</f>
        <v>0</v>
      </c>
      <c r="K182" s="3">
        <f>IF(ROW()-1&lt;=0,"",IF(ROW()-1&lt;=$L$2,IFERROR(INDEX(MCQ!$A:$K,ROW()-1+1,11),""),IF(ROW()-1&lt;=$L$2+$M$2,IFERROR(INDEX(CLOZE_AB!$A:$K,ROW()-1-$L$2+1,11),""),IF(ROW()-1&lt;=$L$2+$M$2+$N$2,IFERROR(INDEX(CLOZE_LIST!$A:$K,ROW()-1-$L$2-$M$2+1,11),""),IF(ROW()-1&lt;=$L$2+$M$2+$N$2+$O$2,IFERROR(INDEX(PROFORMA!$A:$K,ROW()-1-$L$2-$M$2-$N$2+1,11),""),"")))))</f>
        <v>0</v>
      </c>
      <c r="L182" s="3">
        <f>COUNTA(MCQ!$A:$A)-1</f>
        <v>143</v>
      </c>
      <c r="M182" s="3">
        <f>COUNTA(CLOZE_AB!$A:$A)-1</f>
        <v>168</v>
      </c>
      <c r="N182" s="3">
        <f>COUNTA(CLOZE_LIST!$A:$A)-1</f>
        <v>199</v>
      </c>
      <c r="O182" s="3">
        <f>COUNTA(PROFORMA!$A:$A)-1</f>
        <v>199</v>
      </c>
    </row>
    <row r="183" spans="1:15" x14ac:dyDescent="0.3">
      <c r="A183" s="3" t="str">
        <f>IF(ROW()-1&lt;=0,"",IF(ROW()-1&lt;=$L$2,IFERROR(INDEX(MCQ!$A:$K,ROW()-1+1,1),""),IF(ROW()-1&lt;=$L$2+$M$2,IFERROR(INDEX(CLOZE_AB!$A:$K,ROW()-1-$L$2+1,1),""),IF(ROW()-1&lt;=$L$2+$M$2+$N$2,IFERROR(INDEX(CLOZE_LIST!$A:$K,ROW()-1-$L$2-$M$2+1,1),""),IF(ROW()-1&lt;=$L$2+$M$2+$N$2+$O$2,IFERROR(INDEX(PROFORMA!$A:$K,ROW()-1-$L$2-$M$2-$N$2+1,1),""),"")))))</f>
        <v/>
      </c>
      <c r="B183" s="3">
        <f>IF(ROW()-1&lt;=0,"",IF(ROW()-1&lt;=$L$2,IFERROR(INDEX(MCQ!$A:$K,ROW()-1+1,2),""),IF(ROW()-1&lt;=$L$2+$M$2,IFERROR(INDEX(CLOZE_AB!$A:$K,ROW()-1-$L$2+1,2),""),IF(ROW()-1&lt;=$L$2+$M$2+$N$2,IFERROR(INDEX(CLOZE_LIST!$A:$K,ROW()-1-$L$2-$M$2+1,2),""),IF(ROW()-1&lt;=$L$2+$M$2+$N$2+$O$2,IFERROR(INDEX(PROFORMA!$A:$K,ROW()-1-$L$2-$M$2-$N$2+1,2),""),"")))))</f>
        <v>0</v>
      </c>
      <c r="C183" s="3">
        <f>IF(ROW()-1&lt;=0,"",IF(ROW()-1&lt;=$L$2,IFERROR(INDEX(MCQ!$A:$K,ROW()-1+1,3),""),IF(ROW()-1&lt;=$L$2+$M$2,IFERROR(INDEX(CLOZE_AB!$A:$K,ROW()-1-$L$2+1,3),""),IF(ROW()-1&lt;=$L$2+$M$2+$N$2,IFERROR(INDEX(CLOZE_LIST!$A:$K,ROW()-1-$L$2-$M$2+1,3),""),IF(ROW()-1&lt;=$L$2+$M$2+$N$2+$O$2,IFERROR(INDEX(PROFORMA!$A:$K,ROW()-1-$L$2-$M$2-$N$2+1,3),""),"")))))</f>
        <v>0</v>
      </c>
      <c r="D183" s="3">
        <f>IF(ROW()-1&lt;=0,"",IF(ROW()-1&lt;=$L$2,IFERROR(INDEX(MCQ!$A:$K,ROW()-1+1,4),""),IF(ROW()-1&lt;=$L$2+$M$2,IFERROR(INDEX(CLOZE_AB!$A:$K,ROW()-1-$L$2+1,4),""),IF(ROW()-1&lt;=$L$2+$M$2+$N$2,IFERROR(INDEX(CLOZE_LIST!$A:$K,ROW()-1-$L$2-$M$2+1,4),""),IF(ROW()-1&lt;=$L$2+$M$2+$N$2+$O$2,IFERROR(INDEX(PROFORMA!$A:$K,ROW()-1-$L$2-$M$2-$N$2+1,4),""),"")))))</f>
        <v>0</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0</v>
      </c>
      <c r="G183" s="3">
        <f>IF(ROW()-1&lt;=0,"",IF(ROW()-1&lt;=$L$2,IFERROR(INDEX(MCQ!$A:$K,ROW()-1+1,7),""),IF(ROW()-1&lt;=$L$2+$M$2,IFERROR(INDEX(CLOZE_AB!$A:$K,ROW()-1-$L$2+1,7),""),IF(ROW()-1&lt;=$L$2+$M$2+$N$2,IFERROR(INDEX(CLOZE_LIST!$A:$K,ROW()-1-$L$2-$M$2+1,7),""),IF(ROW()-1&lt;=$L$2+$M$2+$N$2+$O$2,IFERROR(INDEX(PROFORMA!$A:$K,ROW()-1-$L$2-$M$2-$N$2+1,7),""),"")))))</f>
        <v>0</v>
      </c>
      <c r="H183" s="3">
        <f>IF(ROW()-1&lt;=0,"",IF(ROW()-1&lt;=$L$2,IFERROR(INDEX(MCQ!$A:$K,ROW()-1+1,8),""),IF(ROW()-1&lt;=$L$2+$M$2,IFERROR(INDEX(CLOZE_AB!$A:$K,ROW()-1-$L$2+1,8),""),IF(ROW()-1&lt;=$L$2+$M$2+$N$2,IFERROR(INDEX(CLOZE_LIST!$A:$K,ROW()-1-$L$2-$M$2+1,8),""),IF(ROW()-1&lt;=$L$2+$M$2+$N$2+$O$2,IFERROR(INDEX(PROFORMA!$A:$K,ROW()-1-$L$2-$M$2-$N$2+1,8),""),"")))))</f>
        <v>0</v>
      </c>
      <c r="I183" s="3">
        <f>IF(ROW()-1&lt;=0,"",IF(ROW()-1&lt;=$L$2,IFERROR(INDEX(MCQ!$A:$K,ROW()-1+1,9),""),IF(ROW()-1&lt;=$L$2+$M$2,IFERROR(INDEX(CLOZE_AB!$A:$K,ROW()-1-$L$2+1,9),""),IF(ROW()-1&lt;=$L$2+$M$2+$N$2,IFERROR(INDEX(CLOZE_LIST!$A:$K,ROW()-1-$L$2-$M$2+1,9),""),IF(ROW()-1&lt;=$L$2+$M$2+$N$2+$O$2,IFERROR(INDEX(PROFORMA!$A:$K,ROW()-1-$L$2-$M$2-$N$2+1,9),""),"")))))</f>
        <v>0</v>
      </c>
      <c r="J183" s="3">
        <f>IF(ROW()-1&lt;=0,"",IF(ROW()-1&lt;=$L$2,IFERROR(INDEX(MCQ!$A:$K,ROW()-1+1,10),""),IF(ROW()-1&lt;=$L$2+$M$2,IFERROR(INDEX(CLOZE_AB!$A:$K,ROW()-1-$L$2+1,10),""),IF(ROW()-1&lt;=$L$2+$M$2+$N$2,IFERROR(INDEX(CLOZE_LIST!$A:$K,ROW()-1-$L$2-$M$2+1,10),""),IF(ROW()-1&lt;=$L$2+$M$2+$N$2+$O$2,IFERROR(INDEX(PROFORMA!$A:$K,ROW()-1-$L$2-$M$2-$N$2+1,10),""),"")))))</f>
        <v>0</v>
      </c>
      <c r="K183" s="3">
        <f>IF(ROW()-1&lt;=0,"",IF(ROW()-1&lt;=$L$2,IFERROR(INDEX(MCQ!$A:$K,ROW()-1+1,11),""),IF(ROW()-1&lt;=$L$2+$M$2,IFERROR(INDEX(CLOZE_AB!$A:$K,ROW()-1-$L$2+1,11),""),IF(ROW()-1&lt;=$L$2+$M$2+$N$2,IFERROR(INDEX(CLOZE_LIST!$A:$K,ROW()-1-$L$2-$M$2+1,11),""),IF(ROW()-1&lt;=$L$2+$M$2+$N$2+$O$2,IFERROR(INDEX(PROFORMA!$A:$K,ROW()-1-$L$2-$M$2-$N$2+1,11),""),"")))))</f>
        <v>0</v>
      </c>
      <c r="L183" s="3">
        <f>COUNTA(MCQ!$A:$A)-1</f>
        <v>143</v>
      </c>
      <c r="M183" s="3">
        <f>COUNTA(CLOZE_AB!$A:$A)-1</f>
        <v>168</v>
      </c>
      <c r="N183" s="3">
        <f>COUNTA(CLOZE_LIST!$A:$A)-1</f>
        <v>199</v>
      </c>
      <c r="O183" s="3">
        <f>COUNTA(PROFORMA!$A:$A)-1</f>
        <v>199</v>
      </c>
    </row>
    <row r="184" spans="1:15" x14ac:dyDescent="0.3">
      <c r="A184" s="3" t="str">
        <f>IF(ROW()-1&lt;=0,"",IF(ROW()-1&lt;=$L$2,IFERROR(INDEX(MCQ!$A:$K,ROW()-1+1,1),""),IF(ROW()-1&lt;=$L$2+$M$2,IFERROR(INDEX(CLOZE_AB!$A:$K,ROW()-1-$L$2+1,1),""),IF(ROW()-1&lt;=$L$2+$M$2+$N$2,IFERROR(INDEX(CLOZE_LIST!$A:$K,ROW()-1-$L$2-$M$2+1,1),""),IF(ROW()-1&lt;=$L$2+$M$2+$N$2+$O$2,IFERROR(INDEX(PROFORMA!$A:$K,ROW()-1-$L$2-$M$2-$N$2+1,1),""),"")))))</f>
        <v/>
      </c>
      <c r="B184" s="3">
        <f>IF(ROW()-1&lt;=0,"",IF(ROW()-1&lt;=$L$2,IFERROR(INDEX(MCQ!$A:$K,ROW()-1+1,2),""),IF(ROW()-1&lt;=$L$2+$M$2,IFERROR(INDEX(CLOZE_AB!$A:$K,ROW()-1-$L$2+1,2),""),IF(ROW()-1&lt;=$L$2+$M$2+$N$2,IFERROR(INDEX(CLOZE_LIST!$A:$K,ROW()-1-$L$2-$M$2+1,2),""),IF(ROW()-1&lt;=$L$2+$M$2+$N$2+$O$2,IFERROR(INDEX(PROFORMA!$A:$K,ROW()-1-$L$2-$M$2-$N$2+1,2),""),"")))))</f>
        <v>0</v>
      </c>
      <c r="C184" s="3">
        <f>IF(ROW()-1&lt;=0,"",IF(ROW()-1&lt;=$L$2,IFERROR(INDEX(MCQ!$A:$K,ROW()-1+1,3),""),IF(ROW()-1&lt;=$L$2+$M$2,IFERROR(INDEX(CLOZE_AB!$A:$K,ROW()-1-$L$2+1,3),""),IF(ROW()-1&lt;=$L$2+$M$2+$N$2,IFERROR(INDEX(CLOZE_LIST!$A:$K,ROW()-1-$L$2-$M$2+1,3),""),IF(ROW()-1&lt;=$L$2+$M$2+$N$2+$O$2,IFERROR(INDEX(PROFORMA!$A:$K,ROW()-1-$L$2-$M$2-$N$2+1,3),""),"")))))</f>
        <v>0</v>
      </c>
      <c r="D184" s="3">
        <f>IF(ROW()-1&lt;=0,"",IF(ROW()-1&lt;=$L$2,IFERROR(INDEX(MCQ!$A:$K,ROW()-1+1,4),""),IF(ROW()-1&lt;=$L$2+$M$2,IFERROR(INDEX(CLOZE_AB!$A:$K,ROW()-1-$L$2+1,4),""),IF(ROW()-1&lt;=$L$2+$M$2+$N$2,IFERROR(INDEX(CLOZE_LIST!$A:$K,ROW()-1-$L$2-$M$2+1,4),""),IF(ROW()-1&lt;=$L$2+$M$2+$N$2+$O$2,IFERROR(INDEX(PROFORMA!$A:$K,ROW()-1-$L$2-$M$2-$N$2+1,4),""),"")))))</f>
        <v>0</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0</v>
      </c>
      <c r="G184" s="3">
        <f>IF(ROW()-1&lt;=0,"",IF(ROW()-1&lt;=$L$2,IFERROR(INDEX(MCQ!$A:$K,ROW()-1+1,7),""),IF(ROW()-1&lt;=$L$2+$M$2,IFERROR(INDEX(CLOZE_AB!$A:$K,ROW()-1-$L$2+1,7),""),IF(ROW()-1&lt;=$L$2+$M$2+$N$2,IFERROR(INDEX(CLOZE_LIST!$A:$K,ROW()-1-$L$2-$M$2+1,7),""),IF(ROW()-1&lt;=$L$2+$M$2+$N$2+$O$2,IFERROR(INDEX(PROFORMA!$A:$K,ROW()-1-$L$2-$M$2-$N$2+1,7),""),"")))))</f>
        <v>0</v>
      </c>
      <c r="H184" s="3">
        <f>IF(ROW()-1&lt;=0,"",IF(ROW()-1&lt;=$L$2,IFERROR(INDEX(MCQ!$A:$K,ROW()-1+1,8),""),IF(ROW()-1&lt;=$L$2+$M$2,IFERROR(INDEX(CLOZE_AB!$A:$K,ROW()-1-$L$2+1,8),""),IF(ROW()-1&lt;=$L$2+$M$2+$N$2,IFERROR(INDEX(CLOZE_LIST!$A:$K,ROW()-1-$L$2-$M$2+1,8),""),IF(ROW()-1&lt;=$L$2+$M$2+$N$2+$O$2,IFERROR(INDEX(PROFORMA!$A:$K,ROW()-1-$L$2-$M$2-$N$2+1,8),""),"")))))</f>
        <v>0</v>
      </c>
      <c r="I184" s="3">
        <f>IF(ROW()-1&lt;=0,"",IF(ROW()-1&lt;=$L$2,IFERROR(INDEX(MCQ!$A:$K,ROW()-1+1,9),""),IF(ROW()-1&lt;=$L$2+$M$2,IFERROR(INDEX(CLOZE_AB!$A:$K,ROW()-1-$L$2+1,9),""),IF(ROW()-1&lt;=$L$2+$M$2+$N$2,IFERROR(INDEX(CLOZE_LIST!$A:$K,ROW()-1-$L$2-$M$2+1,9),""),IF(ROW()-1&lt;=$L$2+$M$2+$N$2+$O$2,IFERROR(INDEX(PROFORMA!$A:$K,ROW()-1-$L$2-$M$2-$N$2+1,9),""),"")))))</f>
        <v>0</v>
      </c>
      <c r="J184" s="3">
        <f>IF(ROW()-1&lt;=0,"",IF(ROW()-1&lt;=$L$2,IFERROR(INDEX(MCQ!$A:$K,ROW()-1+1,10),""),IF(ROW()-1&lt;=$L$2+$M$2,IFERROR(INDEX(CLOZE_AB!$A:$K,ROW()-1-$L$2+1,10),""),IF(ROW()-1&lt;=$L$2+$M$2+$N$2,IFERROR(INDEX(CLOZE_LIST!$A:$K,ROW()-1-$L$2-$M$2+1,10),""),IF(ROW()-1&lt;=$L$2+$M$2+$N$2+$O$2,IFERROR(INDEX(PROFORMA!$A:$K,ROW()-1-$L$2-$M$2-$N$2+1,10),""),"")))))</f>
        <v>0</v>
      </c>
      <c r="K184" s="3">
        <f>IF(ROW()-1&lt;=0,"",IF(ROW()-1&lt;=$L$2,IFERROR(INDEX(MCQ!$A:$K,ROW()-1+1,11),""),IF(ROW()-1&lt;=$L$2+$M$2,IFERROR(INDEX(CLOZE_AB!$A:$K,ROW()-1-$L$2+1,11),""),IF(ROW()-1&lt;=$L$2+$M$2+$N$2,IFERROR(INDEX(CLOZE_LIST!$A:$K,ROW()-1-$L$2-$M$2+1,11),""),IF(ROW()-1&lt;=$L$2+$M$2+$N$2+$O$2,IFERROR(INDEX(PROFORMA!$A:$K,ROW()-1-$L$2-$M$2-$N$2+1,11),""),"")))))</f>
        <v>0</v>
      </c>
      <c r="L184" s="3">
        <f>COUNTA(MCQ!$A:$A)-1</f>
        <v>143</v>
      </c>
      <c r="M184" s="3">
        <f>COUNTA(CLOZE_AB!$A:$A)-1</f>
        <v>168</v>
      </c>
      <c r="N184" s="3">
        <f>COUNTA(CLOZE_LIST!$A:$A)-1</f>
        <v>199</v>
      </c>
      <c r="O184" s="3">
        <f>COUNTA(PROFORMA!$A:$A)-1</f>
        <v>199</v>
      </c>
    </row>
    <row r="185" spans="1:15" x14ac:dyDescent="0.3">
      <c r="A185" s="3" t="str">
        <f>IF(ROW()-1&lt;=0,"",IF(ROW()-1&lt;=$L$2,IFERROR(INDEX(MCQ!$A:$K,ROW()-1+1,1),""),IF(ROW()-1&lt;=$L$2+$M$2,IFERROR(INDEX(CLOZE_AB!$A:$K,ROW()-1-$L$2+1,1),""),IF(ROW()-1&lt;=$L$2+$M$2+$N$2,IFERROR(INDEX(CLOZE_LIST!$A:$K,ROW()-1-$L$2-$M$2+1,1),""),IF(ROW()-1&lt;=$L$2+$M$2+$N$2+$O$2,IFERROR(INDEX(PROFORMA!$A:$K,ROW()-1-$L$2-$M$2-$N$2+1,1),""),"")))))</f>
        <v/>
      </c>
      <c r="B185" s="3">
        <f>IF(ROW()-1&lt;=0,"",IF(ROW()-1&lt;=$L$2,IFERROR(INDEX(MCQ!$A:$K,ROW()-1+1,2),""),IF(ROW()-1&lt;=$L$2+$M$2,IFERROR(INDEX(CLOZE_AB!$A:$K,ROW()-1-$L$2+1,2),""),IF(ROW()-1&lt;=$L$2+$M$2+$N$2,IFERROR(INDEX(CLOZE_LIST!$A:$K,ROW()-1-$L$2-$M$2+1,2),""),IF(ROW()-1&lt;=$L$2+$M$2+$N$2+$O$2,IFERROR(INDEX(PROFORMA!$A:$K,ROW()-1-$L$2-$M$2-$N$2+1,2),""),"")))))</f>
        <v>0</v>
      </c>
      <c r="C185" s="3">
        <f>IF(ROW()-1&lt;=0,"",IF(ROW()-1&lt;=$L$2,IFERROR(INDEX(MCQ!$A:$K,ROW()-1+1,3),""),IF(ROW()-1&lt;=$L$2+$M$2,IFERROR(INDEX(CLOZE_AB!$A:$K,ROW()-1-$L$2+1,3),""),IF(ROW()-1&lt;=$L$2+$M$2+$N$2,IFERROR(INDEX(CLOZE_LIST!$A:$K,ROW()-1-$L$2-$M$2+1,3),""),IF(ROW()-1&lt;=$L$2+$M$2+$N$2+$O$2,IFERROR(INDEX(PROFORMA!$A:$K,ROW()-1-$L$2-$M$2-$N$2+1,3),""),"")))))</f>
        <v>0</v>
      </c>
      <c r="D185" s="3">
        <f>IF(ROW()-1&lt;=0,"",IF(ROW()-1&lt;=$L$2,IFERROR(INDEX(MCQ!$A:$K,ROW()-1+1,4),""),IF(ROW()-1&lt;=$L$2+$M$2,IFERROR(INDEX(CLOZE_AB!$A:$K,ROW()-1-$L$2+1,4),""),IF(ROW()-1&lt;=$L$2+$M$2+$N$2,IFERROR(INDEX(CLOZE_LIST!$A:$K,ROW()-1-$L$2-$M$2+1,4),""),IF(ROW()-1&lt;=$L$2+$M$2+$N$2+$O$2,IFERROR(INDEX(PROFORMA!$A:$K,ROW()-1-$L$2-$M$2-$N$2+1,4),""),"")))))</f>
        <v>0</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0</v>
      </c>
      <c r="G185" s="3">
        <f>IF(ROW()-1&lt;=0,"",IF(ROW()-1&lt;=$L$2,IFERROR(INDEX(MCQ!$A:$K,ROW()-1+1,7),""),IF(ROW()-1&lt;=$L$2+$M$2,IFERROR(INDEX(CLOZE_AB!$A:$K,ROW()-1-$L$2+1,7),""),IF(ROW()-1&lt;=$L$2+$M$2+$N$2,IFERROR(INDEX(CLOZE_LIST!$A:$K,ROW()-1-$L$2-$M$2+1,7),""),IF(ROW()-1&lt;=$L$2+$M$2+$N$2+$O$2,IFERROR(INDEX(PROFORMA!$A:$K,ROW()-1-$L$2-$M$2-$N$2+1,7),""),"")))))</f>
        <v>0</v>
      </c>
      <c r="H185" s="3">
        <f>IF(ROW()-1&lt;=0,"",IF(ROW()-1&lt;=$L$2,IFERROR(INDEX(MCQ!$A:$K,ROW()-1+1,8),""),IF(ROW()-1&lt;=$L$2+$M$2,IFERROR(INDEX(CLOZE_AB!$A:$K,ROW()-1-$L$2+1,8),""),IF(ROW()-1&lt;=$L$2+$M$2+$N$2,IFERROR(INDEX(CLOZE_LIST!$A:$K,ROW()-1-$L$2-$M$2+1,8),""),IF(ROW()-1&lt;=$L$2+$M$2+$N$2+$O$2,IFERROR(INDEX(PROFORMA!$A:$K,ROW()-1-$L$2-$M$2-$N$2+1,8),""),"")))))</f>
        <v>0</v>
      </c>
      <c r="I185" s="3">
        <f>IF(ROW()-1&lt;=0,"",IF(ROW()-1&lt;=$L$2,IFERROR(INDEX(MCQ!$A:$K,ROW()-1+1,9),""),IF(ROW()-1&lt;=$L$2+$M$2,IFERROR(INDEX(CLOZE_AB!$A:$K,ROW()-1-$L$2+1,9),""),IF(ROW()-1&lt;=$L$2+$M$2+$N$2,IFERROR(INDEX(CLOZE_LIST!$A:$K,ROW()-1-$L$2-$M$2+1,9),""),IF(ROW()-1&lt;=$L$2+$M$2+$N$2+$O$2,IFERROR(INDEX(PROFORMA!$A:$K,ROW()-1-$L$2-$M$2-$N$2+1,9),""),"")))))</f>
        <v>0</v>
      </c>
      <c r="J185" s="3">
        <f>IF(ROW()-1&lt;=0,"",IF(ROW()-1&lt;=$L$2,IFERROR(INDEX(MCQ!$A:$K,ROW()-1+1,10),""),IF(ROW()-1&lt;=$L$2+$M$2,IFERROR(INDEX(CLOZE_AB!$A:$K,ROW()-1-$L$2+1,10),""),IF(ROW()-1&lt;=$L$2+$M$2+$N$2,IFERROR(INDEX(CLOZE_LIST!$A:$K,ROW()-1-$L$2-$M$2+1,10),""),IF(ROW()-1&lt;=$L$2+$M$2+$N$2+$O$2,IFERROR(INDEX(PROFORMA!$A:$K,ROW()-1-$L$2-$M$2-$N$2+1,10),""),"")))))</f>
        <v>0</v>
      </c>
      <c r="K185" s="3">
        <f>IF(ROW()-1&lt;=0,"",IF(ROW()-1&lt;=$L$2,IFERROR(INDEX(MCQ!$A:$K,ROW()-1+1,11),""),IF(ROW()-1&lt;=$L$2+$M$2,IFERROR(INDEX(CLOZE_AB!$A:$K,ROW()-1-$L$2+1,11),""),IF(ROW()-1&lt;=$L$2+$M$2+$N$2,IFERROR(INDEX(CLOZE_LIST!$A:$K,ROW()-1-$L$2-$M$2+1,11),""),IF(ROW()-1&lt;=$L$2+$M$2+$N$2+$O$2,IFERROR(INDEX(PROFORMA!$A:$K,ROW()-1-$L$2-$M$2-$N$2+1,11),""),"")))))</f>
        <v>0</v>
      </c>
      <c r="L185" s="3">
        <f>COUNTA(MCQ!$A:$A)-1</f>
        <v>143</v>
      </c>
      <c r="M185" s="3">
        <f>COUNTA(CLOZE_AB!$A:$A)-1</f>
        <v>168</v>
      </c>
      <c r="N185" s="3">
        <f>COUNTA(CLOZE_LIST!$A:$A)-1</f>
        <v>199</v>
      </c>
      <c r="O185" s="3">
        <f>COUNTA(PROFORMA!$A:$A)-1</f>
        <v>199</v>
      </c>
    </row>
    <row r="186" spans="1:15" x14ac:dyDescent="0.3">
      <c r="A186" s="3" t="str">
        <f>IF(ROW()-1&lt;=0,"",IF(ROW()-1&lt;=$L$2,IFERROR(INDEX(MCQ!$A:$K,ROW()-1+1,1),""),IF(ROW()-1&lt;=$L$2+$M$2,IFERROR(INDEX(CLOZE_AB!$A:$K,ROW()-1-$L$2+1,1),""),IF(ROW()-1&lt;=$L$2+$M$2+$N$2,IFERROR(INDEX(CLOZE_LIST!$A:$K,ROW()-1-$L$2-$M$2+1,1),""),IF(ROW()-1&lt;=$L$2+$M$2+$N$2+$O$2,IFERROR(INDEX(PROFORMA!$A:$K,ROW()-1-$L$2-$M$2-$N$2+1,1),""),"")))))</f>
        <v/>
      </c>
      <c r="B186" s="3">
        <f>IF(ROW()-1&lt;=0,"",IF(ROW()-1&lt;=$L$2,IFERROR(INDEX(MCQ!$A:$K,ROW()-1+1,2),""),IF(ROW()-1&lt;=$L$2+$M$2,IFERROR(INDEX(CLOZE_AB!$A:$K,ROW()-1-$L$2+1,2),""),IF(ROW()-1&lt;=$L$2+$M$2+$N$2,IFERROR(INDEX(CLOZE_LIST!$A:$K,ROW()-1-$L$2-$M$2+1,2),""),IF(ROW()-1&lt;=$L$2+$M$2+$N$2+$O$2,IFERROR(INDEX(PROFORMA!$A:$K,ROW()-1-$L$2-$M$2-$N$2+1,2),""),"")))))</f>
        <v>0</v>
      </c>
      <c r="C186" s="3">
        <f>IF(ROW()-1&lt;=0,"",IF(ROW()-1&lt;=$L$2,IFERROR(INDEX(MCQ!$A:$K,ROW()-1+1,3),""),IF(ROW()-1&lt;=$L$2+$M$2,IFERROR(INDEX(CLOZE_AB!$A:$K,ROW()-1-$L$2+1,3),""),IF(ROW()-1&lt;=$L$2+$M$2+$N$2,IFERROR(INDEX(CLOZE_LIST!$A:$K,ROW()-1-$L$2-$M$2+1,3),""),IF(ROW()-1&lt;=$L$2+$M$2+$N$2+$O$2,IFERROR(INDEX(PROFORMA!$A:$K,ROW()-1-$L$2-$M$2-$N$2+1,3),""),"")))))</f>
        <v>0</v>
      </c>
      <c r="D186" s="3">
        <f>IF(ROW()-1&lt;=0,"",IF(ROW()-1&lt;=$L$2,IFERROR(INDEX(MCQ!$A:$K,ROW()-1+1,4),""),IF(ROW()-1&lt;=$L$2+$M$2,IFERROR(INDEX(CLOZE_AB!$A:$K,ROW()-1-$L$2+1,4),""),IF(ROW()-1&lt;=$L$2+$M$2+$N$2,IFERROR(INDEX(CLOZE_LIST!$A:$K,ROW()-1-$L$2-$M$2+1,4),""),IF(ROW()-1&lt;=$L$2+$M$2+$N$2+$O$2,IFERROR(INDEX(PROFORMA!$A:$K,ROW()-1-$L$2-$M$2-$N$2+1,4),""),"")))))</f>
        <v>0</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0</v>
      </c>
      <c r="G186" s="3">
        <f>IF(ROW()-1&lt;=0,"",IF(ROW()-1&lt;=$L$2,IFERROR(INDEX(MCQ!$A:$K,ROW()-1+1,7),""),IF(ROW()-1&lt;=$L$2+$M$2,IFERROR(INDEX(CLOZE_AB!$A:$K,ROW()-1-$L$2+1,7),""),IF(ROW()-1&lt;=$L$2+$M$2+$N$2,IFERROR(INDEX(CLOZE_LIST!$A:$K,ROW()-1-$L$2-$M$2+1,7),""),IF(ROW()-1&lt;=$L$2+$M$2+$N$2+$O$2,IFERROR(INDEX(PROFORMA!$A:$K,ROW()-1-$L$2-$M$2-$N$2+1,7),""),"")))))</f>
        <v>0</v>
      </c>
      <c r="H186" s="3">
        <f>IF(ROW()-1&lt;=0,"",IF(ROW()-1&lt;=$L$2,IFERROR(INDEX(MCQ!$A:$K,ROW()-1+1,8),""),IF(ROW()-1&lt;=$L$2+$M$2,IFERROR(INDEX(CLOZE_AB!$A:$K,ROW()-1-$L$2+1,8),""),IF(ROW()-1&lt;=$L$2+$M$2+$N$2,IFERROR(INDEX(CLOZE_LIST!$A:$K,ROW()-1-$L$2-$M$2+1,8),""),IF(ROW()-1&lt;=$L$2+$M$2+$N$2+$O$2,IFERROR(INDEX(PROFORMA!$A:$K,ROW()-1-$L$2-$M$2-$N$2+1,8),""),"")))))</f>
        <v>0</v>
      </c>
      <c r="I186" s="3">
        <f>IF(ROW()-1&lt;=0,"",IF(ROW()-1&lt;=$L$2,IFERROR(INDEX(MCQ!$A:$K,ROW()-1+1,9),""),IF(ROW()-1&lt;=$L$2+$M$2,IFERROR(INDEX(CLOZE_AB!$A:$K,ROW()-1-$L$2+1,9),""),IF(ROW()-1&lt;=$L$2+$M$2+$N$2,IFERROR(INDEX(CLOZE_LIST!$A:$K,ROW()-1-$L$2-$M$2+1,9),""),IF(ROW()-1&lt;=$L$2+$M$2+$N$2+$O$2,IFERROR(INDEX(PROFORMA!$A:$K,ROW()-1-$L$2-$M$2-$N$2+1,9),""),"")))))</f>
        <v>0</v>
      </c>
      <c r="J186" s="3">
        <f>IF(ROW()-1&lt;=0,"",IF(ROW()-1&lt;=$L$2,IFERROR(INDEX(MCQ!$A:$K,ROW()-1+1,10),""),IF(ROW()-1&lt;=$L$2+$M$2,IFERROR(INDEX(CLOZE_AB!$A:$K,ROW()-1-$L$2+1,10),""),IF(ROW()-1&lt;=$L$2+$M$2+$N$2,IFERROR(INDEX(CLOZE_LIST!$A:$K,ROW()-1-$L$2-$M$2+1,10),""),IF(ROW()-1&lt;=$L$2+$M$2+$N$2+$O$2,IFERROR(INDEX(PROFORMA!$A:$K,ROW()-1-$L$2-$M$2-$N$2+1,10),""),"")))))</f>
        <v>0</v>
      </c>
      <c r="K186" s="3">
        <f>IF(ROW()-1&lt;=0,"",IF(ROW()-1&lt;=$L$2,IFERROR(INDEX(MCQ!$A:$K,ROW()-1+1,11),""),IF(ROW()-1&lt;=$L$2+$M$2,IFERROR(INDEX(CLOZE_AB!$A:$K,ROW()-1-$L$2+1,11),""),IF(ROW()-1&lt;=$L$2+$M$2+$N$2,IFERROR(INDEX(CLOZE_LIST!$A:$K,ROW()-1-$L$2-$M$2+1,11),""),IF(ROW()-1&lt;=$L$2+$M$2+$N$2+$O$2,IFERROR(INDEX(PROFORMA!$A:$K,ROW()-1-$L$2-$M$2-$N$2+1,11),""),"")))))</f>
        <v>0</v>
      </c>
      <c r="L186" s="3">
        <f>COUNTA(MCQ!$A:$A)-1</f>
        <v>143</v>
      </c>
      <c r="M186" s="3">
        <f>COUNTA(CLOZE_AB!$A:$A)-1</f>
        <v>168</v>
      </c>
      <c r="N186" s="3">
        <f>COUNTA(CLOZE_LIST!$A:$A)-1</f>
        <v>199</v>
      </c>
      <c r="O186" s="3">
        <f>COUNTA(PROFORMA!$A:$A)-1</f>
        <v>199</v>
      </c>
    </row>
    <row r="187" spans="1:15" x14ac:dyDescent="0.3">
      <c r="A187" s="3" t="str">
        <f>IF(ROW()-1&lt;=0,"",IF(ROW()-1&lt;=$L$2,IFERROR(INDEX(MCQ!$A:$K,ROW()-1+1,1),""),IF(ROW()-1&lt;=$L$2+$M$2,IFERROR(INDEX(CLOZE_AB!$A:$K,ROW()-1-$L$2+1,1),""),IF(ROW()-1&lt;=$L$2+$M$2+$N$2,IFERROR(INDEX(CLOZE_LIST!$A:$K,ROW()-1-$L$2-$M$2+1,1),""),IF(ROW()-1&lt;=$L$2+$M$2+$N$2+$O$2,IFERROR(INDEX(PROFORMA!$A:$K,ROW()-1-$L$2-$M$2-$N$2+1,1),""),"")))))</f>
        <v/>
      </c>
      <c r="B187" s="3">
        <f>IF(ROW()-1&lt;=0,"",IF(ROW()-1&lt;=$L$2,IFERROR(INDEX(MCQ!$A:$K,ROW()-1+1,2),""),IF(ROW()-1&lt;=$L$2+$M$2,IFERROR(INDEX(CLOZE_AB!$A:$K,ROW()-1-$L$2+1,2),""),IF(ROW()-1&lt;=$L$2+$M$2+$N$2,IFERROR(INDEX(CLOZE_LIST!$A:$K,ROW()-1-$L$2-$M$2+1,2),""),IF(ROW()-1&lt;=$L$2+$M$2+$N$2+$O$2,IFERROR(INDEX(PROFORMA!$A:$K,ROW()-1-$L$2-$M$2-$N$2+1,2),""),"")))))</f>
        <v>0</v>
      </c>
      <c r="C187" s="3">
        <f>IF(ROW()-1&lt;=0,"",IF(ROW()-1&lt;=$L$2,IFERROR(INDEX(MCQ!$A:$K,ROW()-1+1,3),""),IF(ROW()-1&lt;=$L$2+$M$2,IFERROR(INDEX(CLOZE_AB!$A:$K,ROW()-1-$L$2+1,3),""),IF(ROW()-1&lt;=$L$2+$M$2+$N$2,IFERROR(INDEX(CLOZE_LIST!$A:$K,ROW()-1-$L$2-$M$2+1,3),""),IF(ROW()-1&lt;=$L$2+$M$2+$N$2+$O$2,IFERROR(INDEX(PROFORMA!$A:$K,ROW()-1-$L$2-$M$2-$N$2+1,3),""),"")))))</f>
        <v>0</v>
      </c>
      <c r="D187" s="3">
        <f>IF(ROW()-1&lt;=0,"",IF(ROW()-1&lt;=$L$2,IFERROR(INDEX(MCQ!$A:$K,ROW()-1+1,4),""),IF(ROW()-1&lt;=$L$2+$M$2,IFERROR(INDEX(CLOZE_AB!$A:$K,ROW()-1-$L$2+1,4),""),IF(ROW()-1&lt;=$L$2+$M$2+$N$2,IFERROR(INDEX(CLOZE_LIST!$A:$K,ROW()-1-$L$2-$M$2+1,4),""),IF(ROW()-1&lt;=$L$2+$M$2+$N$2+$O$2,IFERROR(INDEX(PROFORMA!$A:$K,ROW()-1-$L$2-$M$2-$N$2+1,4),""),"")))))</f>
        <v>0</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0</v>
      </c>
      <c r="G187" s="3">
        <f>IF(ROW()-1&lt;=0,"",IF(ROW()-1&lt;=$L$2,IFERROR(INDEX(MCQ!$A:$K,ROW()-1+1,7),""),IF(ROW()-1&lt;=$L$2+$M$2,IFERROR(INDEX(CLOZE_AB!$A:$K,ROW()-1-$L$2+1,7),""),IF(ROW()-1&lt;=$L$2+$M$2+$N$2,IFERROR(INDEX(CLOZE_LIST!$A:$K,ROW()-1-$L$2-$M$2+1,7),""),IF(ROW()-1&lt;=$L$2+$M$2+$N$2+$O$2,IFERROR(INDEX(PROFORMA!$A:$K,ROW()-1-$L$2-$M$2-$N$2+1,7),""),"")))))</f>
        <v>0</v>
      </c>
      <c r="H187" s="3">
        <f>IF(ROW()-1&lt;=0,"",IF(ROW()-1&lt;=$L$2,IFERROR(INDEX(MCQ!$A:$K,ROW()-1+1,8),""),IF(ROW()-1&lt;=$L$2+$M$2,IFERROR(INDEX(CLOZE_AB!$A:$K,ROW()-1-$L$2+1,8),""),IF(ROW()-1&lt;=$L$2+$M$2+$N$2,IFERROR(INDEX(CLOZE_LIST!$A:$K,ROW()-1-$L$2-$M$2+1,8),""),IF(ROW()-1&lt;=$L$2+$M$2+$N$2+$O$2,IFERROR(INDEX(PROFORMA!$A:$K,ROW()-1-$L$2-$M$2-$N$2+1,8),""),"")))))</f>
        <v>0</v>
      </c>
      <c r="I187" s="3">
        <f>IF(ROW()-1&lt;=0,"",IF(ROW()-1&lt;=$L$2,IFERROR(INDEX(MCQ!$A:$K,ROW()-1+1,9),""),IF(ROW()-1&lt;=$L$2+$M$2,IFERROR(INDEX(CLOZE_AB!$A:$K,ROW()-1-$L$2+1,9),""),IF(ROW()-1&lt;=$L$2+$M$2+$N$2,IFERROR(INDEX(CLOZE_LIST!$A:$K,ROW()-1-$L$2-$M$2+1,9),""),IF(ROW()-1&lt;=$L$2+$M$2+$N$2+$O$2,IFERROR(INDEX(PROFORMA!$A:$K,ROW()-1-$L$2-$M$2-$N$2+1,9),""),"")))))</f>
        <v>0</v>
      </c>
      <c r="J187" s="3">
        <f>IF(ROW()-1&lt;=0,"",IF(ROW()-1&lt;=$L$2,IFERROR(INDEX(MCQ!$A:$K,ROW()-1+1,10),""),IF(ROW()-1&lt;=$L$2+$M$2,IFERROR(INDEX(CLOZE_AB!$A:$K,ROW()-1-$L$2+1,10),""),IF(ROW()-1&lt;=$L$2+$M$2+$N$2,IFERROR(INDEX(CLOZE_LIST!$A:$K,ROW()-1-$L$2-$M$2+1,10),""),IF(ROW()-1&lt;=$L$2+$M$2+$N$2+$O$2,IFERROR(INDEX(PROFORMA!$A:$K,ROW()-1-$L$2-$M$2-$N$2+1,10),""),"")))))</f>
        <v>0</v>
      </c>
      <c r="K187" s="3">
        <f>IF(ROW()-1&lt;=0,"",IF(ROW()-1&lt;=$L$2,IFERROR(INDEX(MCQ!$A:$K,ROW()-1+1,11),""),IF(ROW()-1&lt;=$L$2+$M$2,IFERROR(INDEX(CLOZE_AB!$A:$K,ROW()-1-$L$2+1,11),""),IF(ROW()-1&lt;=$L$2+$M$2+$N$2,IFERROR(INDEX(CLOZE_LIST!$A:$K,ROW()-1-$L$2-$M$2+1,11),""),IF(ROW()-1&lt;=$L$2+$M$2+$N$2+$O$2,IFERROR(INDEX(PROFORMA!$A:$K,ROW()-1-$L$2-$M$2-$N$2+1,11),""),"")))))</f>
        <v>0</v>
      </c>
      <c r="L187" s="3">
        <f>COUNTA(MCQ!$A:$A)-1</f>
        <v>143</v>
      </c>
      <c r="M187" s="3">
        <f>COUNTA(CLOZE_AB!$A:$A)-1</f>
        <v>168</v>
      </c>
      <c r="N187" s="3">
        <f>COUNTA(CLOZE_LIST!$A:$A)-1</f>
        <v>199</v>
      </c>
      <c r="O187" s="3">
        <f>COUNTA(PROFORMA!$A:$A)-1</f>
        <v>199</v>
      </c>
    </row>
    <row r="188" spans="1:15" x14ac:dyDescent="0.3">
      <c r="A188" s="3" t="str">
        <f>IF(ROW()-1&lt;=0,"",IF(ROW()-1&lt;=$L$2,IFERROR(INDEX(MCQ!$A:$K,ROW()-1+1,1),""),IF(ROW()-1&lt;=$L$2+$M$2,IFERROR(INDEX(CLOZE_AB!$A:$K,ROW()-1-$L$2+1,1),""),IF(ROW()-1&lt;=$L$2+$M$2+$N$2,IFERROR(INDEX(CLOZE_LIST!$A:$K,ROW()-1-$L$2-$M$2+1,1),""),IF(ROW()-1&lt;=$L$2+$M$2+$N$2+$O$2,IFERROR(INDEX(PROFORMA!$A:$K,ROW()-1-$L$2-$M$2-$N$2+1,1),""),"")))))</f>
        <v/>
      </c>
      <c r="B188" s="3">
        <f>IF(ROW()-1&lt;=0,"",IF(ROW()-1&lt;=$L$2,IFERROR(INDEX(MCQ!$A:$K,ROW()-1+1,2),""),IF(ROW()-1&lt;=$L$2+$M$2,IFERROR(INDEX(CLOZE_AB!$A:$K,ROW()-1-$L$2+1,2),""),IF(ROW()-1&lt;=$L$2+$M$2+$N$2,IFERROR(INDEX(CLOZE_LIST!$A:$K,ROW()-1-$L$2-$M$2+1,2),""),IF(ROW()-1&lt;=$L$2+$M$2+$N$2+$O$2,IFERROR(INDEX(PROFORMA!$A:$K,ROW()-1-$L$2-$M$2-$N$2+1,2),""),"")))))</f>
        <v>0</v>
      </c>
      <c r="C188" s="3">
        <f>IF(ROW()-1&lt;=0,"",IF(ROW()-1&lt;=$L$2,IFERROR(INDEX(MCQ!$A:$K,ROW()-1+1,3),""),IF(ROW()-1&lt;=$L$2+$M$2,IFERROR(INDEX(CLOZE_AB!$A:$K,ROW()-1-$L$2+1,3),""),IF(ROW()-1&lt;=$L$2+$M$2+$N$2,IFERROR(INDEX(CLOZE_LIST!$A:$K,ROW()-1-$L$2-$M$2+1,3),""),IF(ROW()-1&lt;=$L$2+$M$2+$N$2+$O$2,IFERROR(INDEX(PROFORMA!$A:$K,ROW()-1-$L$2-$M$2-$N$2+1,3),""),"")))))</f>
        <v>0</v>
      </c>
      <c r="D188" s="3">
        <f>IF(ROW()-1&lt;=0,"",IF(ROW()-1&lt;=$L$2,IFERROR(INDEX(MCQ!$A:$K,ROW()-1+1,4),""),IF(ROW()-1&lt;=$L$2+$M$2,IFERROR(INDEX(CLOZE_AB!$A:$K,ROW()-1-$L$2+1,4),""),IF(ROW()-1&lt;=$L$2+$M$2+$N$2,IFERROR(INDEX(CLOZE_LIST!$A:$K,ROW()-1-$L$2-$M$2+1,4),""),IF(ROW()-1&lt;=$L$2+$M$2+$N$2+$O$2,IFERROR(INDEX(PROFORMA!$A:$K,ROW()-1-$L$2-$M$2-$N$2+1,4),""),"")))))</f>
        <v>0</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0</v>
      </c>
      <c r="G188" s="3">
        <f>IF(ROW()-1&lt;=0,"",IF(ROW()-1&lt;=$L$2,IFERROR(INDEX(MCQ!$A:$K,ROW()-1+1,7),""),IF(ROW()-1&lt;=$L$2+$M$2,IFERROR(INDEX(CLOZE_AB!$A:$K,ROW()-1-$L$2+1,7),""),IF(ROW()-1&lt;=$L$2+$M$2+$N$2,IFERROR(INDEX(CLOZE_LIST!$A:$K,ROW()-1-$L$2-$M$2+1,7),""),IF(ROW()-1&lt;=$L$2+$M$2+$N$2+$O$2,IFERROR(INDEX(PROFORMA!$A:$K,ROW()-1-$L$2-$M$2-$N$2+1,7),""),"")))))</f>
        <v>0</v>
      </c>
      <c r="H188" s="3">
        <f>IF(ROW()-1&lt;=0,"",IF(ROW()-1&lt;=$L$2,IFERROR(INDEX(MCQ!$A:$K,ROW()-1+1,8),""),IF(ROW()-1&lt;=$L$2+$M$2,IFERROR(INDEX(CLOZE_AB!$A:$K,ROW()-1-$L$2+1,8),""),IF(ROW()-1&lt;=$L$2+$M$2+$N$2,IFERROR(INDEX(CLOZE_LIST!$A:$K,ROW()-1-$L$2-$M$2+1,8),""),IF(ROW()-1&lt;=$L$2+$M$2+$N$2+$O$2,IFERROR(INDEX(PROFORMA!$A:$K,ROW()-1-$L$2-$M$2-$N$2+1,8),""),"")))))</f>
        <v>0</v>
      </c>
      <c r="I188" s="3">
        <f>IF(ROW()-1&lt;=0,"",IF(ROW()-1&lt;=$L$2,IFERROR(INDEX(MCQ!$A:$K,ROW()-1+1,9),""),IF(ROW()-1&lt;=$L$2+$M$2,IFERROR(INDEX(CLOZE_AB!$A:$K,ROW()-1-$L$2+1,9),""),IF(ROW()-1&lt;=$L$2+$M$2+$N$2,IFERROR(INDEX(CLOZE_LIST!$A:$K,ROW()-1-$L$2-$M$2+1,9),""),IF(ROW()-1&lt;=$L$2+$M$2+$N$2+$O$2,IFERROR(INDEX(PROFORMA!$A:$K,ROW()-1-$L$2-$M$2-$N$2+1,9),""),"")))))</f>
        <v>0</v>
      </c>
      <c r="J188" s="3">
        <f>IF(ROW()-1&lt;=0,"",IF(ROW()-1&lt;=$L$2,IFERROR(INDEX(MCQ!$A:$K,ROW()-1+1,10),""),IF(ROW()-1&lt;=$L$2+$M$2,IFERROR(INDEX(CLOZE_AB!$A:$K,ROW()-1-$L$2+1,10),""),IF(ROW()-1&lt;=$L$2+$M$2+$N$2,IFERROR(INDEX(CLOZE_LIST!$A:$K,ROW()-1-$L$2-$M$2+1,10),""),IF(ROW()-1&lt;=$L$2+$M$2+$N$2+$O$2,IFERROR(INDEX(PROFORMA!$A:$K,ROW()-1-$L$2-$M$2-$N$2+1,10),""),"")))))</f>
        <v>0</v>
      </c>
      <c r="K188" s="3">
        <f>IF(ROW()-1&lt;=0,"",IF(ROW()-1&lt;=$L$2,IFERROR(INDEX(MCQ!$A:$K,ROW()-1+1,11),""),IF(ROW()-1&lt;=$L$2+$M$2,IFERROR(INDEX(CLOZE_AB!$A:$K,ROW()-1-$L$2+1,11),""),IF(ROW()-1&lt;=$L$2+$M$2+$N$2,IFERROR(INDEX(CLOZE_LIST!$A:$K,ROW()-1-$L$2-$M$2+1,11),""),IF(ROW()-1&lt;=$L$2+$M$2+$N$2+$O$2,IFERROR(INDEX(PROFORMA!$A:$K,ROW()-1-$L$2-$M$2-$N$2+1,11),""),"")))))</f>
        <v>0</v>
      </c>
      <c r="L188" s="3">
        <f>COUNTA(MCQ!$A:$A)-1</f>
        <v>143</v>
      </c>
      <c r="M188" s="3">
        <f>COUNTA(CLOZE_AB!$A:$A)-1</f>
        <v>168</v>
      </c>
      <c r="N188" s="3">
        <f>COUNTA(CLOZE_LIST!$A:$A)-1</f>
        <v>199</v>
      </c>
      <c r="O188" s="3">
        <f>COUNTA(PROFORMA!$A:$A)-1</f>
        <v>199</v>
      </c>
    </row>
    <row r="189" spans="1:15" x14ac:dyDescent="0.3">
      <c r="A189" s="3" t="str">
        <f>IF(ROW()-1&lt;=0,"",IF(ROW()-1&lt;=$L$2,IFERROR(INDEX(MCQ!$A:$K,ROW()-1+1,1),""),IF(ROW()-1&lt;=$L$2+$M$2,IFERROR(INDEX(CLOZE_AB!$A:$K,ROW()-1-$L$2+1,1),""),IF(ROW()-1&lt;=$L$2+$M$2+$N$2,IFERROR(INDEX(CLOZE_LIST!$A:$K,ROW()-1-$L$2-$M$2+1,1),""),IF(ROW()-1&lt;=$L$2+$M$2+$N$2+$O$2,IFERROR(INDEX(PROFORMA!$A:$K,ROW()-1-$L$2-$M$2-$N$2+1,1),""),"")))))</f>
        <v/>
      </c>
      <c r="B189" s="3">
        <f>IF(ROW()-1&lt;=0,"",IF(ROW()-1&lt;=$L$2,IFERROR(INDEX(MCQ!$A:$K,ROW()-1+1,2),""),IF(ROW()-1&lt;=$L$2+$M$2,IFERROR(INDEX(CLOZE_AB!$A:$K,ROW()-1-$L$2+1,2),""),IF(ROW()-1&lt;=$L$2+$M$2+$N$2,IFERROR(INDEX(CLOZE_LIST!$A:$K,ROW()-1-$L$2-$M$2+1,2),""),IF(ROW()-1&lt;=$L$2+$M$2+$N$2+$O$2,IFERROR(INDEX(PROFORMA!$A:$K,ROW()-1-$L$2-$M$2-$N$2+1,2),""),"")))))</f>
        <v>0</v>
      </c>
      <c r="C189" s="3">
        <f>IF(ROW()-1&lt;=0,"",IF(ROW()-1&lt;=$L$2,IFERROR(INDEX(MCQ!$A:$K,ROW()-1+1,3),""),IF(ROW()-1&lt;=$L$2+$M$2,IFERROR(INDEX(CLOZE_AB!$A:$K,ROW()-1-$L$2+1,3),""),IF(ROW()-1&lt;=$L$2+$M$2+$N$2,IFERROR(INDEX(CLOZE_LIST!$A:$K,ROW()-1-$L$2-$M$2+1,3),""),IF(ROW()-1&lt;=$L$2+$M$2+$N$2+$O$2,IFERROR(INDEX(PROFORMA!$A:$K,ROW()-1-$L$2-$M$2-$N$2+1,3),""),"")))))</f>
        <v>0</v>
      </c>
      <c r="D189" s="3">
        <f>IF(ROW()-1&lt;=0,"",IF(ROW()-1&lt;=$L$2,IFERROR(INDEX(MCQ!$A:$K,ROW()-1+1,4),""),IF(ROW()-1&lt;=$L$2+$M$2,IFERROR(INDEX(CLOZE_AB!$A:$K,ROW()-1-$L$2+1,4),""),IF(ROW()-1&lt;=$L$2+$M$2+$N$2,IFERROR(INDEX(CLOZE_LIST!$A:$K,ROW()-1-$L$2-$M$2+1,4),""),IF(ROW()-1&lt;=$L$2+$M$2+$N$2+$O$2,IFERROR(INDEX(PROFORMA!$A:$K,ROW()-1-$L$2-$M$2-$N$2+1,4),""),"")))))</f>
        <v>0</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0</v>
      </c>
      <c r="G189" s="3">
        <f>IF(ROW()-1&lt;=0,"",IF(ROW()-1&lt;=$L$2,IFERROR(INDEX(MCQ!$A:$K,ROW()-1+1,7),""),IF(ROW()-1&lt;=$L$2+$M$2,IFERROR(INDEX(CLOZE_AB!$A:$K,ROW()-1-$L$2+1,7),""),IF(ROW()-1&lt;=$L$2+$M$2+$N$2,IFERROR(INDEX(CLOZE_LIST!$A:$K,ROW()-1-$L$2-$M$2+1,7),""),IF(ROW()-1&lt;=$L$2+$M$2+$N$2+$O$2,IFERROR(INDEX(PROFORMA!$A:$K,ROW()-1-$L$2-$M$2-$N$2+1,7),""),"")))))</f>
        <v>0</v>
      </c>
      <c r="H189" s="3">
        <f>IF(ROW()-1&lt;=0,"",IF(ROW()-1&lt;=$L$2,IFERROR(INDEX(MCQ!$A:$K,ROW()-1+1,8),""),IF(ROW()-1&lt;=$L$2+$M$2,IFERROR(INDEX(CLOZE_AB!$A:$K,ROW()-1-$L$2+1,8),""),IF(ROW()-1&lt;=$L$2+$M$2+$N$2,IFERROR(INDEX(CLOZE_LIST!$A:$K,ROW()-1-$L$2-$M$2+1,8),""),IF(ROW()-1&lt;=$L$2+$M$2+$N$2+$O$2,IFERROR(INDEX(PROFORMA!$A:$K,ROW()-1-$L$2-$M$2-$N$2+1,8),""),"")))))</f>
        <v>0</v>
      </c>
      <c r="I189" s="3">
        <f>IF(ROW()-1&lt;=0,"",IF(ROW()-1&lt;=$L$2,IFERROR(INDEX(MCQ!$A:$K,ROW()-1+1,9),""),IF(ROW()-1&lt;=$L$2+$M$2,IFERROR(INDEX(CLOZE_AB!$A:$K,ROW()-1-$L$2+1,9),""),IF(ROW()-1&lt;=$L$2+$M$2+$N$2,IFERROR(INDEX(CLOZE_LIST!$A:$K,ROW()-1-$L$2-$M$2+1,9),""),IF(ROW()-1&lt;=$L$2+$M$2+$N$2+$O$2,IFERROR(INDEX(PROFORMA!$A:$K,ROW()-1-$L$2-$M$2-$N$2+1,9),""),"")))))</f>
        <v>0</v>
      </c>
      <c r="J189" s="3">
        <f>IF(ROW()-1&lt;=0,"",IF(ROW()-1&lt;=$L$2,IFERROR(INDEX(MCQ!$A:$K,ROW()-1+1,10),""),IF(ROW()-1&lt;=$L$2+$M$2,IFERROR(INDEX(CLOZE_AB!$A:$K,ROW()-1-$L$2+1,10),""),IF(ROW()-1&lt;=$L$2+$M$2+$N$2,IFERROR(INDEX(CLOZE_LIST!$A:$K,ROW()-1-$L$2-$M$2+1,10),""),IF(ROW()-1&lt;=$L$2+$M$2+$N$2+$O$2,IFERROR(INDEX(PROFORMA!$A:$K,ROW()-1-$L$2-$M$2-$N$2+1,10),""),"")))))</f>
        <v>0</v>
      </c>
      <c r="K189" s="3">
        <f>IF(ROW()-1&lt;=0,"",IF(ROW()-1&lt;=$L$2,IFERROR(INDEX(MCQ!$A:$K,ROW()-1+1,11),""),IF(ROW()-1&lt;=$L$2+$M$2,IFERROR(INDEX(CLOZE_AB!$A:$K,ROW()-1-$L$2+1,11),""),IF(ROW()-1&lt;=$L$2+$M$2+$N$2,IFERROR(INDEX(CLOZE_LIST!$A:$K,ROW()-1-$L$2-$M$2+1,11),""),IF(ROW()-1&lt;=$L$2+$M$2+$N$2+$O$2,IFERROR(INDEX(PROFORMA!$A:$K,ROW()-1-$L$2-$M$2-$N$2+1,11),""),"")))))</f>
        <v>0</v>
      </c>
      <c r="L189" s="3">
        <f>COUNTA(MCQ!$A:$A)-1</f>
        <v>143</v>
      </c>
      <c r="M189" s="3">
        <f>COUNTA(CLOZE_AB!$A:$A)-1</f>
        <v>168</v>
      </c>
      <c r="N189" s="3">
        <f>COUNTA(CLOZE_LIST!$A:$A)-1</f>
        <v>199</v>
      </c>
      <c r="O189" s="3">
        <f>COUNTA(PROFORMA!$A:$A)-1</f>
        <v>199</v>
      </c>
    </row>
    <row r="190" spans="1:15" x14ac:dyDescent="0.3">
      <c r="A190" s="3" t="str">
        <f>IF(ROW()-1&lt;=0,"",IF(ROW()-1&lt;=$L$2,IFERROR(INDEX(MCQ!$A:$K,ROW()-1+1,1),""),IF(ROW()-1&lt;=$L$2+$M$2,IFERROR(INDEX(CLOZE_AB!$A:$K,ROW()-1-$L$2+1,1),""),IF(ROW()-1&lt;=$L$2+$M$2+$N$2,IFERROR(INDEX(CLOZE_LIST!$A:$K,ROW()-1-$L$2-$M$2+1,1),""),IF(ROW()-1&lt;=$L$2+$M$2+$N$2+$O$2,IFERROR(INDEX(PROFORMA!$A:$K,ROW()-1-$L$2-$M$2-$N$2+1,1),""),"")))))</f>
        <v/>
      </c>
      <c r="B190" s="3">
        <f>IF(ROW()-1&lt;=0,"",IF(ROW()-1&lt;=$L$2,IFERROR(INDEX(MCQ!$A:$K,ROW()-1+1,2),""),IF(ROW()-1&lt;=$L$2+$M$2,IFERROR(INDEX(CLOZE_AB!$A:$K,ROW()-1-$L$2+1,2),""),IF(ROW()-1&lt;=$L$2+$M$2+$N$2,IFERROR(INDEX(CLOZE_LIST!$A:$K,ROW()-1-$L$2-$M$2+1,2),""),IF(ROW()-1&lt;=$L$2+$M$2+$N$2+$O$2,IFERROR(INDEX(PROFORMA!$A:$K,ROW()-1-$L$2-$M$2-$N$2+1,2),""),"")))))</f>
        <v>0</v>
      </c>
      <c r="C190" s="3">
        <f>IF(ROW()-1&lt;=0,"",IF(ROW()-1&lt;=$L$2,IFERROR(INDEX(MCQ!$A:$K,ROW()-1+1,3),""),IF(ROW()-1&lt;=$L$2+$M$2,IFERROR(INDEX(CLOZE_AB!$A:$K,ROW()-1-$L$2+1,3),""),IF(ROW()-1&lt;=$L$2+$M$2+$N$2,IFERROR(INDEX(CLOZE_LIST!$A:$K,ROW()-1-$L$2-$M$2+1,3),""),IF(ROW()-1&lt;=$L$2+$M$2+$N$2+$O$2,IFERROR(INDEX(PROFORMA!$A:$K,ROW()-1-$L$2-$M$2-$N$2+1,3),""),"")))))</f>
        <v>0</v>
      </c>
      <c r="D190" s="3">
        <f>IF(ROW()-1&lt;=0,"",IF(ROW()-1&lt;=$L$2,IFERROR(INDEX(MCQ!$A:$K,ROW()-1+1,4),""),IF(ROW()-1&lt;=$L$2+$M$2,IFERROR(INDEX(CLOZE_AB!$A:$K,ROW()-1-$L$2+1,4),""),IF(ROW()-1&lt;=$L$2+$M$2+$N$2,IFERROR(INDEX(CLOZE_LIST!$A:$K,ROW()-1-$L$2-$M$2+1,4),""),IF(ROW()-1&lt;=$L$2+$M$2+$N$2+$O$2,IFERROR(INDEX(PROFORMA!$A:$K,ROW()-1-$L$2-$M$2-$N$2+1,4),""),"")))))</f>
        <v>0</v>
      </c>
      <c r="E190" s="3" t="str">
        <f>IF(ROW()-1&lt;=0,"",IF(ROW()-1&lt;=$L$2,IFERROR(INDEX(MCQ!$A:$K,ROW()-1+1,5),""),IF(ROW()-1&lt;=$L$2+$M$2,IFERROR(INDEX(CLOZE_AB!$A:$K,ROW()-1-$L$2+1,5),""),IF(ROW()-1&lt;=$L$2+$M$2+$N$2,IFERROR(INDEX(CLOZE_LIST!$A:$K,ROW()-1-$L$2-$M$2+1,5),""),IF(ROW()-1&lt;=$L$2+$M$2+$N$2+$O$2,IFERROR(INDEX(PROFORMA!$A:$K,ROW()-1-$L$2-$M$2-$N$2+1,5),""),"")))))</f>
        <v>cloze_ab</v>
      </c>
      <c r="F190" s="3">
        <f>IF(ROW()-1&lt;=0,"",IF(ROW()-1&lt;=$L$2,IFERROR(INDEX(MCQ!$A:$K,ROW()-1+1,6),""),IF(ROW()-1&lt;=$L$2+$M$2,IFERROR(INDEX(CLOZE_AB!$A:$K,ROW()-1-$L$2+1,6),""),IF(ROW()-1&lt;=$L$2+$M$2+$N$2,IFERROR(INDEX(CLOZE_LIST!$A:$K,ROW()-1-$L$2-$M$2+1,6),""),IF(ROW()-1&lt;=$L$2+$M$2+$N$2+$O$2,IFERROR(INDEX(PROFORMA!$A:$K,ROW()-1-$L$2-$M$2-$N$2+1,6),""),"")))))</f>
        <v>0</v>
      </c>
      <c r="G190" s="3">
        <f>IF(ROW()-1&lt;=0,"",IF(ROW()-1&lt;=$L$2,IFERROR(INDEX(MCQ!$A:$K,ROW()-1+1,7),""),IF(ROW()-1&lt;=$L$2+$M$2,IFERROR(INDEX(CLOZE_AB!$A:$K,ROW()-1-$L$2+1,7),""),IF(ROW()-1&lt;=$L$2+$M$2+$N$2,IFERROR(INDEX(CLOZE_LIST!$A:$K,ROW()-1-$L$2-$M$2+1,7),""),IF(ROW()-1&lt;=$L$2+$M$2+$N$2+$O$2,IFERROR(INDEX(PROFORMA!$A:$K,ROW()-1-$L$2-$M$2-$N$2+1,7),""),"")))))</f>
        <v>0</v>
      </c>
      <c r="H190" s="3">
        <f>IF(ROW()-1&lt;=0,"",IF(ROW()-1&lt;=$L$2,IFERROR(INDEX(MCQ!$A:$K,ROW()-1+1,8),""),IF(ROW()-1&lt;=$L$2+$M$2,IFERROR(INDEX(CLOZE_AB!$A:$K,ROW()-1-$L$2+1,8),""),IF(ROW()-1&lt;=$L$2+$M$2+$N$2,IFERROR(INDEX(CLOZE_LIST!$A:$K,ROW()-1-$L$2-$M$2+1,8),""),IF(ROW()-1&lt;=$L$2+$M$2+$N$2+$O$2,IFERROR(INDEX(PROFORMA!$A:$K,ROW()-1-$L$2-$M$2-$N$2+1,8),""),"")))))</f>
        <v>0</v>
      </c>
      <c r="I190" s="3">
        <f>IF(ROW()-1&lt;=0,"",IF(ROW()-1&lt;=$L$2,IFERROR(INDEX(MCQ!$A:$K,ROW()-1+1,9),""),IF(ROW()-1&lt;=$L$2+$M$2,IFERROR(INDEX(CLOZE_AB!$A:$K,ROW()-1-$L$2+1,9),""),IF(ROW()-1&lt;=$L$2+$M$2+$N$2,IFERROR(INDEX(CLOZE_LIST!$A:$K,ROW()-1-$L$2-$M$2+1,9),""),IF(ROW()-1&lt;=$L$2+$M$2+$N$2+$O$2,IFERROR(INDEX(PROFORMA!$A:$K,ROW()-1-$L$2-$M$2-$N$2+1,9),""),"")))))</f>
        <v>0</v>
      </c>
      <c r="J190" s="3">
        <f>IF(ROW()-1&lt;=0,"",IF(ROW()-1&lt;=$L$2,IFERROR(INDEX(MCQ!$A:$K,ROW()-1+1,10),""),IF(ROW()-1&lt;=$L$2+$M$2,IFERROR(INDEX(CLOZE_AB!$A:$K,ROW()-1-$L$2+1,10),""),IF(ROW()-1&lt;=$L$2+$M$2+$N$2,IFERROR(INDEX(CLOZE_LIST!$A:$K,ROW()-1-$L$2-$M$2+1,10),""),IF(ROW()-1&lt;=$L$2+$M$2+$N$2+$O$2,IFERROR(INDEX(PROFORMA!$A:$K,ROW()-1-$L$2-$M$2-$N$2+1,10),""),"")))))</f>
        <v>0</v>
      </c>
      <c r="K190" s="3">
        <f>IF(ROW()-1&lt;=0,"",IF(ROW()-1&lt;=$L$2,IFERROR(INDEX(MCQ!$A:$K,ROW()-1+1,11),""),IF(ROW()-1&lt;=$L$2+$M$2,IFERROR(INDEX(CLOZE_AB!$A:$K,ROW()-1-$L$2+1,11),""),IF(ROW()-1&lt;=$L$2+$M$2+$N$2,IFERROR(INDEX(CLOZE_LIST!$A:$K,ROW()-1-$L$2-$M$2+1,11),""),IF(ROW()-1&lt;=$L$2+$M$2+$N$2+$O$2,IFERROR(INDEX(PROFORMA!$A:$K,ROW()-1-$L$2-$M$2-$N$2+1,11),""),"")))))</f>
        <v>0</v>
      </c>
      <c r="L190" s="3">
        <f>COUNTA(MCQ!$A:$A)-1</f>
        <v>143</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t="str">
        <f>IF(ROW()-1&lt;=0,"",IF(ROW()-1&lt;=$L$2,IFERROR(INDEX(MCQ!$A:$K,ROW()-1+1,5),""),IF(ROW()-1&lt;=$L$2+$M$2,IFERROR(INDEX(CLOZE_AB!$A:$K,ROW()-1-$L$2+1,5),""),IF(ROW()-1&lt;=$L$2+$M$2+$N$2,IFERROR(INDEX(CLOZE_LIST!$A:$K,ROW()-1-$L$2-$M$2+1,5),""),IF(ROW()-1&lt;=$L$2+$M$2+$N$2+$O$2,IFERROR(INDEX(PROFORMA!$A:$K,ROW()-1-$L$2-$M$2-$N$2+1,5),""),"")))))</f>
        <v>cloze_ab</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143</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t="str">
        <f>IF(ROW()-1&lt;=0,"",IF(ROW()-1&lt;=$L$2,IFERROR(INDEX(MCQ!$A:$K,ROW()-1+1,5),""),IF(ROW()-1&lt;=$L$2+$M$2,IFERROR(INDEX(CLOZE_AB!$A:$K,ROW()-1-$L$2+1,5),""),IF(ROW()-1&lt;=$L$2+$M$2+$N$2,IFERROR(INDEX(CLOZE_LIST!$A:$K,ROW()-1-$L$2-$M$2+1,5),""),IF(ROW()-1&lt;=$L$2+$M$2+$N$2+$O$2,IFERROR(INDEX(PROFORMA!$A:$K,ROW()-1-$L$2-$M$2-$N$2+1,5),""),"")))))</f>
        <v>cloze_ab</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143</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t="str">
        <f>IF(ROW()-1&lt;=0,"",IF(ROW()-1&lt;=$L$2,IFERROR(INDEX(MCQ!$A:$K,ROW()-1+1,5),""),IF(ROW()-1&lt;=$L$2+$M$2,IFERROR(INDEX(CLOZE_AB!$A:$K,ROW()-1-$L$2+1,5),""),IF(ROW()-1&lt;=$L$2+$M$2+$N$2,IFERROR(INDEX(CLOZE_LIST!$A:$K,ROW()-1-$L$2-$M$2+1,5),""),IF(ROW()-1&lt;=$L$2+$M$2+$N$2+$O$2,IFERROR(INDEX(PROFORMA!$A:$K,ROW()-1-$L$2-$M$2-$N$2+1,5),""),"")))))</f>
        <v>cloze_ab</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143</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t="str">
        <f>IF(ROW()-1&lt;=0,"",IF(ROW()-1&lt;=$L$2,IFERROR(INDEX(MCQ!$A:$K,ROW()-1+1,5),""),IF(ROW()-1&lt;=$L$2+$M$2,IFERROR(INDEX(CLOZE_AB!$A:$K,ROW()-1-$L$2+1,5),""),IF(ROW()-1&lt;=$L$2+$M$2+$N$2,IFERROR(INDEX(CLOZE_LIST!$A:$K,ROW()-1-$L$2-$M$2+1,5),""),IF(ROW()-1&lt;=$L$2+$M$2+$N$2+$O$2,IFERROR(INDEX(PROFORMA!$A:$K,ROW()-1-$L$2-$M$2-$N$2+1,5),""),"")))))</f>
        <v>cloze_ab</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143</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t="str">
        <f>IF(ROW()-1&lt;=0,"",IF(ROW()-1&lt;=$L$2,IFERROR(INDEX(MCQ!$A:$K,ROW()-1+1,5),""),IF(ROW()-1&lt;=$L$2+$M$2,IFERROR(INDEX(CLOZE_AB!$A:$K,ROW()-1-$L$2+1,5),""),IF(ROW()-1&lt;=$L$2+$M$2+$N$2,IFERROR(INDEX(CLOZE_LIST!$A:$K,ROW()-1-$L$2-$M$2+1,5),""),IF(ROW()-1&lt;=$L$2+$M$2+$N$2+$O$2,IFERROR(INDEX(PROFORMA!$A:$K,ROW()-1-$L$2-$M$2-$N$2+1,5),""),"")))))</f>
        <v>cloze_ab</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143</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t="str">
        <f>IF(ROW()-1&lt;=0,"",IF(ROW()-1&lt;=$L$2,IFERROR(INDEX(MCQ!$A:$K,ROW()-1+1,5),""),IF(ROW()-1&lt;=$L$2+$M$2,IFERROR(INDEX(CLOZE_AB!$A:$K,ROW()-1-$L$2+1,5),""),IF(ROW()-1&lt;=$L$2+$M$2+$N$2,IFERROR(INDEX(CLOZE_LIST!$A:$K,ROW()-1-$L$2-$M$2+1,5),""),IF(ROW()-1&lt;=$L$2+$M$2+$N$2+$O$2,IFERROR(INDEX(PROFORMA!$A:$K,ROW()-1-$L$2-$M$2-$N$2+1,5),""),"")))))</f>
        <v>cloze_ab</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143</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t="str">
        <f>IF(ROW()-1&lt;=0,"",IF(ROW()-1&lt;=$L$2,IFERROR(INDEX(MCQ!$A:$K,ROW()-1+1,5),""),IF(ROW()-1&lt;=$L$2+$M$2,IFERROR(INDEX(CLOZE_AB!$A:$K,ROW()-1-$L$2+1,5),""),IF(ROW()-1&lt;=$L$2+$M$2+$N$2,IFERROR(INDEX(CLOZE_LIST!$A:$K,ROW()-1-$L$2-$M$2+1,5),""),IF(ROW()-1&lt;=$L$2+$M$2+$N$2+$O$2,IFERROR(INDEX(PROFORMA!$A:$K,ROW()-1-$L$2-$M$2-$N$2+1,5),""),"")))))</f>
        <v>cloze_ab</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143</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t="str">
        <f>IF(ROW()-1&lt;=0,"",IF(ROW()-1&lt;=$L$2,IFERROR(INDEX(MCQ!$A:$K,ROW()-1+1,5),""),IF(ROW()-1&lt;=$L$2+$M$2,IFERROR(INDEX(CLOZE_AB!$A:$K,ROW()-1-$L$2+1,5),""),IF(ROW()-1&lt;=$L$2+$M$2+$N$2,IFERROR(INDEX(CLOZE_LIST!$A:$K,ROW()-1-$L$2-$M$2+1,5),""),IF(ROW()-1&lt;=$L$2+$M$2+$N$2+$O$2,IFERROR(INDEX(PROFORMA!$A:$K,ROW()-1-$L$2-$M$2-$N$2+1,5),""),"")))))</f>
        <v>cloze_ab</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143</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t="str">
        <f>IF(ROW()-1&lt;=0,"",IF(ROW()-1&lt;=$L$2,IFERROR(INDEX(MCQ!$A:$K,ROW()-1+1,5),""),IF(ROW()-1&lt;=$L$2+$M$2,IFERROR(INDEX(CLOZE_AB!$A:$K,ROW()-1-$L$2+1,5),""),IF(ROW()-1&lt;=$L$2+$M$2+$N$2,IFERROR(INDEX(CLOZE_LIST!$A:$K,ROW()-1-$L$2-$M$2+1,5),""),IF(ROW()-1&lt;=$L$2+$M$2+$N$2+$O$2,IFERROR(INDEX(PROFORMA!$A:$K,ROW()-1-$L$2-$M$2-$N$2+1,5),""),"")))))</f>
        <v>cloze_ab</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143</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t="str">
        <f>IF(ROW()-1&lt;=0,"",IF(ROW()-1&lt;=$L$2,IFERROR(INDEX(MCQ!$A:$K,ROW()-1+1,5),""),IF(ROW()-1&lt;=$L$2+$M$2,IFERROR(INDEX(CLOZE_AB!$A:$K,ROW()-1-$L$2+1,5),""),IF(ROW()-1&lt;=$L$2+$M$2+$N$2,IFERROR(INDEX(CLOZE_LIST!$A:$K,ROW()-1-$L$2-$M$2+1,5),""),IF(ROW()-1&lt;=$L$2+$M$2+$N$2+$O$2,IFERROR(INDEX(PROFORMA!$A:$K,ROW()-1-$L$2-$M$2-$N$2+1,5),""),"")))))</f>
        <v>cloze_ab</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143</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t="str">
        <f>IF(ROW()-1&lt;=0,"",IF(ROW()-1&lt;=$L$2,IFERROR(INDEX(MCQ!$A:$K,ROW()-1+1,5),""),IF(ROW()-1&lt;=$L$2+$M$2,IFERROR(INDEX(CLOZE_AB!$A:$K,ROW()-1-$L$2+1,5),""),IF(ROW()-1&lt;=$L$2+$M$2+$N$2,IFERROR(INDEX(CLOZE_LIST!$A:$K,ROW()-1-$L$2-$M$2+1,5),""),IF(ROW()-1&lt;=$L$2+$M$2+$N$2+$O$2,IFERROR(INDEX(PROFORMA!$A:$K,ROW()-1-$L$2-$M$2-$N$2+1,5),""),"")))))</f>
        <v>cloze_ab</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143</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t="str">
        <f>IF(ROW()-1&lt;=0,"",IF(ROW()-1&lt;=$L$2,IFERROR(INDEX(MCQ!$A:$K,ROW()-1+1,5),""),IF(ROW()-1&lt;=$L$2+$M$2,IFERROR(INDEX(CLOZE_AB!$A:$K,ROW()-1-$L$2+1,5),""),IF(ROW()-1&lt;=$L$2+$M$2+$N$2,IFERROR(INDEX(CLOZE_LIST!$A:$K,ROW()-1-$L$2-$M$2+1,5),""),IF(ROW()-1&lt;=$L$2+$M$2+$N$2+$O$2,IFERROR(INDEX(PROFORMA!$A:$K,ROW()-1-$L$2-$M$2-$N$2+1,5),""),"")))))</f>
        <v>cloze_ab</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143</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t="str">
        <f>IF(ROW()-1&lt;=0,"",IF(ROW()-1&lt;=$L$2,IFERROR(INDEX(MCQ!$A:$K,ROW()-1+1,5),""),IF(ROW()-1&lt;=$L$2+$M$2,IFERROR(INDEX(CLOZE_AB!$A:$K,ROW()-1-$L$2+1,5),""),IF(ROW()-1&lt;=$L$2+$M$2+$N$2,IFERROR(INDEX(CLOZE_LIST!$A:$K,ROW()-1-$L$2-$M$2+1,5),""),IF(ROW()-1&lt;=$L$2+$M$2+$N$2+$O$2,IFERROR(INDEX(PROFORMA!$A:$K,ROW()-1-$L$2-$M$2-$N$2+1,5),""),"")))))</f>
        <v>cloze_ab</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143</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t="str">
        <f>IF(ROW()-1&lt;=0,"",IF(ROW()-1&lt;=$L$2,IFERROR(INDEX(MCQ!$A:$K,ROW()-1+1,5),""),IF(ROW()-1&lt;=$L$2+$M$2,IFERROR(INDEX(CLOZE_AB!$A:$K,ROW()-1-$L$2+1,5),""),IF(ROW()-1&lt;=$L$2+$M$2+$N$2,IFERROR(INDEX(CLOZE_LIST!$A:$K,ROW()-1-$L$2-$M$2+1,5),""),IF(ROW()-1&lt;=$L$2+$M$2+$N$2+$O$2,IFERROR(INDEX(PROFORMA!$A:$K,ROW()-1-$L$2-$M$2-$N$2+1,5),""),"")))))</f>
        <v>cloze_ab</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143</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t="str">
        <f>IF(ROW()-1&lt;=0,"",IF(ROW()-1&lt;=$L$2,IFERROR(INDEX(MCQ!$A:$K,ROW()-1+1,5),""),IF(ROW()-1&lt;=$L$2+$M$2,IFERROR(INDEX(CLOZE_AB!$A:$K,ROW()-1-$L$2+1,5),""),IF(ROW()-1&lt;=$L$2+$M$2+$N$2,IFERROR(INDEX(CLOZE_LIST!$A:$K,ROW()-1-$L$2-$M$2+1,5),""),IF(ROW()-1&lt;=$L$2+$M$2+$N$2+$O$2,IFERROR(INDEX(PROFORMA!$A:$K,ROW()-1-$L$2-$M$2-$N$2+1,5),""),"")))))</f>
        <v>cloze_ab</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143</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t="str">
        <f>IF(ROW()-1&lt;=0,"",IF(ROW()-1&lt;=$L$2,IFERROR(INDEX(MCQ!$A:$K,ROW()-1+1,5),""),IF(ROW()-1&lt;=$L$2+$M$2,IFERROR(INDEX(CLOZE_AB!$A:$K,ROW()-1-$L$2+1,5),""),IF(ROW()-1&lt;=$L$2+$M$2+$N$2,IFERROR(INDEX(CLOZE_LIST!$A:$K,ROW()-1-$L$2-$M$2+1,5),""),IF(ROW()-1&lt;=$L$2+$M$2+$N$2+$O$2,IFERROR(INDEX(PROFORMA!$A:$K,ROW()-1-$L$2-$M$2-$N$2+1,5),""),"")))))</f>
        <v>cloze_ab</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143</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t="str">
        <f>IF(ROW()-1&lt;=0,"",IF(ROW()-1&lt;=$L$2,IFERROR(INDEX(MCQ!$A:$K,ROW()-1+1,5),""),IF(ROW()-1&lt;=$L$2+$M$2,IFERROR(INDEX(CLOZE_AB!$A:$K,ROW()-1-$L$2+1,5),""),IF(ROW()-1&lt;=$L$2+$M$2+$N$2,IFERROR(INDEX(CLOZE_LIST!$A:$K,ROW()-1-$L$2-$M$2+1,5),""),IF(ROW()-1&lt;=$L$2+$M$2+$N$2+$O$2,IFERROR(INDEX(PROFORMA!$A:$K,ROW()-1-$L$2-$M$2-$N$2+1,5),""),"")))))</f>
        <v>cloze_ab</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143</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t="str">
        <f>IF(ROW()-1&lt;=0,"",IF(ROW()-1&lt;=$L$2,IFERROR(INDEX(MCQ!$A:$K,ROW()-1+1,5),""),IF(ROW()-1&lt;=$L$2+$M$2,IFERROR(INDEX(CLOZE_AB!$A:$K,ROW()-1-$L$2+1,5),""),IF(ROW()-1&lt;=$L$2+$M$2+$N$2,IFERROR(INDEX(CLOZE_LIST!$A:$K,ROW()-1-$L$2-$M$2+1,5),""),IF(ROW()-1&lt;=$L$2+$M$2+$N$2+$O$2,IFERROR(INDEX(PROFORMA!$A:$K,ROW()-1-$L$2-$M$2-$N$2+1,5),""),"")))))</f>
        <v>cloze_ab</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143</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t="str">
        <f>IF(ROW()-1&lt;=0,"",IF(ROW()-1&lt;=$L$2,IFERROR(INDEX(MCQ!$A:$K,ROW()-1+1,5),""),IF(ROW()-1&lt;=$L$2+$M$2,IFERROR(INDEX(CLOZE_AB!$A:$K,ROW()-1-$L$2+1,5),""),IF(ROW()-1&lt;=$L$2+$M$2+$N$2,IFERROR(INDEX(CLOZE_LIST!$A:$K,ROW()-1-$L$2-$M$2+1,5),""),IF(ROW()-1&lt;=$L$2+$M$2+$N$2+$O$2,IFERROR(INDEX(PROFORMA!$A:$K,ROW()-1-$L$2-$M$2-$N$2+1,5),""),"")))))</f>
        <v>cloze_ab</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143</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t="str">
        <f>IF(ROW()-1&lt;=0,"",IF(ROW()-1&lt;=$L$2,IFERROR(INDEX(MCQ!$A:$K,ROW()-1+1,5),""),IF(ROW()-1&lt;=$L$2+$M$2,IFERROR(INDEX(CLOZE_AB!$A:$K,ROW()-1-$L$2+1,5),""),IF(ROW()-1&lt;=$L$2+$M$2+$N$2,IFERROR(INDEX(CLOZE_LIST!$A:$K,ROW()-1-$L$2-$M$2+1,5),""),IF(ROW()-1&lt;=$L$2+$M$2+$N$2+$O$2,IFERROR(INDEX(PROFORMA!$A:$K,ROW()-1-$L$2-$M$2-$N$2+1,5),""),"")))))</f>
        <v>cloze_ab</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143</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t="str">
        <f>IF(ROW()-1&lt;=0,"",IF(ROW()-1&lt;=$L$2,IFERROR(INDEX(MCQ!$A:$K,ROW()-1+1,5),""),IF(ROW()-1&lt;=$L$2+$M$2,IFERROR(INDEX(CLOZE_AB!$A:$K,ROW()-1-$L$2+1,5),""),IF(ROW()-1&lt;=$L$2+$M$2+$N$2,IFERROR(INDEX(CLOZE_LIST!$A:$K,ROW()-1-$L$2-$M$2+1,5),""),IF(ROW()-1&lt;=$L$2+$M$2+$N$2+$O$2,IFERROR(INDEX(PROFORMA!$A:$K,ROW()-1-$L$2-$M$2-$N$2+1,5),""),"")))))</f>
        <v>cloze_ab</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143</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t="str">
        <f>IF(ROW()-1&lt;=0,"",IF(ROW()-1&lt;=$L$2,IFERROR(INDEX(MCQ!$A:$K,ROW()-1+1,5),""),IF(ROW()-1&lt;=$L$2+$M$2,IFERROR(INDEX(CLOZE_AB!$A:$K,ROW()-1-$L$2+1,5),""),IF(ROW()-1&lt;=$L$2+$M$2+$N$2,IFERROR(INDEX(CLOZE_LIST!$A:$K,ROW()-1-$L$2-$M$2+1,5),""),IF(ROW()-1&lt;=$L$2+$M$2+$N$2+$O$2,IFERROR(INDEX(PROFORMA!$A:$K,ROW()-1-$L$2-$M$2-$N$2+1,5),""),"")))))</f>
        <v>cloze_ab</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143</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t="str">
        <f>IF(ROW()-1&lt;=0,"",IF(ROW()-1&lt;=$L$2,IFERROR(INDEX(MCQ!$A:$K,ROW()-1+1,5),""),IF(ROW()-1&lt;=$L$2+$M$2,IFERROR(INDEX(CLOZE_AB!$A:$K,ROW()-1-$L$2+1,5),""),IF(ROW()-1&lt;=$L$2+$M$2+$N$2,IFERROR(INDEX(CLOZE_LIST!$A:$K,ROW()-1-$L$2-$M$2+1,5),""),IF(ROW()-1&lt;=$L$2+$M$2+$N$2+$O$2,IFERROR(INDEX(PROFORMA!$A:$K,ROW()-1-$L$2-$M$2-$N$2+1,5),""),"")))))</f>
        <v>cloze_ab</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143</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t="str">
        <f>IF(ROW()-1&lt;=0,"",IF(ROW()-1&lt;=$L$2,IFERROR(INDEX(MCQ!$A:$K,ROW()-1+1,5),""),IF(ROW()-1&lt;=$L$2+$M$2,IFERROR(INDEX(CLOZE_AB!$A:$K,ROW()-1-$L$2+1,5),""),IF(ROW()-1&lt;=$L$2+$M$2+$N$2,IFERROR(INDEX(CLOZE_LIST!$A:$K,ROW()-1-$L$2-$M$2+1,5),""),IF(ROW()-1&lt;=$L$2+$M$2+$N$2+$O$2,IFERROR(INDEX(PROFORMA!$A:$K,ROW()-1-$L$2-$M$2-$N$2+1,5),""),"")))))</f>
        <v>cloze_ab</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143</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t="str">
        <f>IF(ROW()-1&lt;=0,"",IF(ROW()-1&lt;=$L$2,IFERROR(INDEX(MCQ!$A:$K,ROW()-1+1,5),""),IF(ROW()-1&lt;=$L$2+$M$2,IFERROR(INDEX(CLOZE_AB!$A:$K,ROW()-1-$L$2+1,5),""),IF(ROW()-1&lt;=$L$2+$M$2+$N$2,IFERROR(INDEX(CLOZE_LIST!$A:$K,ROW()-1-$L$2-$M$2+1,5),""),IF(ROW()-1&lt;=$L$2+$M$2+$N$2+$O$2,IFERROR(INDEX(PROFORMA!$A:$K,ROW()-1-$L$2-$M$2-$N$2+1,5),""),"")))))</f>
        <v>cloze_ab</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143</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t="str">
        <f>IF(ROW()-1&lt;=0,"",IF(ROW()-1&lt;=$L$2,IFERROR(INDEX(MCQ!$A:$K,ROW()-1+1,5),""),IF(ROW()-1&lt;=$L$2+$M$2,IFERROR(INDEX(CLOZE_AB!$A:$K,ROW()-1-$L$2+1,5),""),IF(ROW()-1&lt;=$L$2+$M$2+$N$2,IFERROR(INDEX(CLOZE_LIST!$A:$K,ROW()-1-$L$2-$M$2+1,5),""),IF(ROW()-1&lt;=$L$2+$M$2+$N$2+$O$2,IFERROR(INDEX(PROFORMA!$A:$K,ROW()-1-$L$2-$M$2-$N$2+1,5),""),"")))))</f>
        <v>cloze_ab</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143</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t="str">
        <f>IF(ROW()-1&lt;=0,"",IF(ROW()-1&lt;=$L$2,IFERROR(INDEX(MCQ!$A:$K,ROW()-1+1,5),""),IF(ROW()-1&lt;=$L$2+$M$2,IFERROR(INDEX(CLOZE_AB!$A:$K,ROW()-1-$L$2+1,5),""),IF(ROW()-1&lt;=$L$2+$M$2+$N$2,IFERROR(INDEX(CLOZE_LIST!$A:$K,ROW()-1-$L$2-$M$2+1,5),""),IF(ROW()-1&lt;=$L$2+$M$2+$N$2+$O$2,IFERROR(INDEX(PROFORMA!$A:$K,ROW()-1-$L$2-$M$2-$N$2+1,5),""),"")))))</f>
        <v>cloze_ab</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143</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t="str">
        <f>IF(ROW()-1&lt;=0,"",IF(ROW()-1&lt;=$L$2,IFERROR(INDEX(MCQ!$A:$K,ROW()-1+1,5),""),IF(ROW()-1&lt;=$L$2+$M$2,IFERROR(INDEX(CLOZE_AB!$A:$K,ROW()-1-$L$2+1,5),""),IF(ROW()-1&lt;=$L$2+$M$2+$N$2,IFERROR(INDEX(CLOZE_LIST!$A:$K,ROW()-1-$L$2-$M$2+1,5),""),IF(ROW()-1&lt;=$L$2+$M$2+$N$2+$O$2,IFERROR(INDEX(PROFORMA!$A:$K,ROW()-1-$L$2-$M$2-$N$2+1,5),""),"")))))</f>
        <v>cloze_ab</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143</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t="str">
        <f>IF(ROW()-1&lt;=0,"",IF(ROW()-1&lt;=$L$2,IFERROR(INDEX(MCQ!$A:$K,ROW()-1+1,5),""),IF(ROW()-1&lt;=$L$2+$M$2,IFERROR(INDEX(CLOZE_AB!$A:$K,ROW()-1-$L$2+1,5),""),IF(ROW()-1&lt;=$L$2+$M$2+$N$2,IFERROR(INDEX(CLOZE_LIST!$A:$K,ROW()-1-$L$2-$M$2+1,5),""),IF(ROW()-1&lt;=$L$2+$M$2+$N$2+$O$2,IFERROR(INDEX(PROFORMA!$A:$K,ROW()-1-$L$2-$M$2-$N$2+1,5),""),"")))))</f>
        <v>cloze_ab</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143</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t="str">
        <f>IF(ROW()-1&lt;=0,"",IF(ROW()-1&lt;=$L$2,IFERROR(INDEX(MCQ!$A:$K,ROW()-1+1,5),""),IF(ROW()-1&lt;=$L$2+$M$2,IFERROR(INDEX(CLOZE_AB!$A:$K,ROW()-1-$L$2+1,5),""),IF(ROW()-1&lt;=$L$2+$M$2+$N$2,IFERROR(INDEX(CLOZE_LIST!$A:$K,ROW()-1-$L$2-$M$2+1,5),""),IF(ROW()-1&lt;=$L$2+$M$2+$N$2+$O$2,IFERROR(INDEX(PROFORMA!$A:$K,ROW()-1-$L$2-$M$2-$N$2+1,5),""),"")))))</f>
        <v>cloze_ab</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143</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t="str">
        <f>IF(ROW()-1&lt;=0,"",IF(ROW()-1&lt;=$L$2,IFERROR(INDEX(MCQ!$A:$K,ROW()-1+1,5),""),IF(ROW()-1&lt;=$L$2+$M$2,IFERROR(INDEX(CLOZE_AB!$A:$K,ROW()-1-$L$2+1,5),""),IF(ROW()-1&lt;=$L$2+$M$2+$N$2,IFERROR(INDEX(CLOZE_LIST!$A:$K,ROW()-1-$L$2-$M$2+1,5),""),IF(ROW()-1&lt;=$L$2+$M$2+$N$2+$O$2,IFERROR(INDEX(PROFORMA!$A:$K,ROW()-1-$L$2-$M$2-$N$2+1,5),""),"")))))</f>
        <v>cloze_ab</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143</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t="str">
        <f>IF(ROW()-1&lt;=0,"",IF(ROW()-1&lt;=$L$2,IFERROR(INDEX(MCQ!$A:$K,ROW()-1+1,5),""),IF(ROW()-1&lt;=$L$2+$M$2,IFERROR(INDEX(CLOZE_AB!$A:$K,ROW()-1-$L$2+1,5),""),IF(ROW()-1&lt;=$L$2+$M$2+$N$2,IFERROR(INDEX(CLOZE_LIST!$A:$K,ROW()-1-$L$2-$M$2+1,5),""),IF(ROW()-1&lt;=$L$2+$M$2+$N$2+$O$2,IFERROR(INDEX(PROFORMA!$A:$K,ROW()-1-$L$2-$M$2-$N$2+1,5),""),"")))))</f>
        <v>cloze_ab</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143</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t="str">
        <f>IF(ROW()-1&lt;=0,"",IF(ROW()-1&lt;=$L$2,IFERROR(INDEX(MCQ!$A:$K,ROW()-1+1,5),""),IF(ROW()-1&lt;=$L$2+$M$2,IFERROR(INDEX(CLOZE_AB!$A:$K,ROW()-1-$L$2+1,5),""),IF(ROW()-1&lt;=$L$2+$M$2+$N$2,IFERROR(INDEX(CLOZE_LIST!$A:$K,ROW()-1-$L$2-$M$2+1,5),""),IF(ROW()-1&lt;=$L$2+$M$2+$N$2+$O$2,IFERROR(INDEX(PROFORMA!$A:$K,ROW()-1-$L$2-$M$2-$N$2+1,5),""),"")))))</f>
        <v>cloze_ab</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143</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t="str">
        <f>IF(ROW()-1&lt;=0,"",IF(ROW()-1&lt;=$L$2,IFERROR(INDEX(MCQ!$A:$K,ROW()-1+1,5),""),IF(ROW()-1&lt;=$L$2+$M$2,IFERROR(INDEX(CLOZE_AB!$A:$K,ROW()-1-$L$2+1,5),""),IF(ROW()-1&lt;=$L$2+$M$2+$N$2,IFERROR(INDEX(CLOZE_LIST!$A:$K,ROW()-1-$L$2-$M$2+1,5),""),IF(ROW()-1&lt;=$L$2+$M$2+$N$2+$O$2,IFERROR(INDEX(PROFORMA!$A:$K,ROW()-1-$L$2-$M$2-$N$2+1,5),""),"")))))</f>
        <v>cloze_ab</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143</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t="str">
        <f>IF(ROW()-1&lt;=0,"",IF(ROW()-1&lt;=$L$2,IFERROR(INDEX(MCQ!$A:$K,ROW()-1+1,5),""),IF(ROW()-1&lt;=$L$2+$M$2,IFERROR(INDEX(CLOZE_AB!$A:$K,ROW()-1-$L$2+1,5),""),IF(ROW()-1&lt;=$L$2+$M$2+$N$2,IFERROR(INDEX(CLOZE_LIST!$A:$K,ROW()-1-$L$2-$M$2+1,5),""),IF(ROW()-1&lt;=$L$2+$M$2+$N$2+$O$2,IFERROR(INDEX(PROFORMA!$A:$K,ROW()-1-$L$2-$M$2-$N$2+1,5),""),"")))))</f>
        <v>cloze_ab</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143</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t="str">
        <f>IF(ROW()-1&lt;=0,"",IF(ROW()-1&lt;=$L$2,IFERROR(INDEX(MCQ!$A:$K,ROW()-1+1,5),""),IF(ROW()-1&lt;=$L$2+$M$2,IFERROR(INDEX(CLOZE_AB!$A:$K,ROW()-1-$L$2+1,5),""),IF(ROW()-1&lt;=$L$2+$M$2+$N$2,IFERROR(INDEX(CLOZE_LIST!$A:$K,ROW()-1-$L$2-$M$2+1,5),""),IF(ROW()-1&lt;=$L$2+$M$2+$N$2+$O$2,IFERROR(INDEX(PROFORMA!$A:$K,ROW()-1-$L$2-$M$2-$N$2+1,5),""),"")))))</f>
        <v>cloze_ab</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143</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t="str">
        <f>IF(ROW()-1&lt;=0,"",IF(ROW()-1&lt;=$L$2,IFERROR(INDEX(MCQ!$A:$K,ROW()-1+1,5),""),IF(ROW()-1&lt;=$L$2+$M$2,IFERROR(INDEX(CLOZE_AB!$A:$K,ROW()-1-$L$2+1,5),""),IF(ROW()-1&lt;=$L$2+$M$2+$N$2,IFERROR(INDEX(CLOZE_LIST!$A:$K,ROW()-1-$L$2-$M$2+1,5),""),IF(ROW()-1&lt;=$L$2+$M$2+$N$2+$O$2,IFERROR(INDEX(PROFORMA!$A:$K,ROW()-1-$L$2-$M$2-$N$2+1,5),""),"")))))</f>
        <v>cloze_ab</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143</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t="str">
        <f>IF(ROW()-1&lt;=0,"",IF(ROW()-1&lt;=$L$2,IFERROR(INDEX(MCQ!$A:$K,ROW()-1+1,5),""),IF(ROW()-1&lt;=$L$2+$M$2,IFERROR(INDEX(CLOZE_AB!$A:$K,ROW()-1-$L$2+1,5),""),IF(ROW()-1&lt;=$L$2+$M$2+$N$2,IFERROR(INDEX(CLOZE_LIST!$A:$K,ROW()-1-$L$2-$M$2+1,5),""),IF(ROW()-1&lt;=$L$2+$M$2+$N$2+$O$2,IFERROR(INDEX(PROFORMA!$A:$K,ROW()-1-$L$2-$M$2-$N$2+1,5),""),"")))))</f>
        <v>cloze_ab</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143</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t="str">
        <f>IF(ROW()-1&lt;=0,"",IF(ROW()-1&lt;=$L$2,IFERROR(INDEX(MCQ!$A:$K,ROW()-1+1,5),""),IF(ROW()-1&lt;=$L$2+$M$2,IFERROR(INDEX(CLOZE_AB!$A:$K,ROW()-1-$L$2+1,5),""),IF(ROW()-1&lt;=$L$2+$M$2+$N$2,IFERROR(INDEX(CLOZE_LIST!$A:$K,ROW()-1-$L$2-$M$2+1,5),""),IF(ROW()-1&lt;=$L$2+$M$2+$N$2+$O$2,IFERROR(INDEX(PROFORMA!$A:$K,ROW()-1-$L$2-$M$2-$N$2+1,5),""),"")))))</f>
        <v>cloze_ab</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143</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t="str">
        <f>IF(ROW()-1&lt;=0,"",IF(ROW()-1&lt;=$L$2,IFERROR(INDEX(MCQ!$A:$K,ROW()-1+1,5),""),IF(ROW()-1&lt;=$L$2+$M$2,IFERROR(INDEX(CLOZE_AB!$A:$K,ROW()-1-$L$2+1,5),""),IF(ROW()-1&lt;=$L$2+$M$2+$N$2,IFERROR(INDEX(CLOZE_LIST!$A:$K,ROW()-1-$L$2-$M$2+1,5),""),IF(ROW()-1&lt;=$L$2+$M$2+$N$2+$O$2,IFERROR(INDEX(PROFORMA!$A:$K,ROW()-1-$L$2-$M$2-$N$2+1,5),""),"")))))</f>
        <v>cloze_ab</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143</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t="str">
        <f>IF(ROW()-1&lt;=0,"",IF(ROW()-1&lt;=$L$2,IFERROR(INDEX(MCQ!$A:$K,ROW()-1+1,5),""),IF(ROW()-1&lt;=$L$2+$M$2,IFERROR(INDEX(CLOZE_AB!$A:$K,ROW()-1-$L$2+1,5),""),IF(ROW()-1&lt;=$L$2+$M$2+$N$2,IFERROR(INDEX(CLOZE_LIST!$A:$K,ROW()-1-$L$2-$M$2+1,5),""),IF(ROW()-1&lt;=$L$2+$M$2+$N$2+$O$2,IFERROR(INDEX(PROFORMA!$A:$K,ROW()-1-$L$2-$M$2-$N$2+1,5),""),"")))))</f>
        <v>cloze_ab</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143</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t="str">
        <f>IF(ROW()-1&lt;=0,"",IF(ROW()-1&lt;=$L$2,IFERROR(INDEX(MCQ!$A:$K,ROW()-1+1,5),""),IF(ROW()-1&lt;=$L$2+$M$2,IFERROR(INDEX(CLOZE_AB!$A:$K,ROW()-1-$L$2+1,5),""),IF(ROW()-1&lt;=$L$2+$M$2+$N$2,IFERROR(INDEX(CLOZE_LIST!$A:$K,ROW()-1-$L$2-$M$2+1,5),""),IF(ROW()-1&lt;=$L$2+$M$2+$N$2+$O$2,IFERROR(INDEX(PROFORMA!$A:$K,ROW()-1-$L$2-$M$2-$N$2+1,5),""),"")))))</f>
        <v>cloze_ab</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143</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t="str">
        <f>IF(ROW()-1&lt;=0,"",IF(ROW()-1&lt;=$L$2,IFERROR(INDEX(MCQ!$A:$K,ROW()-1+1,5),""),IF(ROW()-1&lt;=$L$2+$M$2,IFERROR(INDEX(CLOZE_AB!$A:$K,ROW()-1-$L$2+1,5),""),IF(ROW()-1&lt;=$L$2+$M$2+$N$2,IFERROR(INDEX(CLOZE_LIST!$A:$K,ROW()-1-$L$2-$M$2+1,5),""),IF(ROW()-1&lt;=$L$2+$M$2+$N$2+$O$2,IFERROR(INDEX(PROFORMA!$A:$K,ROW()-1-$L$2-$M$2-$N$2+1,5),""),"")))))</f>
        <v>cloze_ab</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143</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t="str">
        <f>IF(ROW()-1&lt;=0,"",IF(ROW()-1&lt;=$L$2,IFERROR(INDEX(MCQ!$A:$K,ROW()-1+1,5),""),IF(ROW()-1&lt;=$L$2+$M$2,IFERROR(INDEX(CLOZE_AB!$A:$K,ROW()-1-$L$2+1,5),""),IF(ROW()-1&lt;=$L$2+$M$2+$N$2,IFERROR(INDEX(CLOZE_LIST!$A:$K,ROW()-1-$L$2-$M$2+1,5),""),IF(ROW()-1&lt;=$L$2+$M$2+$N$2+$O$2,IFERROR(INDEX(PROFORMA!$A:$K,ROW()-1-$L$2-$M$2-$N$2+1,5),""),"")))))</f>
        <v>cloze_ab</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143</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t="str">
        <f>IF(ROW()-1&lt;=0,"",IF(ROW()-1&lt;=$L$2,IFERROR(INDEX(MCQ!$A:$K,ROW()-1+1,5),""),IF(ROW()-1&lt;=$L$2+$M$2,IFERROR(INDEX(CLOZE_AB!$A:$K,ROW()-1-$L$2+1,5),""),IF(ROW()-1&lt;=$L$2+$M$2+$N$2,IFERROR(INDEX(CLOZE_LIST!$A:$K,ROW()-1-$L$2-$M$2+1,5),""),IF(ROW()-1&lt;=$L$2+$M$2+$N$2+$O$2,IFERROR(INDEX(PROFORMA!$A:$K,ROW()-1-$L$2-$M$2-$N$2+1,5),""),"")))))</f>
        <v>cloze_ab</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143</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t="str">
        <f>IF(ROW()-1&lt;=0,"",IF(ROW()-1&lt;=$L$2,IFERROR(INDEX(MCQ!$A:$K,ROW()-1+1,5),""),IF(ROW()-1&lt;=$L$2+$M$2,IFERROR(INDEX(CLOZE_AB!$A:$K,ROW()-1-$L$2+1,5),""),IF(ROW()-1&lt;=$L$2+$M$2+$N$2,IFERROR(INDEX(CLOZE_LIST!$A:$K,ROW()-1-$L$2-$M$2+1,5),""),IF(ROW()-1&lt;=$L$2+$M$2+$N$2+$O$2,IFERROR(INDEX(PROFORMA!$A:$K,ROW()-1-$L$2-$M$2-$N$2+1,5),""),"")))))</f>
        <v>cloze_ab</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143</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t="str">
        <f>IF(ROW()-1&lt;=0,"",IF(ROW()-1&lt;=$L$2,IFERROR(INDEX(MCQ!$A:$K,ROW()-1+1,5),""),IF(ROW()-1&lt;=$L$2+$M$2,IFERROR(INDEX(CLOZE_AB!$A:$K,ROW()-1-$L$2+1,5),""),IF(ROW()-1&lt;=$L$2+$M$2+$N$2,IFERROR(INDEX(CLOZE_LIST!$A:$K,ROW()-1-$L$2-$M$2+1,5),""),IF(ROW()-1&lt;=$L$2+$M$2+$N$2+$O$2,IFERROR(INDEX(PROFORMA!$A:$K,ROW()-1-$L$2-$M$2-$N$2+1,5),""),"")))))</f>
        <v>cloze_ab</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143</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t="str">
        <f>IF(ROW()-1&lt;=0,"",IF(ROW()-1&lt;=$L$2,IFERROR(INDEX(MCQ!$A:$K,ROW()-1+1,5),""),IF(ROW()-1&lt;=$L$2+$M$2,IFERROR(INDEX(CLOZE_AB!$A:$K,ROW()-1-$L$2+1,5),""),IF(ROW()-1&lt;=$L$2+$M$2+$N$2,IFERROR(INDEX(CLOZE_LIST!$A:$K,ROW()-1-$L$2-$M$2+1,5),""),IF(ROW()-1&lt;=$L$2+$M$2+$N$2+$O$2,IFERROR(INDEX(PROFORMA!$A:$K,ROW()-1-$L$2-$M$2-$N$2+1,5),""),"")))))</f>
        <v>cloze_ab</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143</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t="str">
        <f>IF(ROW()-1&lt;=0,"",IF(ROW()-1&lt;=$L$2,IFERROR(INDEX(MCQ!$A:$K,ROW()-1+1,5),""),IF(ROW()-1&lt;=$L$2+$M$2,IFERROR(INDEX(CLOZE_AB!$A:$K,ROW()-1-$L$2+1,5),""),IF(ROW()-1&lt;=$L$2+$M$2+$N$2,IFERROR(INDEX(CLOZE_LIST!$A:$K,ROW()-1-$L$2-$M$2+1,5),""),IF(ROW()-1&lt;=$L$2+$M$2+$N$2+$O$2,IFERROR(INDEX(PROFORMA!$A:$K,ROW()-1-$L$2-$M$2-$N$2+1,5),""),"")))))</f>
        <v>cloze_ab</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143</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t="str">
        <f>IF(ROW()-1&lt;=0,"",IF(ROW()-1&lt;=$L$2,IFERROR(INDEX(MCQ!$A:$K,ROW()-1+1,5),""),IF(ROW()-1&lt;=$L$2+$M$2,IFERROR(INDEX(CLOZE_AB!$A:$K,ROW()-1-$L$2+1,5),""),IF(ROW()-1&lt;=$L$2+$M$2+$N$2,IFERROR(INDEX(CLOZE_LIST!$A:$K,ROW()-1-$L$2-$M$2+1,5),""),IF(ROW()-1&lt;=$L$2+$M$2+$N$2+$O$2,IFERROR(INDEX(PROFORMA!$A:$K,ROW()-1-$L$2-$M$2-$N$2+1,5),""),"")))))</f>
        <v>cloze_ab</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143</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t="str">
        <f>IF(ROW()-1&lt;=0,"",IF(ROW()-1&lt;=$L$2,IFERROR(INDEX(MCQ!$A:$K,ROW()-1+1,5),""),IF(ROW()-1&lt;=$L$2+$M$2,IFERROR(INDEX(CLOZE_AB!$A:$K,ROW()-1-$L$2+1,5),""),IF(ROW()-1&lt;=$L$2+$M$2+$N$2,IFERROR(INDEX(CLOZE_LIST!$A:$K,ROW()-1-$L$2-$M$2+1,5),""),IF(ROW()-1&lt;=$L$2+$M$2+$N$2+$O$2,IFERROR(INDEX(PROFORMA!$A:$K,ROW()-1-$L$2-$M$2-$N$2+1,5),""),"")))))</f>
        <v>cloze_ab</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143</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t="str">
        <f>IF(ROW()-1&lt;=0,"",IF(ROW()-1&lt;=$L$2,IFERROR(INDEX(MCQ!$A:$K,ROW()-1+1,5),""),IF(ROW()-1&lt;=$L$2+$M$2,IFERROR(INDEX(CLOZE_AB!$A:$K,ROW()-1-$L$2+1,5),""),IF(ROW()-1&lt;=$L$2+$M$2+$N$2,IFERROR(INDEX(CLOZE_LIST!$A:$K,ROW()-1-$L$2-$M$2+1,5),""),IF(ROW()-1&lt;=$L$2+$M$2+$N$2+$O$2,IFERROR(INDEX(PROFORMA!$A:$K,ROW()-1-$L$2-$M$2-$N$2+1,5),""),"")))))</f>
        <v>cloze_ab</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143</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t="str">
        <f>IF(ROW()-1&lt;=0,"",IF(ROW()-1&lt;=$L$2,IFERROR(INDEX(MCQ!$A:$K,ROW()-1+1,5),""),IF(ROW()-1&lt;=$L$2+$M$2,IFERROR(INDEX(CLOZE_AB!$A:$K,ROW()-1-$L$2+1,5),""),IF(ROW()-1&lt;=$L$2+$M$2+$N$2,IFERROR(INDEX(CLOZE_LIST!$A:$K,ROW()-1-$L$2-$M$2+1,5),""),IF(ROW()-1&lt;=$L$2+$M$2+$N$2+$O$2,IFERROR(INDEX(PROFORMA!$A:$K,ROW()-1-$L$2-$M$2-$N$2+1,5),""),"")))))</f>
        <v>cloze_ab</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143</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t="str">
        <f>IF(ROW()-1&lt;=0,"",IF(ROW()-1&lt;=$L$2,IFERROR(INDEX(MCQ!$A:$K,ROW()-1+1,5),""),IF(ROW()-1&lt;=$L$2+$M$2,IFERROR(INDEX(CLOZE_AB!$A:$K,ROW()-1-$L$2+1,5),""),IF(ROW()-1&lt;=$L$2+$M$2+$N$2,IFERROR(INDEX(CLOZE_LIST!$A:$K,ROW()-1-$L$2-$M$2+1,5),""),IF(ROW()-1&lt;=$L$2+$M$2+$N$2+$O$2,IFERROR(INDEX(PROFORMA!$A:$K,ROW()-1-$L$2-$M$2-$N$2+1,5),""),"")))))</f>
        <v>cloze_ab</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143</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t="str">
        <f>IF(ROW()-1&lt;=0,"",IF(ROW()-1&lt;=$L$2,IFERROR(INDEX(MCQ!$A:$K,ROW()-1+1,5),""),IF(ROW()-1&lt;=$L$2+$M$2,IFERROR(INDEX(CLOZE_AB!$A:$K,ROW()-1-$L$2+1,5),""),IF(ROW()-1&lt;=$L$2+$M$2+$N$2,IFERROR(INDEX(CLOZE_LIST!$A:$K,ROW()-1-$L$2-$M$2+1,5),""),IF(ROW()-1&lt;=$L$2+$M$2+$N$2+$O$2,IFERROR(INDEX(PROFORMA!$A:$K,ROW()-1-$L$2-$M$2-$N$2+1,5),""),"")))))</f>
        <v>cloze_ab</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143</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t="str">
        <f>IF(ROW()-1&lt;=0,"",IF(ROW()-1&lt;=$L$2,IFERROR(INDEX(MCQ!$A:$K,ROW()-1+1,5),""),IF(ROW()-1&lt;=$L$2+$M$2,IFERROR(INDEX(CLOZE_AB!$A:$K,ROW()-1-$L$2+1,5),""),IF(ROW()-1&lt;=$L$2+$M$2+$N$2,IFERROR(INDEX(CLOZE_LIST!$A:$K,ROW()-1-$L$2-$M$2+1,5),""),IF(ROW()-1&lt;=$L$2+$M$2+$N$2+$O$2,IFERROR(INDEX(PROFORMA!$A:$K,ROW()-1-$L$2-$M$2-$N$2+1,5),""),"")))))</f>
        <v>cloze_ab</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143</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t="str">
        <f>IF(ROW()-1&lt;=0,"",IF(ROW()-1&lt;=$L$2,IFERROR(INDEX(MCQ!$A:$K,ROW()-1+1,5),""),IF(ROW()-1&lt;=$L$2+$M$2,IFERROR(INDEX(CLOZE_AB!$A:$K,ROW()-1-$L$2+1,5),""),IF(ROW()-1&lt;=$L$2+$M$2+$N$2,IFERROR(INDEX(CLOZE_LIST!$A:$K,ROW()-1-$L$2-$M$2+1,5),""),IF(ROW()-1&lt;=$L$2+$M$2+$N$2+$O$2,IFERROR(INDEX(PROFORMA!$A:$K,ROW()-1-$L$2-$M$2-$N$2+1,5),""),"")))))</f>
        <v>cloze_ab</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143</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t="str">
        <f>IF(ROW()-1&lt;=0,"",IF(ROW()-1&lt;=$L$2,IFERROR(INDEX(MCQ!$A:$K,ROW()-1+1,5),""),IF(ROW()-1&lt;=$L$2+$M$2,IFERROR(INDEX(CLOZE_AB!$A:$K,ROW()-1-$L$2+1,5),""),IF(ROW()-1&lt;=$L$2+$M$2+$N$2,IFERROR(INDEX(CLOZE_LIST!$A:$K,ROW()-1-$L$2-$M$2+1,5),""),IF(ROW()-1&lt;=$L$2+$M$2+$N$2+$O$2,IFERROR(INDEX(PROFORMA!$A:$K,ROW()-1-$L$2-$M$2-$N$2+1,5),""),"")))))</f>
        <v>cloze_ab</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143</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t="str">
        <f>IF(ROW()-1&lt;=0,"",IF(ROW()-1&lt;=$L$2,IFERROR(INDEX(MCQ!$A:$K,ROW()-1+1,5),""),IF(ROW()-1&lt;=$L$2+$M$2,IFERROR(INDEX(CLOZE_AB!$A:$K,ROW()-1-$L$2+1,5),""),IF(ROW()-1&lt;=$L$2+$M$2+$N$2,IFERROR(INDEX(CLOZE_LIST!$A:$K,ROW()-1-$L$2-$M$2+1,5),""),IF(ROW()-1&lt;=$L$2+$M$2+$N$2+$O$2,IFERROR(INDEX(PROFORMA!$A:$K,ROW()-1-$L$2-$M$2-$N$2+1,5),""),"")))))</f>
        <v>cloze_ab</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143</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t="str">
        <f>IF(ROW()-1&lt;=0,"",IF(ROW()-1&lt;=$L$2,IFERROR(INDEX(MCQ!$A:$K,ROW()-1+1,5),""),IF(ROW()-1&lt;=$L$2+$M$2,IFERROR(INDEX(CLOZE_AB!$A:$K,ROW()-1-$L$2+1,5),""),IF(ROW()-1&lt;=$L$2+$M$2+$N$2,IFERROR(INDEX(CLOZE_LIST!$A:$K,ROW()-1-$L$2-$M$2+1,5),""),IF(ROW()-1&lt;=$L$2+$M$2+$N$2+$O$2,IFERROR(INDEX(PROFORMA!$A:$K,ROW()-1-$L$2-$M$2-$N$2+1,5),""),"")))))</f>
        <v>cloze_ab</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143</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t="str">
        <f>IF(ROW()-1&lt;=0,"",IF(ROW()-1&lt;=$L$2,IFERROR(INDEX(MCQ!$A:$K,ROW()-1+1,5),""),IF(ROW()-1&lt;=$L$2+$M$2,IFERROR(INDEX(CLOZE_AB!$A:$K,ROW()-1-$L$2+1,5),""),IF(ROW()-1&lt;=$L$2+$M$2+$N$2,IFERROR(INDEX(CLOZE_LIST!$A:$K,ROW()-1-$L$2-$M$2+1,5),""),IF(ROW()-1&lt;=$L$2+$M$2+$N$2+$O$2,IFERROR(INDEX(PROFORMA!$A:$K,ROW()-1-$L$2-$M$2-$N$2+1,5),""),"")))))</f>
        <v>cloze_ab</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143</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t="str">
        <f>IF(ROW()-1&lt;=0,"",IF(ROW()-1&lt;=$L$2,IFERROR(INDEX(MCQ!$A:$K,ROW()-1+1,5),""),IF(ROW()-1&lt;=$L$2+$M$2,IFERROR(INDEX(CLOZE_AB!$A:$K,ROW()-1-$L$2+1,5),""),IF(ROW()-1&lt;=$L$2+$M$2+$N$2,IFERROR(INDEX(CLOZE_LIST!$A:$K,ROW()-1-$L$2-$M$2+1,5),""),IF(ROW()-1&lt;=$L$2+$M$2+$N$2+$O$2,IFERROR(INDEX(PROFORMA!$A:$K,ROW()-1-$L$2-$M$2-$N$2+1,5),""),"")))))</f>
        <v>cloze_ab</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143</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t="str">
        <f>IF(ROW()-1&lt;=0,"",IF(ROW()-1&lt;=$L$2,IFERROR(INDEX(MCQ!$A:$K,ROW()-1+1,5),""),IF(ROW()-1&lt;=$L$2+$M$2,IFERROR(INDEX(CLOZE_AB!$A:$K,ROW()-1-$L$2+1,5),""),IF(ROW()-1&lt;=$L$2+$M$2+$N$2,IFERROR(INDEX(CLOZE_LIST!$A:$K,ROW()-1-$L$2-$M$2+1,5),""),IF(ROW()-1&lt;=$L$2+$M$2+$N$2+$O$2,IFERROR(INDEX(PROFORMA!$A:$K,ROW()-1-$L$2-$M$2-$N$2+1,5),""),"")))))</f>
        <v>cloze_ab</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143</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t="str">
        <f>IF(ROW()-1&lt;=0,"",IF(ROW()-1&lt;=$L$2,IFERROR(INDEX(MCQ!$A:$K,ROW()-1+1,5),""),IF(ROW()-1&lt;=$L$2+$M$2,IFERROR(INDEX(CLOZE_AB!$A:$K,ROW()-1-$L$2+1,5),""),IF(ROW()-1&lt;=$L$2+$M$2+$N$2,IFERROR(INDEX(CLOZE_LIST!$A:$K,ROW()-1-$L$2-$M$2+1,5),""),IF(ROW()-1&lt;=$L$2+$M$2+$N$2+$O$2,IFERROR(INDEX(PROFORMA!$A:$K,ROW()-1-$L$2-$M$2-$N$2+1,5),""),"")))))</f>
        <v>cloze_ab</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143</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t="str">
        <f>IF(ROW()-1&lt;=0,"",IF(ROW()-1&lt;=$L$2,IFERROR(INDEX(MCQ!$A:$K,ROW()-1+1,5),""),IF(ROW()-1&lt;=$L$2+$M$2,IFERROR(INDEX(CLOZE_AB!$A:$K,ROW()-1-$L$2+1,5),""),IF(ROW()-1&lt;=$L$2+$M$2+$N$2,IFERROR(INDEX(CLOZE_LIST!$A:$K,ROW()-1-$L$2-$M$2+1,5),""),IF(ROW()-1&lt;=$L$2+$M$2+$N$2+$O$2,IFERROR(INDEX(PROFORMA!$A:$K,ROW()-1-$L$2-$M$2-$N$2+1,5),""),"")))))</f>
        <v>cloze_ab</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143</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t="str">
        <f>IF(ROW()-1&lt;=0,"",IF(ROW()-1&lt;=$L$2,IFERROR(INDEX(MCQ!$A:$K,ROW()-1+1,5),""),IF(ROW()-1&lt;=$L$2+$M$2,IFERROR(INDEX(CLOZE_AB!$A:$K,ROW()-1-$L$2+1,5),""),IF(ROW()-1&lt;=$L$2+$M$2+$N$2,IFERROR(INDEX(CLOZE_LIST!$A:$K,ROW()-1-$L$2-$M$2+1,5),""),IF(ROW()-1&lt;=$L$2+$M$2+$N$2+$O$2,IFERROR(INDEX(PROFORMA!$A:$K,ROW()-1-$L$2-$M$2-$N$2+1,5),""),"")))))</f>
        <v>cloze_ab</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143</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t="str">
        <f>IF(ROW()-1&lt;=0,"",IF(ROW()-1&lt;=$L$2,IFERROR(INDEX(MCQ!$A:$K,ROW()-1+1,5),""),IF(ROW()-1&lt;=$L$2+$M$2,IFERROR(INDEX(CLOZE_AB!$A:$K,ROW()-1-$L$2+1,5),""),IF(ROW()-1&lt;=$L$2+$M$2+$N$2,IFERROR(INDEX(CLOZE_LIST!$A:$K,ROW()-1-$L$2-$M$2+1,5),""),IF(ROW()-1&lt;=$L$2+$M$2+$N$2+$O$2,IFERROR(INDEX(PROFORMA!$A:$K,ROW()-1-$L$2-$M$2-$N$2+1,5),""),"")))))</f>
        <v>cloze_ab</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143</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t="str">
        <f>IF(ROW()-1&lt;=0,"",IF(ROW()-1&lt;=$L$2,IFERROR(INDEX(MCQ!$A:$K,ROW()-1+1,5),""),IF(ROW()-1&lt;=$L$2+$M$2,IFERROR(INDEX(CLOZE_AB!$A:$K,ROW()-1-$L$2+1,5),""),IF(ROW()-1&lt;=$L$2+$M$2+$N$2,IFERROR(INDEX(CLOZE_LIST!$A:$K,ROW()-1-$L$2-$M$2+1,5),""),IF(ROW()-1&lt;=$L$2+$M$2+$N$2+$O$2,IFERROR(INDEX(PROFORMA!$A:$K,ROW()-1-$L$2-$M$2-$N$2+1,5),""),"")))))</f>
        <v>cloze_ab</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143</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t="str">
        <f>IF(ROW()-1&lt;=0,"",IF(ROW()-1&lt;=$L$2,IFERROR(INDEX(MCQ!$A:$K,ROW()-1+1,5),""),IF(ROW()-1&lt;=$L$2+$M$2,IFERROR(INDEX(CLOZE_AB!$A:$K,ROW()-1-$L$2+1,5),""),IF(ROW()-1&lt;=$L$2+$M$2+$N$2,IFERROR(INDEX(CLOZE_LIST!$A:$K,ROW()-1-$L$2-$M$2+1,5),""),IF(ROW()-1&lt;=$L$2+$M$2+$N$2+$O$2,IFERROR(INDEX(PROFORMA!$A:$K,ROW()-1-$L$2-$M$2-$N$2+1,5),""),"")))))</f>
        <v>cloze_ab</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143</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t="str">
        <f>IF(ROW()-1&lt;=0,"",IF(ROW()-1&lt;=$L$2,IFERROR(INDEX(MCQ!$A:$K,ROW()-1+1,5),""),IF(ROW()-1&lt;=$L$2+$M$2,IFERROR(INDEX(CLOZE_AB!$A:$K,ROW()-1-$L$2+1,5),""),IF(ROW()-1&lt;=$L$2+$M$2+$N$2,IFERROR(INDEX(CLOZE_LIST!$A:$K,ROW()-1-$L$2-$M$2+1,5),""),IF(ROW()-1&lt;=$L$2+$M$2+$N$2+$O$2,IFERROR(INDEX(PROFORMA!$A:$K,ROW()-1-$L$2-$M$2-$N$2+1,5),""),"")))))</f>
        <v>cloze_ab</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143</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t="str">
        <f>IF(ROW()-1&lt;=0,"",IF(ROW()-1&lt;=$L$2,IFERROR(INDEX(MCQ!$A:$K,ROW()-1+1,5),""),IF(ROW()-1&lt;=$L$2+$M$2,IFERROR(INDEX(CLOZE_AB!$A:$K,ROW()-1-$L$2+1,5),""),IF(ROW()-1&lt;=$L$2+$M$2+$N$2,IFERROR(INDEX(CLOZE_LIST!$A:$K,ROW()-1-$L$2-$M$2+1,5),""),IF(ROW()-1&lt;=$L$2+$M$2+$N$2+$O$2,IFERROR(INDEX(PROFORMA!$A:$K,ROW()-1-$L$2-$M$2-$N$2+1,5),""),"")))))</f>
        <v>cloze_ab</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143</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t="str">
        <f>IF(ROW()-1&lt;=0,"",IF(ROW()-1&lt;=$L$2,IFERROR(INDEX(MCQ!$A:$K,ROW()-1+1,5),""),IF(ROW()-1&lt;=$L$2+$M$2,IFERROR(INDEX(CLOZE_AB!$A:$K,ROW()-1-$L$2+1,5),""),IF(ROW()-1&lt;=$L$2+$M$2+$N$2,IFERROR(INDEX(CLOZE_LIST!$A:$K,ROW()-1-$L$2-$M$2+1,5),""),IF(ROW()-1&lt;=$L$2+$M$2+$N$2+$O$2,IFERROR(INDEX(PROFORMA!$A:$K,ROW()-1-$L$2-$M$2-$N$2+1,5),""),"")))))</f>
        <v>cloze_ab</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143</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t="str">
        <f>IF(ROW()-1&lt;=0,"",IF(ROW()-1&lt;=$L$2,IFERROR(INDEX(MCQ!$A:$K,ROW()-1+1,5),""),IF(ROW()-1&lt;=$L$2+$M$2,IFERROR(INDEX(CLOZE_AB!$A:$K,ROW()-1-$L$2+1,5),""),IF(ROW()-1&lt;=$L$2+$M$2+$N$2,IFERROR(INDEX(CLOZE_LIST!$A:$K,ROW()-1-$L$2-$M$2+1,5),""),IF(ROW()-1&lt;=$L$2+$M$2+$N$2+$O$2,IFERROR(INDEX(PROFORMA!$A:$K,ROW()-1-$L$2-$M$2-$N$2+1,5),""),"")))))</f>
        <v>cloze_ab</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143</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t="str">
        <f>IF(ROW()-1&lt;=0,"",IF(ROW()-1&lt;=$L$2,IFERROR(INDEX(MCQ!$A:$K,ROW()-1+1,5),""),IF(ROW()-1&lt;=$L$2+$M$2,IFERROR(INDEX(CLOZE_AB!$A:$K,ROW()-1-$L$2+1,5),""),IF(ROW()-1&lt;=$L$2+$M$2+$N$2,IFERROR(INDEX(CLOZE_LIST!$A:$K,ROW()-1-$L$2-$M$2+1,5),""),IF(ROW()-1&lt;=$L$2+$M$2+$N$2+$O$2,IFERROR(INDEX(PROFORMA!$A:$K,ROW()-1-$L$2-$M$2-$N$2+1,5),""),"")))))</f>
        <v>cloze_ab</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143</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t="str">
        <f>IF(ROW()-1&lt;=0,"",IF(ROW()-1&lt;=$L$2,IFERROR(INDEX(MCQ!$A:$K,ROW()-1+1,5),""),IF(ROW()-1&lt;=$L$2+$M$2,IFERROR(INDEX(CLOZE_AB!$A:$K,ROW()-1-$L$2+1,5),""),IF(ROW()-1&lt;=$L$2+$M$2+$N$2,IFERROR(INDEX(CLOZE_LIST!$A:$K,ROW()-1-$L$2-$M$2+1,5),""),IF(ROW()-1&lt;=$L$2+$M$2+$N$2+$O$2,IFERROR(INDEX(PROFORMA!$A:$K,ROW()-1-$L$2-$M$2-$N$2+1,5),""),"")))))</f>
        <v>cloze_ab</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143</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t="str">
        <f>IF(ROW()-1&lt;=0,"",IF(ROW()-1&lt;=$L$2,IFERROR(INDEX(MCQ!$A:$K,ROW()-1+1,5),""),IF(ROW()-1&lt;=$L$2+$M$2,IFERROR(INDEX(CLOZE_AB!$A:$K,ROW()-1-$L$2+1,5),""),IF(ROW()-1&lt;=$L$2+$M$2+$N$2,IFERROR(INDEX(CLOZE_LIST!$A:$K,ROW()-1-$L$2-$M$2+1,5),""),IF(ROW()-1&lt;=$L$2+$M$2+$N$2+$O$2,IFERROR(INDEX(PROFORMA!$A:$K,ROW()-1-$L$2-$M$2-$N$2+1,5),""),"")))))</f>
        <v>cloze_ab</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143</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t="str">
        <f>IF(ROW()-1&lt;=0,"",IF(ROW()-1&lt;=$L$2,IFERROR(INDEX(MCQ!$A:$K,ROW()-1+1,5),""),IF(ROW()-1&lt;=$L$2+$M$2,IFERROR(INDEX(CLOZE_AB!$A:$K,ROW()-1-$L$2+1,5),""),IF(ROW()-1&lt;=$L$2+$M$2+$N$2,IFERROR(INDEX(CLOZE_LIST!$A:$K,ROW()-1-$L$2-$M$2+1,5),""),IF(ROW()-1&lt;=$L$2+$M$2+$N$2+$O$2,IFERROR(INDEX(PROFORMA!$A:$K,ROW()-1-$L$2-$M$2-$N$2+1,5),""),"")))))</f>
        <v>cloze_ab</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143</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t="str">
        <f>IF(ROW()-1&lt;=0,"",IF(ROW()-1&lt;=$L$2,IFERROR(INDEX(MCQ!$A:$K,ROW()-1+1,5),""),IF(ROW()-1&lt;=$L$2+$M$2,IFERROR(INDEX(CLOZE_AB!$A:$K,ROW()-1-$L$2+1,5),""),IF(ROW()-1&lt;=$L$2+$M$2+$N$2,IFERROR(INDEX(CLOZE_LIST!$A:$K,ROW()-1-$L$2-$M$2+1,5),""),IF(ROW()-1&lt;=$L$2+$M$2+$N$2+$O$2,IFERROR(INDEX(PROFORMA!$A:$K,ROW()-1-$L$2-$M$2-$N$2+1,5),""),"")))))</f>
        <v>cloze_ab</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143</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t="str">
        <f>IF(ROW()-1&lt;=0,"",IF(ROW()-1&lt;=$L$2,IFERROR(INDEX(MCQ!$A:$K,ROW()-1+1,5),""),IF(ROW()-1&lt;=$L$2+$M$2,IFERROR(INDEX(CLOZE_AB!$A:$K,ROW()-1-$L$2+1,5),""),IF(ROW()-1&lt;=$L$2+$M$2+$N$2,IFERROR(INDEX(CLOZE_LIST!$A:$K,ROW()-1-$L$2-$M$2+1,5),""),IF(ROW()-1&lt;=$L$2+$M$2+$N$2+$O$2,IFERROR(INDEX(PROFORMA!$A:$K,ROW()-1-$L$2-$M$2-$N$2+1,5),""),"")))))</f>
        <v>cloze_ab</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143</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t="str">
        <f>IF(ROW()-1&lt;=0,"",IF(ROW()-1&lt;=$L$2,IFERROR(INDEX(MCQ!$A:$K,ROW()-1+1,5),""),IF(ROW()-1&lt;=$L$2+$M$2,IFERROR(INDEX(CLOZE_AB!$A:$K,ROW()-1-$L$2+1,5),""),IF(ROW()-1&lt;=$L$2+$M$2+$N$2,IFERROR(INDEX(CLOZE_LIST!$A:$K,ROW()-1-$L$2-$M$2+1,5),""),IF(ROW()-1&lt;=$L$2+$M$2+$N$2+$O$2,IFERROR(INDEX(PROFORMA!$A:$K,ROW()-1-$L$2-$M$2-$N$2+1,5),""),"")))))</f>
        <v>cloze_ab</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143</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t="str">
        <f>IF(ROW()-1&lt;=0,"",IF(ROW()-1&lt;=$L$2,IFERROR(INDEX(MCQ!$A:$K,ROW()-1+1,5),""),IF(ROW()-1&lt;=$L$2+$M$2,IFERROR(INDEX(CLOZE_AB!$A:$K,ROW()-1-$L$2+1,5),""),IF(ROW()-1&lt;=$L$2+$M$2+$N$2,IFERROR(INDEX(CLOZE_LIST!$A:$K,ROW()-1-$L$2-$M$2+1,5),""),IF(ROW()-1&lt;=$L$2+$M$2+$N$2+$O$2,IFERROR(INDEX(PROFORMA!$A:$K,ROW()-1-$L$2-$M$2-$N$2+1,5),""),"")))))</f>
        <v>cloze_ab</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143</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t="str">
        <f>IF(ROW()-1&lt;=0,"",IF(ROW()-1&lt;=$L$2,IFERROR(INDEX(MCQ!$A:$K,ROW()-1+1,5),""),IF(ROW()-1&lt;=$L$2+$M$2,IFERROR(INDEX(CLOZE_AB!$A:$K,ROW()-1-$L$2+1,5),""),IF(ROW()-1&lt;=$L$2+$M$2+$N$2,IFERROR(INDEX(CLOZE_LIST!$A:$K,ROW()-1-$L$2-$M$2+1,5),""),IF(ROW()-1&lt;=$L$2+$M$2+$N$2+$O$2,IFERROR(INDEX(PROFORMA!$A:$K,ROW()-1-$L$2-$M$2-$N$2+1,5),""),"")))))</f>
        <v>cloze_ab</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143</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t="str">
        <f>IF(ROW()-1&lt;=0,"",IF(ROW()-1&lt;=$L$2,IFERROR(INDEX(MCQ!$A:$K,ROW()-1+1,5),""),IF(ROW()-1&lt;=$L$2+$M$2,IFERROR(INDEX(CLOZE_AB!$A:$K,ROW()-1-$L$2+1,5),""),IF(ROW()-1&lt;=$L$2+$M$2+$N$2,IFERROR(INDEX(CLOZE_LIST!$A:$K,ROW()-1-$L$2-$M$2+1,5),""),IF(ROW()-1&lt;=$L$2+$M$2+$N$2+$O$2,IFERROR(INDEX(PROFORMA!$A:$K,ROW()-1-$L$2-$M$2-$N$2+1,5),""),"")))))</f>
        <v>cloze_ab</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143</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t="str">
        <f>IF(ROW()-1&lt;=0,"",IF(ROW()-1&lt;=$L$2,IFERROR(INDEX(MCQ!$A:$K,ROW()-1+1,5),""),IF(ROW()-1&lt;=$L$2+$M$2,IFERROR(INDEX(CLOZE_AB!$A:$K,ROW()-1-$L$2+1,5),""),IF(ROW()-1&lt;=$L$2+$M$2+$N$2,IFERROR(INDEX(CLOZE_LIST!$A:$K,ROW()-1-$L$2-$M$2+1,5),""),IF(ROW()-1&lt;=$L$2+$M$2+$N$2+$O$2,IFERROR(INDEX(PROFORMA!$A:$K,ROW()-1-$L$2-$M$2-$N$2+1,5),""),"")))))</f>
        <v>cloze_ab</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143</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t="str">
        <f>IF(ROW()-1&lt;=0,"",IF(ROW()-1&lt;=$L$2,IFERROR(INDEX(MCQ!$A:$K,ROW()-1+1,5),""),IF(ROW()-1&lt;=$L$2+$M$2,IFERROR(INDEX(CLOZE_AB!$A:$K,ROW()-1-$L$2+1,5),""),IF(ROW()-1&lt;=$L$2+$M$2+$N$2,IFERROR(INDEX(CLOZE_LIST!$A:$K,ROW()-1-$L$2-$M$2+1,5),""),IF(ROW()-1&lt;=$L$2+$M$2+$N$2+$O$2,IFERROR(INDEX(PROFORMA!$A:$K,ROW()-1-$L$2-$M$2-$N$2+1,5),""),"")))))</f>
        <v>cloze_ab</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143</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t="str">
        <f>IF(ROW()-1&lt;=0,"",IF(ROW()-1&lt;=$L$2,IFERROR(INDEX(MCQ!$A:$K,ROW()-1+1,5),""),IF(ROW()-1&lt;=$L$2+$M$2,IFERROR(INDEX(CLOZE_AB!$A:$K,ROW()-1-$L$2+1,5),""),IF(ROW()-1&lt;=$L$2+$M$2+$N$2,IFERROR(INDEX(CLOZE_LIST!$A:$K,ROW()-1-$L$2-$M$2+1,5),""),IF(ROW()-1&lt;=$L$2+$M$2+$N$2+$O$2,IFERROR(INDEX(PROFORMA!$A:$K,ROW()-1-$L$2-$M$2-$N$2+1,5),""),"")))))</f>
        <v>cloze_ab</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143</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t="str">
        <f>IF(ROW()-1&lt;=0,"",IF(ROW()-1&lt;=$L$2,IFERROR(INDEX(MCQ!$A:$K,ROW()-1+1,5),""),IF(ROW()-1&lt;=$L$2+$M$2,IFERROR(INDEX(CLOZE_AB!$A:$K,ROW()-1-$L$2+1,5),""),IF(ROW()-1&lt;=$L$2+$M$2+$N$2,IFERROR(INDEX(CLOZE_LIST!$A:$K,ROW()-1-$L$2-$M$2+1,5),""),IF(ROW()-1&lt;=$L$2+$M$2+$N$2+$O$2,IFERROR(INDEX(PROFORMA!$A:$K,ROW()-1-$L$2-$M$2-$N$2+1,5),""),"")))))</f>
        <v>cloze_ab</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143</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t="str">
        <f>IF(ROW()-1&lt;=0,"",IF(ROW()-1&lt;=$L$2,IFERROR(INDEX(MCQ!$A:$K,ROW()-1+1,5),""),IF(ROW()-1&lt;=$L$2+$M$2,IFERROR(INDEX(CLOZE_AB!$A:$K,ROW()-1-$L$2+1,5),""),IF(ROW()-1&lt;=$L$2+$M$2+$N$2,IFERROR(INDEX(CLOZE_LIST!$A:$K,ROW()-1-$L$2-$M$2+1,5),""),IF(ROW()-1&lt;=$L$2+$M$2+$N$2+$O$2,IFERROR(INDEX(PROFORMA!$A:$K,ROW()-1-$L$2-$M$2-$N$2+1,5),""),"")))))</f>
        <v>cloze_ab</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143</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t="str">
        <f>IF(ROW()-1&lt;=0,"",IF(ROW()-1&lt;=$L$2,IFERROR(INDEX(MCQ!$A:$K,ROW()-1+1,5),""),IF(ROW()-1&lt;=$L$2+$M$2,IFERROR(INDEX(CLOZE_AB!$A:$K,ROW()-1-$L$2+1,5),""),IF(ROW()-1&lt;=$L$2+$M$2+$N$2,IFERROR(INDEX(CLOZE_LIST!$A:$K,ROW()-1-$L$2-$M$2+1,5),""),IF(ROW()-1&lt;=$L$2+$M$2+$N$2+$O$2,IFERROR(INDEX(PROFORMA!$A:$K,ROW()-1-$L$2-$M$2-$N$2+1,5),""),"")))))</f>
        <v>cloze_ab</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143</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t="str">
        <f>IF(ROW()-1&lt;=0,"",IF(ROW()-1&lt;=$L$2,IFERROR(INDEX(MCQ!$A:$K,ROW()-1+1,5),""),IF(ROW()-1&lt;=$L$2+$M$2,IFERROR(INDEX(CLOZE_AB!$A:$K,ROW()-1-$L$2+1,5),""),IF(ROW()-1&lt;=$L$2+$M$2+$N$2,IFERROR(INDEX(CLOZE_LIST!$A:$K,ROW()-1-$L$2-$M$2+1,5),""),IF(ROW()-1&lt;=$L$2+$M$2+$N$2+$O$2,IFERROR(INDEX(PROFORMA!$A:$K,ROW()-1-$L$2-$M$2-$N$2+1,5),""),"")))))</f>
        <v>cloze_ab</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143</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t="str">
        <f>IF(ROW()-1&lt;=0,"",IF(ROW()-1&lt;=$L$2,IFERROR(INDEX(MCQ!$A:$K,ROW()-1+1,5),""),IF(ROW()-1&lt;=$L$2+$M$2,IFERROR(INDEX(CLOZE_AB!$A:$K,ROW()-1-$L$2+1,5),""),IF(ROW()-1&lt;=$L$2+$M$2+$N$2,IFERROR(INDEX(CLOZE_LIST!$A:$K,ROW()-1-$L$2-$M$2+1,5),""),IF(ROW()-1&lt;=$L$2+$M$2+$N$2+$O$2,IFERROR(INDEX(PROFORMA!$A:$K,ROW()-1-$L$2-$M$2-$N$2+1,5),""),"")))))</f>
        <v>cloze_ab</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143</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t="str">
        <f>IF(ROW()-1&lt;=0,"",IF(ROW()-1&lt;=$L$2,IFERROR(INDEX(MCQ!$A:$K,ROW()-1+1,5),""),IF(ROW()-1&lt;=$L$2+$M$2,IFERROR(INDEX(CLOZE_AB!$A:$K,ROW()-1-$L$2+1,5),""),IF(ROW()-1&lt;=$L$2+$M$2+$N$2,IFERROR(INDEX(CLOZE_LIST!$A:$K,ROW()-1-$L$2-$M$2+1,5),""),IF(ROW()-1&lt;=$L$2+$M$2+$N$2+$O$2,IFERROR(INDEX(PROFORMA!$A:$K,ROW()-1-$L$2-$M$2-$N$2+1,5),""),"")))))</f>
        <v>cloze_ab</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143</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t="str">
        <f>IF(ROW()-1&lt;=0,"",IF(ROW()-1&lt;=$L$2,IFERROR(INDEX(MCQ!$A:$K,ROW()-1+1,5),""),IF(ROW()-1&lt;=$L$2+$M$2,IFERROR(INDEX(CLOZE_AB!$A:$K,ROW()-1-$L$2+1,5),""),IF(ROW()-1&lt;=$L$2+$M$2+$N$2,IFERROR(INDEX(CLOZE_LIST!$A:$K,ROW()-1-$L$2-$M$2+1,5),""),IF(ROW()-1&lt;=$L$2+$M$2+$N$2+$O$2,IFERROR(INDEX(PROFORMA!$A:$K,ROW()-1-$L$2-$M$2-$N$2+1,5),""),"")))))</f>
        <v>cloze_ab</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143</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t="str">
        <f>IF(ROW()-1&lt;=0,"",IF(ROW()-1&lt;=$L$2,IFERROR(INDEX(MCQ!$A:$K,ROW()-1+1,5),""),IF(ROW()-1&lt;=$L$2+$M$2,IFERROR(INDEX(CLOZE_AB!$A:$K,ROW()-1-$L$2+1,5),""),IF(ROW()-1&lt;=$L$2+$M$2+$N$2,IFERROR(INDEX(CLOZE_LIST!$A:$K,ROW()-1-$L$2-$M$2+1,5),""),IF(ROW()-1&lt;=$L$2+$M$2+$N$2+$O$2,IFERROR(INDEX(PROFORMA!$A:$K,ROW()-1-$L$2-$M$2-$N$2+1,5),""),"")))))</f>
        <v>cloze_ab</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143</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t="str">
        <f>IF(ROW()-1&lt;=0,"",IF(ROW()-1&lt;=$L$2,IFERROR(INDEX(MCQ!$A:$K,ROW()-1+1,5),""),IF(ROW()-1&lt;=$L$2+$M$2,IFERROR(INDEX(CLOZE_AB!$A:$K,ROW()-1-$L$2+1,5),""),IF(ROW()-1&lt;=$L$2+$M$2+$N$2,IFERROR(INDEX(CLOZE_LIST!$A:$K,ROW()-1-$L$2-$M$2+1,5),""),IF(ROW()-1&lt;=$L$2+$M$2+$N$2+$O$2,IFERROR(INDEX(PROFORMA!$A:$K,ROW()-1-$L$2-$M$2-$N$2+1,5),""),"")))))</f>
        <v>cloze_ab</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143</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t="str">
        <f>IF(ROW()-1&lt;=0,"",IF(ROW()-1&lt;=$L$2,IFERROR(INDEX(MCQ!$A:$K,ROW()-1+1,5),""),IF(ROW()-1&lt;=$L$2+$M$2,IFERROR(INDEX(CLOZE_AB!$A:$K,ROW()-1-$L$2+1,5),""),IF(ROW()-1&lt;=$L$2+$M$2+$N$2,IFERROR(INDEX(CLOZE_LIST!$A:$K,ROW()-1-$L$2-$M$2+1,5),""),IF(ROW()-1&lt;=$L$2+$M$2+$N$2+$O$2,IFERROR(INDEX(PROFORMA!$A:$K,ROW()-1-$L$2-$M$2-$N$2+1,5),""),"")))))</f>
        <v>cloze_ab</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143</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t="str">
        <f>IF(ROW()-1&lt;=0,"",IF(ROW()-1&lt;=$L$2,IFERROR(INDEX(MCQ!$A:$K,ROW()-1+1,5),""),IF(ROW()-1&lt;=$L$2+$M$2,IFERROR(INDEX(CLOZE_AB!$A:$K,ROW()-1-$L$2+1,5),""),IF(ROW()-1&lt;=$L$2+$M$2+$N$2,IFERROR(INDEX(CLOZE_LIST!$A:$K,ROW()-1-$L$2-$M$2+1,5),""),IF(ROW()-1&lt;=$L$2+$M$2+$N$2+$O$2,IFERROR(INDEX(PROFORMA!$A:$K,ROW()-1-$L$2-$M$2-$N$2+1,5),""),"")))))</f>
        <v>cloze_ab</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143</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t="str">
        <f>IF(ROW()-1&lt;=0,"",IF(ROW()-1&lt;=$L$2,IFERROR(INDEX(MCQ!$A:$K,ROW()-1+1,5),""),IF(ROW()-1&lt;=$L$2+$M$2,IFERROR(INDEX(CLOZE_AB!$A:$K,ROW()-1-$L$2+1,5),""),IF(ROW()-1&lt;=$L$2+$M$2+$N$2,IFERROR(INDEX(CLOZE_LIST!$A:$K,ROW()-1-$L$2-$M$2+1,5),""),IF(ROW()-1&lt;=$L$2+$M$2+$N$2+$O$2,IFERROR(INDEX(PROFORMA!$A:$K,ROW()-1-$L$2-$M$2-$N$2+1,5),""),"")))))</f>
        <v>cloze_ab</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143</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t="str">
        <f>IF(ROW()-1&lt;=0,"",IF(ROW()-1&lt;=$L$2,IFERROR(INDEX(MCQ!$A:$K,ROW()-1+1,5),""),IF(ROW()-1&lt;=$L$2+$M$2,IFERROR(INDEX(CLOZE_AB!$A:$K,ROW()-1-$L$2+1,5),""),IF(ROW()-1&lt;=$L$2+$M$2+$N$2,IFERROR(INDEX(CLOZE_LIST!$A:$K,ROW()-1-$L$2-$M$2+1,5),""),IF(ROW()-1&lt;=$L$2+$M$2+$N$2+$O$2,IFERROR(INDEX(PROFORMA!$A:$K,ROW()-1-$L$2-$M$2-$N$2+1,5),""),"")))))</f>
        <v>cloze_ab</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143</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t="str">
        <f>IF(ROW()-1&lt;=0,"",IF(ROW()-1&lt;=$L$2,IFERROR(INDEX(MCQ!$A:$K,ROW()-1+1,5),""),IF(ROW()-1&lt;=$L$2+$M$2,IFERROR(INDEX(CLOZE_AB!$A:$K,ROW()-1-$L$2+1,5),""),IF(ROW()-1&lt;=$L$2+$M$2+$N$2,IFERROR(INDEX(CLOZE_LIST!$A:$K,ROW()-1-$L$2-$M$2+1,5),""),IF(ROW()-1&lt;=$L$2+$M$2+$N$2+$O$2,IFERROR(INDEX(PROFORMA!$A:$K,ROW()-1-$L$2-$M$2-$N$2+1,5),""),"")))))</f>
        <v>cloze_ab</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143</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t="str">
        <f>IF(ROW()-1&lt;=0,"",IF(ROW()-1&lt;=$L$2,IFERROR(INDEX(MCQ!$A:$K,ROW()-1+1,5),""),IF(ROW()-1&lt;=$L$2+$M$2,IFERROR(INDEX(CLOZE_AB!$A:$K,ROW()-1-$L$2+1,5),""),IF(ROW()-1&lt;=$L$2+$M$2+$N$2,IFERROR(INDEX(CLOZE_LIST!$A:$K,ROW()-1-$L$2-$M$2+1,5),""),IF(ROW()-1&lt;=$L$2+$M$2+$N$2+$O$2,IFERROR(INDEX(PROFORMA!$A:$K,ROW()-1-$L$2-$M$2-$N$2+1,5),""),"")))))</f>
        <v>cloze_ab</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143</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t="str">
        <f>IF(ROW()-1&lt;=0,"",IF(ROW()-1&lt;=$L$2,IFERROR(INDEX(MCQ!$A:$K,ROW()-1+1,5),""),IF(ROW()-1&lt;=$L$2+$M$2,IFERROR(INDEX(CLOZE_AB!$A:$K,ROW()-1-$L$2+1,5),""),IF(ROW()-1&lt;=$L$2+$M$2+$N$2,IFERROR(INDEX(CLOZE_LIST!$A:$K,ROW()-1-$L$2-$M$2+1,5),""),IF(ROW()-1&lt;=$L$2+$M$2+$N$2+$O$2,IFERROR(INDEX(PROFORMA!$A:$K,ROW()-1-$L$2-$M$2-$N$2+1,5),""),"")))))</f>
        <v>cloze_ab</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143</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t="str">
        <f>IF(ROW()-1&lt;=0,"",IF(ROW()-1&lt;=$L$2,IFERROR(INDEX(MCQ!$A:$K,ROW()-1+1,5),""),IF(ROW()-1&lt;=$L$2+$M$2,IFERROR(INDEX(CLOZE_AB!$A:$K,ROW()-1-$L$2+1,5),""),IF(ROW()-1&lt;=$L$2+$M$2+$N$2,IFERROR(INDEX(CLOZE_LIST!$A:$K,ROW()-1-$L$2-$M$2+1,5),""),IF(ROW()-1&lt;=$L$2+$M$2+$N$2+$O$2,IFERROR(INDEX(PROFORMA!$A:$K,ROW()-1-$L$2-$M$2-$N$2+1,5),""),"")))))</f>
        <v>cloze_ab</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143</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t="str">
        <f>IF(ROW()-1&lt;=0,"",IF(ROW()-1&lt;=$L$2,IFERROR(INDEX(MCQ!$A:$K,ROW()-1+1,5),""),IF(ROW()-1&lt;=$L$2+$M$2,IFERROR(INDEX(CLOZE_AB!$A:$K,ROW()-1-$L$2+1,5),""),IF(ROW()-1&lt;=$L$2+$M$2+$N$2,IFERROR(INDEX(CLOZE_LIST!$A:$K,ROW()-1-$L$2-$M$2+1,5),""),IF(ROW()-1&lt;=$L$2+$M$2+$N$2+$O$2,IFERROR(INDEX(PROFORMA!$A:$K,ROW()-1-$L$2-$M$2-$N$2+1,5),""),"")))))</f>
        <v>cloze_ab</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143</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t="str">
        <f>IF(ROW()-1&lt;=0,"",IF(ROW()-1&lt;=$L$2,IFERROR(INDEX(MCQ!$A:$K,ROW()-1+1,5),""),IF(ROW()-1&lt;=$L$2+$M$2,IFERROR(INDEX(CLOZE_AB!$A:$K,ROW()-1-$L$2+1,5),""),IF(ROW()-1&lt;=$L$2+$M$2+$N$2,IFERROR(INDEX(CLOZE_LIST!$A:$K,ROW()-1-$L$2-$M$2+1,5),""),IF(ROW()-1&lt;=$L$2+$M$2+$N$2+$O$2,IFERROR(INDEX(PROFORMA!$A:$K,ROW()-1-$L$2-$M$2-$N$2+1,5),""),"")))))</f>
        <v>cloze_ab</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143</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t="str">
        <f>IF(ROW()-1&lt;=0,"",IF(ROW()-1&lt;=$L$2,IFERROR(INDEX(MCQ!$A:$K,ROW()-1+1,5),""),IF(ROW()-1&lt;=$L$2+$M$2,IFERROR(INDEX(CLOZE_AB!$A:$K,ROW()-1-$L$2+1,5),""),IF(ROW()-1&lt;=$L$2+$M$2+$N$2,IFERROR(INDEX(CLOZE_LIST!$A:$K,ROW()-1-$L$2-$M$2+1,5),""),IF(ROW()-1&lt;=$L$2+$M$2+$N$2+$O$2,IFERROR(INDEX(PROFORMA!$A:$K,ROW()-1-$L$2-$M$2-$N$2+1,5),""),"")))))</f>
        <v>cloze_ab</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143</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t="str">
        <f>IF(ROW()-1&lt;=0,"",IF(ROW()-1&lt;=$L$2,IFERROR(INDEX(MCQ!$A:$K,ROW()-1+1,5),""),IF(ROW()-1&lt;=$L$2+$M$2,IFERROR(INDEX(CLOZE_AB!$A:$K,ROW()-1-$L$2+1,5),""),IF(ROW()-1&lt;=$L$2+$M$2+$N$2,IFERROR(INDEX(CLOZE_LIST!$A:$K,ROW()-1-$L$2-$M$2+1,5),""),IF(ROW()-1&lt;=$L$2+$M$2+$N$2+$O$2,IFERROR(INDEX(PROFORMA!$A:$K,ROW()-1-$L$2-$M$2-$N$2+1,5),""),"")))))</f>
        <v>cloze_ab</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143</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t="str">
        <f>IF(ROW()-1&lt;=0,"",IF(ROW()-1&lt;=$L$2,IFERROR(INDEX(MCQ!$A:$K,ROW()-1+1,5),""),IF(ROW()-1&lt;=$L$2+$M$2,IFERROR(INDEX(CLOZE_AB!$A:$K,ROW()-1-$L$2+1,5),""),IF(ROW()-1&lt;=$L$2+$M$2+$N$2,IFERROR(INDEX(CLOZE_LIST!$A:$K,ROW()-1-$L$2-$M$2+1,5),""),IF(ROW()-1&lt;=$L$2+$M$2+$N$2+$O$2,IFERROR(INDEX(PROFORMA!$A:$K,ROW()-1-$L$2-$M$2-$N$2+1,5),""),"")))))</f>
        <v>cloze_ab</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143</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t="str">
        <f>IF(ROW()-1&lt;=0,"",IF(ROW()-1&lt;=$L$2,IFERROR(INDEX(MCQ!$A:$K,ROW()-1+1,5),""),IF(ROW()-1&lt;=$L$2+$M$2,IFERROR(INDEX(CLOZE_AB!$A:$K,ROW()-1-$L$2+1,5),""),IF(ROW()-1&lt;=$L$2+$M$2+$N$2,IFERROR(INDEX(CLOZE_LIST!$A:$K,ROW()-1-$L$2-$M$2+1,5),""),IF(ROW()-1&lt;=$L$2+$M$2+$N$2+$O$2,IFERROR(INDEX(PROFORMA!$A:$K,ROW()-1-$L$2-$M$2-$N$2+1,5),""),"")))))</f>
        <v>cloze_ab</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143</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t="str">
        <f>IF(ROW()-1&lt;=0,"",IF(ROW()-1&lt;=$L$2,IFERROR(INDEX(MCQ!$A:$K,ROW()-1+1,5),""),IF(ROW()-1&lt;=$L$2+$M$2,IFERROR(INDEX(CLOZE_AB!$A:$K,ROW()-1-$L$2+1,5),""),IF(ROW()-1&lt;=$L$2+$M$2+$N$2,IFERROR(INDEX(CLOZE_LIST!$A:$K,ROW()-1-$L$2-$M$2+1,5),""),IF(ROW()-1&lt;=$L$2+$M$2+$N$2+$O$2,IFERROR(INDEX(PROFORMA!$A:$K,ROW()-1-$L$2-$M$2-$N$2+1,5),""),"")))))</f>
        <v>cloze_ab</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143</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t="str">
        <f>IF(ROW()-1&lt;=0,"",IF(ROW()-1&lt;=$L$2,IFERROR(INDEX(MCQ!$A:$K,ROW()-1+1,5),""),IF(ROW()-1&lt;=$L$2+$M$2,IFERROR(INDEX(CLOZE_AB!$A:$K,ROW()-1-$L$2+1,5),""),IF(ROW()-1&lt;=$L$2+$M$2+$N$2,IFERROR(INDEX(CLOZE_LIST!$A:$K,ROW()-1-$L$2-$M$2+1,5),""),IF(ROW()-1&lt;=$L$2+$M$2+$N$2+$O$2,IFERROR(INDEX(PROFORMA!$A:$K,ROW()-1-$L$2-$M$2-$N$2+1,5),""),"")))))</f>
        <v>cloze_ab</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143</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t="str">
        <f>IF(ROW()-1&lt;=0,"",IF(ROW()-1&lt;=$L$2,IFERROR(INDEX(MCQ!$A:$K,ROW()-1+1,5),""),IF(ROW()-1&lt;=$L$2+$M$2,IFERROR(INDEX(CLOZE_AB!$A:$K,ROW()-1-$L$2+1,5),""),IF(ROW()-1&lt;=$L$2+$M$2+$N$2,IFERROR(INDEX(CLOZE_LIST!$A:$K,ROW()-1-$L$2-$M$2+1,5),""),IF(ROW()-1&lt;=$L$2+$M$2+$N$2+$O$2,IFERROR(INDEX(PROFORMA!$A:$K,ROW()-1-$L$2-$M$2-$N$2+1,5),""),"")))))</f>
        <v>cloze_ab</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143</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t="str">
        <f>IF(ROW()-1&lt;=0,"",IF(ROW()-1&lt;=$L$2,IFERROR(INDEX(MCQ!$A:$K,ROW()-1+1,5),""),IF(ROW()-1&lt;=$L$2+$M$2,IFERROR(INDEX(CLOZE_AB!$A:$K,ROW()-1-$L$2+1,5),""),IF(ROW()-1&lt;=$L$2+$M$2+$N$2,IFERROR(INDEX(CLOZE_LIST!$A:$K,ROW()-1-$L$2-$M$2+1,5),""),IF(ROW()-1&lt;=$L$2+$M$2+$N$2+$O$2,IFERROR(INDEX(PROFORMA!$A:$K,ROW()-1-$L$2-$M$2-$N$2+1,5),""),"")))))</f>
        <v>cloze_ab</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143</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t="str">
        <f>IF(ROW()-1&lt;=0,"",IF(ROW()-1&lt;=$L$2,IFERROR(INDEX(MCQ!$A:$K,ROW()-1+1,5),""),IF(ROW()-1&lt;=$L$2+$M$2,IFERROR(INDEX(CLOZE_AB!$A:$K,ROW()-1-$L$2+1,5),""),IF(ROW()-1&lt;=$L$2+$M$2+$N$2,IFERROR(INDEX(CLOZE_LIST!$A:$K,ROW()-1-$L$2-$M$2+1,5),""),IF(ROW()-1&lt;=$L$2+$M$2+$N$2+$O$2,IFERROR(INDEX(PROFORMA!$A:$K,ROW()-1-$L$2-$M$2-$N$2+1,5),""),"")))))</f>
        <v>cloze_ab</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143</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t="str">
        <f>IF(ROW()-1&lt;=0,"",IF(ROW()-1&lt;=$L$2,IFERROR(INDEX(MCQ!$A:$K,ROW()-1+1,5),""),IF(ROW()-1&lt;=$L$2+$M$2,IFERROR(INDEX(CLOZE_AB!$A:$K,ROW()-1-$L$2+1,5),""),IF(ROW()-1&lt;=$L$2+$M$2+$N$2,IFERROR(INDEX(CLOZE_LIST!$A:$K,ROW()-1-$L$2-$M$2+1,5),""),IF(ROW()-1&lt;=$L$2+$M$2+$N$2+$O$2,IFERROR(INDEX(PROFORMA!$A:$K,ROW()-1-$L$2-$M$2-$N$2+1,5),""),"")))))</f>
        <v>cloze_ab</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143</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t="str">
        <f>IF(ROW()-1&lt;=0,"",IF(ROW()-1&lt;=$L$2,IFERROR(INDEX(MCQ!$A:$K,ROW()-1+1,5),""),IF(ROW()-1&lt;=$L$2+$M$2,IFERROR(INDEX(CLOZE_AB!$A:$K,ROW()-1-$L$2+1,5),""),IF(ROW()-1&lt;=$L$2+$M$2+$N$2,IFERROR(INDEX(CLOZE_LIST!$A:$K,ROW()-1-$L$2-$M$2+1,5),""),IF(ROW()-1&lt;=$L$2+$M$2+$N$2+$O$2,IFERROR(INDEX(PROFORMA!$A:$K,ROW()-1-$L$2-$M$2-$N$2+1,5),""),"")))))</f>
        <v>cloze_ab</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143</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t="str">
        <f>IF(ROW()-1&lt;=0,"",IF(ROW()-1&lt;=$L$2,IFERROR(INDEX(MCQ!$A:$K,ROW()-1+1,5),""),IF(ROW()-1&lt;=$L$2+$M$2,IFERROR(INDEX(CLOZE_AB!$A:$K,ROW()-1-$L$2+1,5),""),IF(ROW()-1&lt;=$L$2+$M$2+$N$2,IFERROR(INDEX(CLOZE_LIST!$A:$K,ROW()-1-$L$2-$M$2+1,5),""),IF(ROW()-1&lt;=$L$2+$M$2+$N$2+$O$2,IFERROR(INDEX(PROFORMA!$A:$K,ROW()-1-$L$2-$M$2-$N$2+1,5),""),"")))))</f>
        <v>cloze_ab</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143</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t="str">
        <f>IF(ROW()-1&lt;=0,"",IF(ROW()-1&lt;=$L$2,IFERROR(INDEX(MCQ!$A:$K,ROW()-1+1,5),""),IF(ROW()-1&lt;=$L$2+$M$2,IFERROR(INDEX(CLOZE_AB!$A:$K,ROW()-1-$L$2+1,5),""),IF(ROW()-1&lt;=$L$2+$M$2+$N$2,IFERROR(INDEX(CLOZE_LIST!$A:$K,ROW()-1-$L$2-$M$2+1,5),""),IF(ROW()-1&lt;=$L$2+$M$2+$N$2+$O$2,IFERROR(INDEX(PROFORMA!$A:$K,ROW()-1-$L$2-$M$2-$N$2+1,5),""),"")))))</f>
        <v>cloze_ab</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143</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t="str">
        <f>IF(ROW()-1&lt;=0,"",IF(ROW()-1&lt;=$L$2,IFERROR(INDEX(MCQ!$A:$K,ROW()-1+1,5),""),IF(ROW()-1&lt;=$L$2+$M$2,IFERROR(INDEX(CLOZE_AB!$A:$K,ROW()-1-$L$2+1,5),""),IF(ROW()-1&lt;=$L$2+$M$2+$N$2,IFERROR(INDEX(CLOZE_LIST!$A:$K,ROW()-1-$L$2-$M$2+1,5),""),IF(ROW()-1&lt;=$L$2+$M$2+$N$2+$O$2,IFERROR(INDEX(PROFORMA!$A:$K,ROW()-1-$L$2-$M$2-$N$2+1,5),""),"")))))</f>
        <v>cloze_ab</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143</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t="str">
        <f>IF(ROW()-1&lt;=0,"",IF(ROW()-1&lt;=$L$2,IFERROR(INDEX(MCQ!$A:$K,ROW()-1+1,5),""),IF(ROW()-1&lt;=$L$2+$M$2,IFERROR(INDEX(CLOZE_AB!$A:$K,ROW()-1-$L$2+1,5),""),IF(ROW()-1&lt;=$L$2+$M$2+$N$2,IFERROR(INDEX(CLOZE_LIST!$A:$K,ROW()-1-$L$2-$M$2+1,5),""),IF(ROW()-1&lt;=$L$2+$M$2+$N$2+$O$2,IFERROR(INDEX(PROFORMA!$A:$K,ROW()-1-$L$2-$M$2-$N$2+1,5),""),"")))))</f>
        <v>cloze_ab</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143</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t="str">
        <f>IF(ROW()-1&lt;=0,"",IF(ROW()-1&lt;=$L$2,IFERROR(INDEX(MCQ!$A:$K,ROW()-1+1,5),""),IF(ROW()-1&lt;=$L$2+$M$2,IFERROR(INDEX(CLOZE_AB!$A:$K,ROW()-1-$L$2+1,5),""),IF(ROW()-1&lt;=$L$2+$M$2+$N$2,IFERROR(INDEX(CLOZE_LIST!$A:$K,ROW()-1-$L$2-$M$2+1,5),""),IF(ROW()-1&lt;=$L$2+$M$2+$N$2+$O$2,IFERROR(INDEX(PROFORMA!$A:$K,ROW()-1-$L$2-$M$2-$N$2+1,5),""),"")))))</f>
        <v>cloze_ab</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143</v>
      </c>
      <c r="M311" s="3">
        <f>COUNTA(CLOZE_AB!$A:$A)-1</f>
        <v>168</v>
      </c>
      <c r="N311" s="3">
        <f>COUNTA(CLOZE_LIST!$A:$A)-1</f>
        <v>199</v>
      </c>
      <c r="O311" s="3">
        <f>COUNTA(PROFORMA!$A:$A)-1</f>
        <v>199</v>
      </c>
    </row>
    <row r="312" spans="1:15" x14ac:dyDescent="0.3">
      <c r="A312" s="3" t="str">
        <f>IF(ROW()-1&lt;=0,"",IF(ROW()-1&lt;=$L$2,IFERROR(INDEX(MCQ!$A:$K,ROW()-1+1,1),""),IF(ROW()-1&lt;=$L$2+$M$2,IFERROR(INDEX(CLOZE_AB!$A:$K,ROW()-1-$L$2+1,1),""),IF(ROW()-1&lt;=$L$2+$M$2+$N$2,IFERROR(INDEX(CLOZE_LIST!$A:$K,ROW()-1-$L$2-$M$2+1,1),""),IF(ROW()-1&lt;=$L$2+$M$2+$N$2+$O$2,IFERROR(INDEX(PROFORMA!$A:$K,ROW()-1-$L$2-$M$2-$N$2+1,1),""),"")))))</f>
        <v/>
      </c>
      <c r="B312" s="3">
        <f>IF(ROW()-1&lt;=0,"",IF(ROW()-1&lt;=$L$2,IFERROR(INDEX(MCQ!$A:$K,ROW()-1+1,2),""),IF(ROW()-1&lt;=$L$2+$M$2,IFERROR(INDEX(CLOZE_AB!$A:$K,ROW()-1-$L$2+1,2),""),IF(ROW()-1&lt;=$L$2+$M$2+$N$2,IFERROR(INDEX(CLOZE_LIST!$A:$K,ROW()-1-$L$2-$M$2+1,2),""),IF(ROW()-1&lt;=$L$2+$M$2+$N$2+$O$2,IFERROR(INDEX(PROFORMA!$A:$K,ROW()-1-$L$2-$M$2-$N$2+1,2),""),"")))))</f>
        <v>0</v>
      </c>
      <c r="C312" s="3">
        <f>IF(ROW()-1&lt;=0,"",IF(ROW()-1&lt;=$L$2,IFERROR(INDEX(MCQ!$A:$K,ROW()-1+1,3),""),IF(ROW()-1&lt;=$L$2+$M$2,IFERROR(INDEX(CLOZE_AB!$A:$K,ROW()-1-$L$2+1,3),""),IF(ROW()-1&lt;=$L$2+$M$2+$N$2,IFERROR(INDEX(CLOZE_LIST!$A:$K,ROW()-1-$L$2-$M$2+1,3),""),IF(ROW()-1&lt;=$L$2+$M$2+$N$2+$O$2,IFERROR(INDEX(PROFORMA!$A:$K,ROW()-1-$L$2-$M$2-$N$2+1,3),""),"")))))</f>
        <v>0</v>
      </c>
      <c r="D312" s="3">
        <f>IF(ROW()-1&lt;=0,"",IF(ROW()-1&lt;=$L$2,IFERROR(INDEX(MCQ!$A:$K,ROW()-1+1,4),""),IF(ROW()-1&lt;=$L$2+$M$2,IFERROR(INDEX(CLOZE_AB!$A:$K,ROW()-1-$L$2+1,4),""),IF(ROW()-1&lt;=$L$2+$M$2+$N$2,IFERROR(INDEX(CLOZE_LIST!$A:$K,ROW()-1-$L$2-$M$2+1,4),""),IF(ROW()-1&lt;=$L$2+$M$2+$N$2+$O$2,IFERROR(INDEX(PROFORMA!$A:$K,ROW()-1-$L$2-$M$2-$N$2+1,4),""),"")))))</f>
        <v>0</v>
      </c>
      <c r="E312" s="3" t="str">
        <f>IF(ROW()-1&lt;=0,"",IF(ROW()-1&lt;=$L$2,IFERROR(INDEX(MCQ!$A:$K,ROW()-1+1,5),""),IF(ROW()-1&lt;=$L$2+$M$2,IFERROR(INDEX(CLOZE_AB!$A:$K,ROW()-1-$L$2+1,5),""),IF(ROW()-1&lt;=$L$2+$M$2+$N$2,IFERROR(INDEX(CLOZE_LIST!$A:$K,ROW()-1-$L$2-$M$2+1,5),""),IF(ROW()-1&lt;=$L$2+$M$2+$N$2+$O$2,IFERROR(INDEX(PROFORMA!$A:$K,ROW()-1-$L$2-$M$2-$N$2+1,5),""),"")))))</f>
        <v>cloze_ab</v>
      </c>
      <c r="F312" s="3">
        <f>IF(ROW()-1&lt;=0,"",IF(ROW()-1&lt;=$L$2,IFERROR(INDEX(MCQ!$A:$K,ROW()-1+1,6),""),IF(ROW()-1&lt;=$L$2+$M$2,IFERROR(INDEX(CLOZE_AB!$A:$K,ROW()-1-$L$2+1,6),""),IF(ROW()-1&lt;=$L$2+$M$2+$N$2,IFERROR(INDEX(CLOZE_LIST!$A:$K,ROW()-1-$L$2-$M$2+1,6),""),IF(ROW()-1&lt;=$L$2+$M$2+$N$2+$O$2,IFERROR(INDEX(PROFORMA!$A:$K,ROW()-1-$L$2-$M$2-$N$2+1,6),""),"")))))</f>
        <v>0</v>
      </c>
      <c r="G312" s="3">
        <f>IF(ROW()-1&lt;=0,"",IF(ROW()-1&lt;=$L$2,IFERROR(INDEX(MCQ!$A:$K,ROW()-1+1,7),""),IF(ROW()-1&lt;=$L$2+$M$2,IFERROR(INDEX(CLOZE_AB!$A:$K,ROW()-1-$L$2+1,7),""),IF(ROW()-1&lt;=$L$2+$M$2+$N$2,IFERROR(INDEX(CLOZE_LIST!$A:$K,ROW()-1-$L$2-$M$2+1,7),""),IF(ROW()-1&lt;=$L$2+$M$2+$N$2+$O$2,IFERROR(INDEX(PROFORMA!$A:$K,ROW()-1-$L$2-$M$2-$N$2+1,7),""),"")))))</f>
        <v>0</v>
      </c>
      <c r="H312" s="3">
        <f>IF(ROW()-1&lt;=0,"",IF(ROW()-1&lt;=$L$2,IFERROR(INDEX(MCQ!$A:$K,ROW()-1+1,8),""),IF(ROW()-1&lt;=$L$2+$M$2,IFERROR(INDEX(CLOZE_AB!$A:$K,ROW()-1-$L$2+1,8),""),IF(ROW()-1&lt;=$L$2+$M$2+$N$2,IFERROR(INDEX(CLOZE_LIST!$A:$K,ROW()-1-$L$2-$M$2+1,8),""),IF(ROW()-1&lt;=$L$2+$M$2+$N$2+$O$2,IFERROR(INDEX(PROFORMA!$A:$K,ROW()-1-$L$2-$M$2-$N$2+1,8),""),"")))))</f>
        <v>0</v>
      </c>
      <c r="I312" s="3">
        <f>IF(ROW()-1&lt;=0,"",IF(ROW()-1&lt;=$L$2,IFERROR(INDEX(MCQ!$A:$K,ROW()-1+1,9),""),IF(ROW()-1&lt;=$L$2+$M$2,IFERROR(INDEX(CLOZE_AB!$A:$K,ROW()-1-$L$2+1,9),""),IF(ROW()-1&lt;=$L$2+$M$2+$N$2,IFERROR(INDEX(CLOZE_LIST!$A:$K,ROW()-1-$L$2-$M$2+1,9),""),IF(ROW()-1&lt;=$L$2+$M$2+$N$2+$O$2,IFERROR(INDEX(PROFORMA!$A:$K,ROW()-1-$L$2-$M$2-$N$2+1,9),""),"")))))</f>
        <v>0</v>
      </c>
      <c r="J312" s="3">
        <f>IF(ROW()-1&lt;=0,"",IF(ROW()-1&lt;=$L$2,IFERROR(INDEX(MCQ!$A:$K,ROW()-1+1,10),""),IF(ROW()-1&lt;=$L$2+$M$2,IFERROR(INDEX(CLOZE_AB!$A:$K,ROW()-1-$L$2+1,10),""),IF(ROW()-1&lt;=$L$2+$M$2+$N$2,IFERROR(INDEX(CLOZE_LIST!$A:$K,ROW()-1-$L$2-$M$2+1,10),""),IF(ROW()-1&lt;=$L$2+$M$2+$N$2+$O$2,IFERROR(INDEX(PROFORMA!$A:$K,ROW()-1-$L$2-$M$2-$N$2+1,10),""),"")))))</f>
        <v>0</v>
      </c>
      <c r="K312" s="3">
        <f>IF(ROW()-1&lt;=0,"",IF(ROW()-1&lt;=$L$2,IFERROR(INDEX(MCQ!$A:$K,ROW()-1+1,11),""),IF(ROW()-1&lt;=$L$2+$M$2,IFERROR(INDEX(CLOZE_AB!$A:$K,ROW()-1-$L$2+1,11),""),IF(ROW()-1&lt;=$L$2+$M$2+$N$2,IFERROR(INDEX(CLOZE_LIST!$A:$K,ROW()-1-$L$2-$M$2+1,11),""),IF(ROW()-1&lt;=$L$2+$M$2+$N$2+$O$2,IFERROR(INDEX(PROFORMA!$A:$K,ROW()-1-$L$2-$M$2-$N$2+1,11),""),"")))))</f>
        <v>0</v>
      </c>
      <c r="L312" s="3">
        <f>COUNTA(MCQ!$A:$A)-1</f>
        <v>143</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LIST_ITNIC_REQ_EIS_001</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143</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LIST_ITNIC_REQ_EIS_002</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EIS / SEIS / VCT reliefs</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eis;seis;vct</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143</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LIST_ITNIC_REQ_PSC_001</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ir35;small_entity;deemed_salary</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143</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LIST_ITNIC_REQ_PSC_002</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Personal service companies and IR35</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ir35;medium_large_entity;sds;ddp</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143</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LIST_ITNIC_REQ_SHS_001</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 terminology</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share_options;terminology</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143</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LIST_ITNIC_REQ_SHS_002</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 (SAYE / CSOP / EMI / SIP)</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csop;emi;limits</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143</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LIST_ITNIC_REQ_SHS_003</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Employee share schemes (SAYE / CSOP / EMI / SIP)</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sip;hold_period;withdrawal</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143</v>
      </c>
      <c r="M319" s="3">
        <f>COUNTA(CLOZE_AB!$A:$A)-1</f>
        <v>168</v>
      </c>
      <c r="N319" s="3">
        <f>COUNTA(CLOZE_LIST!$A:$A)-1</f>
        <v>199</v>
      </c>
      <c r="O319" s="3">
        <f>COUNTA(PROFORMA!$A:$A)-1</f>
        <v>199</v>
      </c>
    </row>
    <row r="320" spans="1:15" x14ac:dyDescent="0.3">
      <c r="A320" s="3" t="str">
        <f>IF(ROW()-1&lt;=0,"",IF(ROW()-1&lt;=$L$2,IFERROR(INDEX(MCQ!$A:$K,ROW()-1+1,1),""),IF(ROW()-1&lt;=$L$2+$M$2,IFERROR(INDEX(CLOZE_AB!$A:$K,ROW()-1-$L$2+1,1),""),IF(ROW()-1&lt;=$L$2+$M$2+$N$2,IFERROR(INDEX(CLOZE_LIST!$A:$K,ROW()-1-$L$2-$M$2+1,1),""),IF(ROW()-1&lt;=$L$2+$M$2+$N$2+$O$2,IFERROR(INDEX(PROFORMA!$A:$K,ROW()-1-$L$2-$M$2-$N$2+1,1),""),"")))))</f>
        <v/>
      </c>
      <c r="B320" s="3">
        <f>IF(ROW()-1&lt;=0,"",IF(ROW()-1&lt;=$L$2,IFERROR(INDEX(MCQ!$A:$K,ROW()-1+1,2),""),IF(ROW()-1&lt;=$L$2+$M$2,IFERROR(INDEX(CLOZE_AB!$A:$K,ROW()-1-$L$2+1,2),""),IF(ROW()-1&lt;=$L$2+$M$2+$N$2,IFERROR(INDEX(CLOZE_LIST!$A:$K,ROW()-1-$L$2-$M$2+1,2),""),IF(ROW()-1&lt;=$L$2+$M$2+$N$2+$O$2,IFERROR(INDEX(PROFORMA!$A:$K,ROW()-1-$L$2-$M$2-$N$2+1,2),""),"")))))</f>
        <v>0</v>
      </c>
      <c r="C320" s="3">
        <f>IF(ROW()-1&lt;=0,"",IF(ROW()-1&lt;=$L$2,IFERROR(INDEX(MCQ!$A:$K,ROW()-1+1,3),""),IF(ROW()-1&lt;=$L$2+$M$2,IFERROR(INDEX(CLOZE_AB!$A:$K,ROW()-1-$L$2+1,3),""),IF(ROW()-1&lt;=$L$2+$M$2+$N$2,IFERROR(INDEX(CLOZE_LIST!$A:$K,ROW()-1-$L$2-$M$2+1,3),""),IF(ROW()-1&lt;=$L$2+$M$2+$N$2+$O$2,IFERROR(INDEX(PROFORMA!$A:$K,ROW()-1-$L$2-$M$2-$N$2+1,3),""),"")))))</f>
        <v>0</v>
      </c>
      <c r="D320" s="3">
        <f>IF(ROW()-1&lt;=0,"",IF(ROW()-1&lt;=$L$2,IFERROR(INDEX(MCQ!$A:$K,ROW()-1+1,4),""),IF(ROW()-1&lt;=$L$2+$M$2,IFERROR(INDEX(CLOZE_AB!$A:$K,ROW()-1-$L$2+1,4),""),IF(ROW()-1&lt;=$L$2+$M$2+$N$2,IFERROR(INDEX(CLOZE_LIST!$A:$K,ROW()-1-$L$2-$M$2+1,4),""),IF(ROW()-1&lt;=$L$2+$M$2+$N$2+$O$2,IFERROR(INDEX(PROFORMA!$A:$K,ROW()-1-$L$2-$M$2-$N$2+1,4),""),"")))))</f>
        <v>0</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0</v>
      </c>
      <c r="G320" s="3">
        <f>IF(ROW()-1&lt;=0,"",IF(ROW()-1&lt;=$L$2,IFERROR(INDEX(MCQ!$A:$K,ROW()-1+1,7),""),IF(ROW()-1&lt;=$L$2+$M$2,IFERROR(INDEX(CLOZE_AB!$A:$K,ROW()-1-$L$2+1,7),""),IF(ROW()-1&lt;=$L$2+$M$2+$N$2,IFERROR(INDEX(CLOZE_LIST!$A:$K,ROW()-1-$L$2-$M$2+1,7),""),IF(ROW()-1&lt;=$L$2+$M$2+$N$2+$O$2,IFERROR(INDEX(PROFORMA!$A:$K,ROW()-1-$L$2-$M$2-$N$2+1,7),""),"")))))</f>
        <v>0</v>
      </c>
      <c r="H320" s="3">
        <f>IF(ROW()-1&lt;=0,"",IF(ROW()-1&lt;=$L$2,IFERROR(INDEX(MCQ!$A:$K,ROW()-1+1,8),""),IF(ROW()-1&lt;=$L$2+$M$2,IFERROR(INDEX(CLOZE_AB!$A:$K,ROW()-1-$L$2+1,8),""),IF(ROW()-1&lt;=$L$2+$M$2+$N$2,IFERROR(INDEX(CLOZE_LIST!$A:$K,ROW()-1-$L$2-$M$2+1,8),""),IF(ROW()-1&lt;=$L$2+$M$2+$N$2+$O$2,IFERROR(INDEX(PROFORMA!$A:$K,ROW()-1-$L$2-$M$2-$N$2+1,8),""),"")))))</f>
        <v>0</v>
      </c>
      <c r="I320" s="3">
        <f>IF(ROW()-1&lt;=0,"",IF(ROW()-1&lt;=$L$2,IFERROR(INDEX(MCQ!$A:$K,ROW()-1+1,9),""),IF(ROW()-1&lt;=$L$2+$M$2,IFERROR(INDEX(CLOZE_AB!$A:$K,ROW()-1-$L$2+1,9),""),IF(ROW()-1&lt;=$L$2+$M$2+$N$2,IFERROR(INDEX(CLOZE_LIST!$A:$K,ROW()-1-$L$2-$M$2+1,9),""),IF(ROW()-1&lt;=$L$2+$M$2+$N$2+$O$2,IFERROR(INDEX(PROFORMA!$A:$K,ROW()-1-$L$2-$M$2-$N$2+1,9),""),"")))))</f>
        <v>0</v>
      </c>
      <c r="J320" s="3">
        <f>IF(ROW()-1&lt;=0,"",IF(ROW()-1&lt;=$L$2,IFERROR(INDEX(MCQ!$A:$K,ROW()-1+1,10),""),IF(ROW()-1&lt;=$L$2+$M$2,IFERROR(INDEX(CLOZE_AB!$A:$K,ROW()-1-$L$2+1,10),""),IF(ROW()-1&lt;=$L$2+$M$2+$N$2,IFERROR(INDEX(CLOZE_LIST!$A:$K,ROW()-1-$L$2-$M$2+1,10),""),IF(ROW()-1&lt;=$L$2+$M$2+$N$2+$O$2,IFERROR(INDEX(PROFORMA!$A:$K,ROW()-1-$L$2-$M$2-$N$2+1,10),""),"")))))</f>
        <v>0</v>
      </c>
      <c r="K320" s="3">
        <f>IF(ROW()-1&lt;=0,"",IF(ROW()-1&lt;=$L$2,IFERROR(INDEX(MCQ!$A:$K,ROW()-1+1,11),""),IF(ROW()-1&lt;=$L$2+$M$2,IFERROR(INDEX(CLOZE_AB!$A:$K,ROW()-1-$L$2+1,11),""),IF(ROW()-1&lt;=$L$2+$M$2+$N$2,IFERROR(INDEX(CLOZE_LIST!$A:$K,ROW()-1-$L$2-$M$2+1,11),""),IF(ROW()-1&lt;=$L$2+$M$2+$N$2+$O$2,IFERROR(INDEX(PROFORMA!$A:$K,ROW()-1-$L$2-$M$2-$N$2+1,11),""),"")))))</f>
        <v>0</v>
      </c>
      <c r="L320" s="3">
        <f>COUNTA(MCQ!$A:$A)-1</f>
        <v>143</v>
      </c>
      <c r="M320" s="3">
        <f>COUNTA(CLOZE_AB!$A:$A)-1</f>
        <v>168</v>
      </c>
      <c r="N320" s="3">
        <f>COUNTA(CLOZE_LIST!$A:$A)-1</f>
        <v>199</v>
      </c>
      <c r="O320" s="3">
        <f>COUNTA(PROFORMA!$A:$A)-1</f>
        <v>199</v>
      </c>
    </row>
    <row r="321" spans="1:15" x14ac:dyDescent="0.3">
      <c r="A321" s="3" t="str">
        <f>IF(ROW()-1&lt;=0,"",IF(ROW()-1&lt;=$L$2,IFERROR(INDEX(MCQ!$A:$K,ROW()-1+1,1),""),IF(ROW()-1&lt;=$L$2+$M$2,IFERROR(INDEX(CLOZE_AB!$A:$K,ROW()-1-$L$2+1,1),""),IF(ROW()-1&lt;=$L$2+$M$2+$N$2,IFERROR(INDEX(CLOZE_LIST!$A:$K,ROW()-1-$L$2-$M$2+1,1),""),IF(ROW()-1&lt;=$L$2+$M$2+$N$2+$O$2,IFERROR(INDEX(PROFORMA!$A:$K,ROW()-1-$L$2-$M$2-$N$2+1,1),""),"")))))</f>
        <v/>
      </c>
      <c r="B321" s="3">
        <f>IF(ROW()-1&lt;=0,"",IF(ROW()-1&lt;=$L$2,IFERROR(INDEX(MCQ!$A:$K,ROW()-1+1,2),""),IF(ROW()-1&lt;=$L$2+$M$2,IFERROR(INDEX(CLOZE_AB!$A:$K,ROW()-1-$L$2+1,2),""),IF(ROW()-1&lt;=$L$2+$M$2+$N$2,IFERROR(INDEX(CLOZE_LIST!$A:$K,ROW()-1-$L$2-$M$2+1,2),""),IF(ROW()-1&lt;=$L$2+$M$2+$N$2+$O$2,IFERROR(INDEX(PROFORMA!$A:$K,ROW()-1-$L$2-$M$2-$N$2+1,2),""),"")))))</f>
        <v>0</v>
      </c>
      <c r="C321" s="3">
        <f>IF(ROW()-1&lt;=0,"",IF(ROW()-1&lt;=$L$2,IFERROR(INDEX(MCQ!$A:$K,ROW()-1+1,3),""),IF(ROW()-1&lt;=$L$2+$M$2,IFERROR(INDEX(CLOZE_AB!$A:$K,ROW()-1-$L$2+1,3),""),IF(ROW()-1&lt;=$L$2+$M$2+$N$2,IFERROR(INDEX(CLOZE_LIST!$A:$K,ROW()-1-$L$2-$M$2+1,3),""),IF(ROW()-1&lt;=$L$2+$M$2+$N$2+$O$2,IFERROR(INDEX(PROFORMA!$A:$K,ROW()-1-$L$2-$M$2-$N$2+1,3),""),"")))))</f>
        <v>0</v>
      </c>
      <c r="D321" s="3">
        <f>IF(ROW()-1&lt;=0,"",IF(ROW()-1&lt;=$L$2,IFERROR(INDEX(MCQ!$A:$K,ROW()-1+1,4),""),IF(ROW()-1&lt;=$L$2+$M$2,IFERROR(INDEX(CLOZE_AB!$A:$K,ROW()-1-$L$2+1,4),""),IF(ROW()-1&lt;=$L$2+$M$2+$N$2,IFERROR(INDEX(CLOZE_LIST!$A:$K,ROW()-1-$L$2-$M$2+1,4),""),IF(ROW()-1&lt;=$L$2+$M$2+$N$2+$O$2,IFERROR(INDEX(PROFORMA!$A:$K,ROW()-1-$L$2-$M$2-$N$2+1,4),""),"")))))</f>
        <v>0</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0</v>
      </c>
      <c r="G321" s="3">
        <f>IF(ROW()-1&lt;=0,"",IF(ROW()-1&lt;=$L$2,IFERROR(INDEX(MCQ!$A:$K,ROW()-1+1,7),""),IF(ROW()-1&lt;=$L$2+$M$2,IFERROR(INDEX(CLOZE_AB!$A:$K,ROW()-1-$L$2+1,7),""),IF(ROW()-1&lt;=$L$2+$M$2+$N$2,IFERROR(INDEX(CLOZE_LIST!$A:$K,ROW()-1-$L$2-$M$2+1,7),""),IF(ROW()-1&lt;=$L$2+$M$2+$N$2+$O$2,IFERROR(INDEX(PROFORMA!$A:$K,ROW()-1-$L$2-$M$2-$N$2+1,7),""),"")))))</f>
        <v>0</v>
      </c>
      <c r="H321" s="3">
        <f>IF(ROW()-1&lt;=0,"",IF(ROW()-1&lt;=$L$2,IFERROR(INDEX(MCQ!$A:$K,ROW()-1+1,8),""),IF(ROW()-1&lt;=$L$2+$M$2,IFERROR(INDEX(CLOZE_AB!$A:$K,ROW()-1-$L$2+1,8),""),IF(ROW()-1&lt;=$L$2+$M$2+$N$2,IFERROR(INDEX(CLOZE_LIST!$A:$K,ROW()-1-$L$2-$M$2+1,8),""),IF(ROW()-1&lt;=$L$2+$M$2+$N$2+$O$2,IFERROR(INDEX(PROFORMA!$A:$K,ROW()-1-$L$2-$M$2-$N$2+1,8),""),"")))))</f>
        <v>0</v>
      </c>
      <c r="I321" s="3">
        <f>IF(ROW()-1&lt;=0,"",IF(ROW()-1&lt;=$L$2,IFERROR(INDEX(MCQ!$A:$K,ROW()-1+1,9),""),IF(ROW()-1&lt;=$L$2+$M$2,IFERROR(INDEX(CLOZE_AB!$A:$K,ROW()-1-$L$2+1,9),""),IF(ROW()-1&lt;=$L$2+$M$2+$N$2,IFERROR(INDEX(CLOZE_LIST!$A:$K,ROW()-1-$L$2-$M$2+1,9),""),IF(ROW()-1&lt;=$L$2+$M$2+$N$2+$O$2,IFERROR(INDEX(PROFORMA!$A:$K,ROW()-1-$L$2-$M$2-$N$2+1,9),""),"")))))</f>
        <v>0</v>
      </c>
      <c r="J321" s="3">
        <f>IF(ROW()-1&lt;=0,"",IF(ROW()-1&lt;=$L$2,IFERROR(INDEX(MCQ!$A:$K,ROW()-1+1,10),""),IF(ROW()-1&lt;=$L$2+$M$2,IFERROR(INDEX(CLOZE_AB!$A:$K,ROW()-1-$L$2+1,10),""),IF(ROW()-1&lt;=$L$2+$M$2+$N$2,IFERROR(INDEX(CLOZE_LIST!$A:$K,ROW()-1-$L$2-$M$2+1,10),""),IF(ROW()-1&lt;=$L$2+$M$2+$N$2+$O$2,IFERROR(INDEX(PROFORMA!$A:$K,ROW()-1-$L$2-$M$2-$N$2+1,10),""),"")))))</f>
        <v>0</v>
      </c>
      <c r="K321" s="3">
        <f>IF(ROW()-1&lt;=0,"",IF(ROW()-1&lt;=$L$2,IFERROR(INDEX(MCQ!$A:$K,ROW()-1+1,11),""),IF(ROW()-1&lt;=$L$2+$M$2,IFERROR(INDEX(CLOZE_AB!$A:$K,ROW()-1-$L$2+1,11),""),IF(ROW()-1&lt;=$L$2+$M$2+$N$2,IFERROR(INDEX(CLOZE_LIST!$A:$K,ROW()-1-$L$2-$M$2+1,11),""),IF(ROW()-1&lt;=$L$2+$M$2+$N$2+$O$2,IFERROR(INDEX(PROFORMA!$A:$K,ROW()-1-$L$2-$M$2-$N$2+1,11),""),"")))))</f>
        <v>0</v>
      </c>
      <c r="L321" s="3">
        <f>COUNTA(MCQ!$A:$A)-1</f>
        <v>143</v>
      </c>
      <c r="M321" s="3">
        <f>COUNTA(CLOZE_AB!$A:$A)-1</f>
        <v>168</v>
      </c>
      <c r="N321" s="3">
        <f>COUNTA(CLOZE_LIST!$A:$A)-1</f>
        <v>199</v>
      </c>
      <c r="O321" s="3">
        <f>COUNTA(PROFORMA!$A:$A)-1</f>
        <v>199</v>
      </c>
    </row>
    <row r="322" spans="1:15" x14ac:dyDescent="0.3">
      <c r="A322" s="3" t="str">
        <f>IF(ROW()-1&lt;=0,"",IF(ROW()-1&lt;=$L$2,IFERROR(INDEX(MCQ!$A:$K,ROW()-1+1,1),""),IF(ROW()-1&lt;=$L$2+$M$2,IFERROR(INDEX(CLOZE_AB!$A:$K,ROW()-1-$L$2+1,1),""),IF(ROW()-1&lt;=$L$2+$M$2+$N$2,IFERROR(INDEX(CLOZE_LIST!$A:$K,ROW()-1-$L$2-$M$2+1,1),""),IF(ROW()-1&lt;=$L$2+$M$2+$N$2+$O$2,IFERROR(INDEX(PROFORMA!$A:$K,ROW()-1-$L$2-$M$2-$N$2+1,1),""),"")))))</f>
        <v/>
      </c>
      <c r="B322" s="3">
        <f>IF(ROW()-1&lt;=0,"",IF(ROW()-1&lt;=$L$2,IFERROR(INDEX(MCQ!$A:$K,ROW()-1+1,2),""),IF(ROW()-1&lt;=$L$2+$M$2,IFERROR(INDEX(CLOZE_AB!$A:$K,ROW()-1-$L$2+1,2),""),IF(ROW()-1&lt;=$L$2+$M$2+$N$2,IFERROR(INDEX(CLOZE_LIST!$A:$K,ROW()-1-$L$2-$M$2+1,2),""),IF(ROW()-1&lt;=$L$2+$M$2+$N$2+$O$2,IFERROR(INDEX(PROFORMA!$A:$K,ROW()-1-$L$2-$M$2-$N$2+1,2),""),"")))))</f>
        <v>0</v>
      </c>
      <c r="C322" s="3">
        <f>IF(ROW()-1&lt;=0,"",IF(ROW()-1&lt;=$L$2,IFERROR(INDEX(MCQ!$A:$K,ROW()-1+1,3),""),IF(ROW()-1&lt;=$L$2+$M$2,IFERROR(INDEX(CLOZE_AB!$A:$K,ROW()-1-$L$2+1,3),""),IF(ROW()-1&lt;=$L$2+$M$2+$N$2,IFERROR(INDEX(CLOZE_LIST!$A:$K,ROW()-1-$L$2-$M$2+1,3),""),IF(ROW()-1&lt;=$L$2+$M$2+$N$2+$O$2,IFERROR(INDEX(PROFORMA!$A:$K,ROW()-1-$L$2-$M$2-$N$2+1,3),""),"")))))</f>
        <v>0</v>
      </c>
      <c r="D322" s="3">
        <f>IF(ROW()-1&lt;=0,"",IF(ROW()-1&lt;=$L$2,IFERROR(INDEX(MCQ!$A:$K,ROW()-1+1,4),""),IF(ROW()-1&lt;=$L$2+$M$2,IFERROR(INDEX(CLOZE_AB!$A:$K,ROW()-1-$L$2+1,4),""),IF(ROW()-1&lt;=$L$2+$M$2+$N$2,IFERROR(INDEX(CLOZE_LIST!$A:$K,ROW()-1-$L$2-$M$2+1,4),""),IF(ROW()-1&lt;=$L$2+$M$2+$N$2+$O$2,IFERROR(INDEX(PROFORMA!$A:$K,ROW()-1-$L$2-$M$2-$N$2+1,4),""),"")))))</f>
        <v>0</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0</v>
      </c>
      <c r="G322" s="3">
        <f>IF(ROW()-1&lt;=0,"",IF(ROW()-1&lt;=$L$2,IFERROR(INDEX(MCQ!$A:$K,ROW()-1+1,7),""),IF(ROW()-1&lt;=$L$2+$M$2,IFERROR(INDEX(CLOZE_AB!$A:$K,ROW()-1-$L$2+1,7),""),IF(ROW()-1&lt;=$L$2+$M$2+$N$2,IFERROR(INDEX(CLOZE_LIST!$A:$K,ROW()-1-$L$2-$M$2+1,7),""),IF(ROW()-1&lt;=$L$2+$M$2+$N$2+$O$2,IFERROR(INDEX(PROFORMA!$A:$K,ROW()-1-$L$2-$M$2-$N$2+1,7),""),"")))))</f>
        <v>0</v>
      </c>
      <c r="H322" s="3">
        <f>IF(ROW()-1&lt;=0,"",IF(ROW()-1&lt;=$L$2,IFERROR(INDEX(MCQ!$A:$K,ROW()-1+1,8),""),IF(ROW()-1&lt;=$L$2+$M$2,IFERROR(INDEX(CLOZE_AB!$A:$K,ROW()-1-$L$2+1,8),""),IF(ROW()-1&lt;=$L$2+$M$2+$N$2,IFERROR(INDEX(CLOZE_LIST!$A:$K,ROW()-1-$L$2-$M$2+1,8),""),IF(ROW()-1&lt;=$L$2+$M$2+$N$2+$O$2,IFERROR(INDEX(PROFORMA!$A:$K,ROW()-1-$L$2-$M$2-$N$2+1,8),""),"")))))</f>
        <v>0</v>
      </c>
      <c r="I322" s="3">
        <f>IF(ROW()-1&lt;=0,"",IF(ROW()-1&lt;=$L$2,IFERROR(INDEX(MCQ!$A:$K,ROW()-1+1,9),""),IF(ROW()-1&lt;=$L$2+$M$2,IFERROR(INDEX(CLOZE_AB!$A:$K,ROW()-1-$L$2+1,9),""),IF(ROW()-1&lt;=$L$2+$M$2+$N$2,IFERROR(INDEX(CLOZE_LIST!$A:$K,ROW()-1-$L$2-$M$2+1,9),""),IF(ROW()-1&lt;=$L$2+$M$2+$N$2+$O$2,IFERROR(INDEX(PROFORMA!$A:$K,ROW()-1-$L$2-$M$2-$N$2+1,9),""),"")))))</f>
        <v>0</v>
      </c>
      <c r="J322" s="3">
        <f>IF(ROW()-1&lt;=0,"",IF(ROW()-1&lt;=$L$2,IFERROR(INDEX(MCQ!$A:$K,ROW()-1+1,10),""),IF(ROW()-1&lt;=$L$2+$M$2,IFERROR(INDEX(CLOZE_AB!$A:$K,ROW()-1-$L$2+1,10),""),IF(ROW()-1&lt;=$L$2+$M$2+$N$2,IFERROR(INDEX(CLOZE_LIST!$A:$K,ROW()-1-$L$2-$M$2+1,10),""),IF(ROW()-1&lt;=$L$2+$M$2+$N$2+$O$2,IFERROR(INDEX(PROFORMA!$A:$K,ROW()-1-$L$2-$M$2-$N$2+1,10),""),"")))))</f>
        <v>0</v>
      </c>
      <c r="K322" s="3">
        <f>IF(ROW()-1&lt;=0,"",IF(ROW()-1&lt;=$L$2,IFERROR(INDEX(MCQ!$A:$K,ROW()-1+1,11),""),IF(ROW()-1&lt;=$L$2+$M$2,IFERROR(INDEX(CLOZE_AB!$A:$K,ROW()-1-$L$2+1,11),""),IF(ROW()-1&lt;=$L$2+$M$2+$N$2,IFERROR(INDEX(CLOZE_LIST!$A:$K,ROW()-1-$L$2-$M$2+1,11),""),IF(ROW()-1&lt;=$L$2+$M$2+$N$2+$O$2,IFERROR(INDEX(PROFORMA!$A:$K,ROW()-1-$L$2-$M$2-$N$2+1,11),""),"")))))</f>
        <v>0</v>
      </c>
      <c r="L322" s="3">
        <f>COUNTA(MCQ!$A:$A)-1</f>
        <v>143</v>
      </c>
      <c r="M322" s="3">
        <f>COUNTA(CLOZE_AB!$A:$A)-1</f>
        <v>168</v>
      </c>
      <c r="N322" s="3">
        <f>COUNTA(CLOZE_LIST!$A:$A)-1</f>
        <v>199</v>
      </c>
      <c r="O322" s="3">
        <f>COUNTA(PROFORMA!$A:$A)-1</f>
        <v>199</v>
      </c>
    </row>
    <row r="323" spans="1:15" x14ac:dyDescent="0.3">
      <c r="A323" s="3" t="str">
        <f>IF(ROW()-1&lt;=0,"",IF(ROW()-1&lt;=$L$2,IFERROR(INDEX(MCQ!$A:$K,ROW()-1+1,1),""),IF(ROW()-1&lt;=$L$2+$M$2,IFERROR(INDEX(CLOZE_AB!$A:$K,ROW()-1-$L$2+1,1),""),IF(ROW()-1&lt;=$L$2+$M$2+$N$2,IFERROR(INDEX(CLOZE_LIST!$A:$K,ROW()-1-$L$2-$M$2+1,1),""),IF(ROW()-1&lt;=$L$2+$M$2+$N$2+$O$2,IFERROR(INDEX(PROFORMA!$A:$K,ROW()-1-$L$2-$M$2-$N$2+1,1),""),"")))))</f>
        <v/>
      </c>
      <c r="B323" s="3">
        <f>IF(ROW()-1&lt;=0,"",IF(ROW()-1&lt;=$L$2,IFERROR(INDEX(MCQ!$A:$K,ROW()-1+1,2),""),IF(ROW()-1&lt;=$L$2+$M$2,IFERROR(INDEX(CLOZE_AB!$A:$K,ROW()-1-$L$2+1,2),""),IF(ROW()-1&lt;=$L$2+$M$2+$N$2,IFERROR(INDEX(CLOZE_LIST!$A:$K,ROW()-1-$L$2-$M$2+1,2),""),IF(ROW()-1&lt;=$L$2+$M$2+$N$2+$O$2,IFERROR(INDEX(PROFORMA!$A:$K,ROW()-1-$L$2-$M$2-$N$2+1,2),""),"")))))</f>
        <v>0</v>
      </c>
      <c r="C323" s="3">
        <f>IF(ROW()-1&lt;=0,"",IF(ROW()-1&lt;=$L$2,IFERROR(INDEX(MCQ!$A:$K,ROW()-1+1,3),""),IF(ROW()-1&lt;=$L$2+$M$2,IFERROR(INDEX(CLOZE_AB!$A:$K,ROW()-1-$L$2+1,3),""),IF(ROW()-1&lt;=$L$2+$M$2+$N$2,IFERROR(INDEX(CLOZE_LIST!$A:$K,ROW()-1-$L$2-$M$2+1,3),""),IF(ROW()-1&lt;=$L$2+$M$2+$N$2+$O$2,IFERROR(INDEX(PROFORMA!$A:$K,ROW()-1-$L$2-$M$2-$N$2+1,3),""),"")))))</f>
        <v>0</v>
      </c>
      <c r="D323" s="3">
        <f>IF(ROW()-1&lt;=0,"",IF(ROW()-1&lt;=$L$2,IFERROR(INDEX(MCQ!$A:$K,ROW()-1+1,4),""),IF(ROW()-1&lt;=$L$2+$M$2,IFERROR(INDEX(CLOZE_AB!$A:$K,ROW()-1-$L$2+1,4),""),IF(ROW()-1&lt;=$L$2+$M$2+$N$2,IFERROR(INDEX(CLOZE_LIST!$A:$K,ROW()-1-$L$2-$M$2+1,4),""),IF(ROW()-1&lt;=$L$2+$M$2+$N$2+$O$2,IFERROR(INDEX(PROFORMA!$A:$K,ROW()-1-$L$2-$M$2-$N$2+1,4),""),"")))))</f>
        <v>0</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0</v>
      </c>
      <c r="G323" s="3">
        <f>IF(ROW()-1&lt;=0,"",IF(ROW()-1&lt;=$L$2,IFERROR(INDEX(MCQ!$A:$K,ROW()-1+1,7),""),IF(ROW()-1&lt;=$L$2+$M$2,IFERROR(INDEX(CLOZE_AB!$A:$K,ROW()-1-$L$2+1,7),""),IF(ROW()-1&lt;=$L$2+$M$2+$N$2,IFERROR(INDEX(CLOZE_LIST!$A:$K,ROW()-1-$L$2-$M$2+1,7),""),IF(ROW()-1&lt;=$L$2+$M$2+$N$2+$O$2,IFERROR(INDEX(PROFORMA!$A:$K,ROW()-1-$L$2-$M$2-$N$2+1,7),""),"")))))</f>
        <v>0</v>
      </c>
      <c r="H323" s="3">
        <f>IF(ROW()-1&lt;=0,"",IF(ROW()-1&lt;=$L$2,IFERROR(INDEX(MCQ!$A:$K,ROW()-1+1,8),""),IF(ROW()-1&lt;=$L$2+$M$2,IFERROR(INDEX(CLOZE_AB!$A:$K,ROW()-1-$L$2+1,8),""),IF(ROW()-1&lt;=$L$2+$M$2+$N$2,IFERROR(INDEX(CLOZE_LIST!$A:$K,ROW()-1-$L$2-$M$2+1,8),""),IF(ROW()-1&lt;=$L$2+$M$2+$N$2+$O$2,IFERROR(INDEX(PROFORMA!$A:$K,ROW()-1-$L$2-$M$2-$N$2+1,8),""),"")))))</f>
        <v>0</v>
      </c>
      <c r="I323" s="3">
        <f>IF(ROW()-1&lt;=0,"",IF(ROW()-1&lt;=$L$2,IFERROR(INDEX(MCQ!$A:$K,ROW()-1+1,9),""),IF(ROW()-1&lt;=$L$2+$M$2,IFERROR(INDEX(CLOZE_AB!$A:$K,ROW()-1-$L$2+1,9),""),IF(ROW()-1&lt;=$L$2+$M$2+$N$2,IFERROR(INDEX(CLOZE_LIST!$A:$K,ROW()-1-$L$2-$M$2+1,9),""),IF(ROW()-1&lt;=$L$2+$M$2+$N$2+$O$2,IFERROR(INDEX(PROFORMA!$A:$K,ROW()-1-$L$2-$M$2-$N$2+1,9),""),"")))))</f>
        <v>0</v>
      </c>
      <c r="J323" s="3">
        <f>IF(ROW()-1&lt;=0,"",IF(ROW()-1&lt;=$L$2,IFERROR(INDEX(MCQ!$A:$K,ROW()-1+1,10),""),IF(ROW()-1&lt;=$L$2+$M$2,IFERROR(INDEX(CLOZE_AB!$A:$K,ROW()-1-$L$2+1,10),""),IF(ROW()-1&lt;=$L$2+$M$2+$N$2,IFERROR(INDEX(CLOZE_LIST!$A:$K,ROW()-1-$L$2-$M$2+1,10),""),IF(ROW()-1&lt;=$L$2+$M$2+$N$2+$O$2,IFERROR(INDEX(PROFORMA!$A:$K,ROW()-1-$L$2-$M$2-$N$2+1,10),""),"")))))</f>
        <v>0</v>
      </c>
      <c r="K323" s="3">
        <f>IF(ROW()-1&lt;=0,"",IF(ROW()-1&lt;=$L$2,IFERROR(INDEX(MCQ!$A:$K,ROW()-1+1,11),""),IF(ROW()-1&lt;=$L$2+$M$2,IFERROR(INDEX(CLOZE_AB!$A:$K,ROW()-1-$L$2+1,11),""),IF(ROW()-1&lt;=$L$2+$M$2+$N$2,IFERROR(INDEX(CLOZE_LIST!$A:$K,ROW()-1-$L$2-$M$2+1,11),""),IF(ROW()-1&lt;=$L$2+$M$2+$N$2+$O$2,IFERROR(INDEX(PROFORMA!$A:$K,ROW()-1-$L$2-$M$2-$N$2+1,11),""),"")))))</f>
        <v>0</v>
      </c>
      <c r="L323" s="3">
        <f>COUNTA(MCQ!$A:$A)-1</f>
        <v>143</v>
      </c>
      <c r="M323" s="3">
        <f>COUNTA(CLOZE_AB!$A:$A)-1</f>
        <v>168</v>
      </c>
      <c r="N323" s="3">
        <f>COUNTA(CLOZE_LIST!$A:$A)-1</f>
        <v>199</v>
      </c>
      <c r="O323" s="3">
        <f>COUNTA(PROFORMA!$A:$A)-1</f>
        <v>199</v>
      </c>
    </row>
    <row r="324" spans="1:15" x14ac:dyDescent="0.3">
      <c r="A324" s="3" t="str">
        <f>IF(ROW()-1&lt;=0,"",IF(ROW()-1&lt;=$L$2,IFERROR(INDEX(MCQ!$A:$K,ROW()-1+1,1),""),IF(ROW()-1&lt;=$L$2+$M$2,IFERROR(INDEX(CLOZE_AB!$A:$K,ROW()-1-$L$2+1,1),""),IF(ROW()-1&lt;=$L$2+$M$2+$N$2,IFERROR(INDEX(CLOZE_LIST!$A:$K,ROW()-1-$L$2-$M$2+1,1),""),IF(ROW()-1&lt;=$L$2+$M$2+$N$2+$O$2,IFERROR(INDEX(PROFORMA!$A:$K,ROW()-1-$L$2-$M$2-$N$2+1,1),""),"")))))</f>
        <v/>
      </c>
      <c r="B324" s="3">
        <f>IF(ROW()-1&lt;=0,"",IF(ROW()-1&lt;=$L$2,IFERROR(INDEX(MCQ!$A:$K,ROW()-1+1,2),""),IF(ROW()-1&lt;=$L$2+$M$2,IFERROR(INDEX(CLOZE_AB!$A:$K,ROW()-1-$L$2+1,2),""),IF(ROW()-1&lt;=$L$2+$M$2+$N$2,IFERROR(INDEX(CLOZE_LIST!$A:$K,ROW()-1-$L$2-$M$2+1,2),""),IF(ROW()-1&lt;=$L$2+$M$2+$N$2+$O$2,IFERROR(INDEX(PROFORMA!$A:$K,ROW()-1-$L$2-$M$2-$N$2+1,2),""),"")))))</f>
        <v>0</v>
      </c>
      <c r="C324" s="3">
        <f>IF(ROW()-1&lt;=0,"",IF(ROW()-1&lt;=$L$2,IFERROR(INDEX(MCQ!$A:$K,ROW()-1+1,3),""),IF(ROW()-1&lt;=$L$2+$M$2,IFERROR(INDEX(CLOZE_AB!$A:$K,ROW()-1-$L$2+1,3),""),IF(ROW()-1&lt;=$L$2+$M$2+$N$2,IFERROR(INDEX(CLOZE_LIST!$A:$K,ROW()-1-$L$2-$M$2+1,3),""),IF(ROW()-1&lt;=$L$2+$M$2+$N$2+$O$2,IFERROR(INDEX(PROFORMA!$A:$K,ROW()-1-$L$2-$M$2-$N$2+1,3),""),"")))))</f>
        <v>0</v>
      </c>
      <c r="D324" s="3">
        <f>IF(ROW()-1&lt;=0,"",IF(ROW()-1&lt;=$L$2,IFERROR(INDEX(MCQ!$A:$K,ROW()-1+1,4),""),IF(ROW()-1&lt;=$L$2+$M$2,IFERROR(INDEX(CLOZE_AB!$A:$K,ROW()-1-$L$2+1,4),""),IF(ROW()-1&lt;=$L$2+$M$2+$N$2,IFERROR(INDEX(CLOZE_LIST!$A:$K,ROW()-1-$L$2-$M$2+1,4),""),IF(ROW()-1&lt;=$L$2+$M$2+$N$2+$O$2,IFERROR(INDEX(PROFORMA!$A:$K,ROW()-1-$L$2-$M$2-$N$2+1,4),""),"")))))</f>
        <v>0</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0</v>
      </c>
      <c r="G324" s="3">
        <f>IF(ROW()-1&lt;=0,"",IF(ROW()-1&lt;=$L$2,IFERROR(INDEX(MCQ!$A:$K,ROW()-1+1,7),""),IF(ROW()-1&lt;=$L$2+$M$2,IFERROR(INDEX(CLOZE_AB!$A:$K,ROW()-1-$L$2+1,7),""),IF(ROW()-1&lt;=$L$2+$M$2+$N$2,IFERROR(INDEX(CLOZE_LIST!$A:$K,ROW()-1-$L$2-$M$2+1,7),""),IF(ROW()-1&lt;=$L$2+$M$2+$N$2+$O$2,IFERROR(INDEX(PROFORMA!$A:$K,ROW()-1-$L$2-$M$2-$N$2+1,7),""),"")))))</f>
        <v>0</v>
      </c>
      <c r="H324" s="3">
        <f>IF(ROW()-1&lt;=0,"",IF(ROW()-1&lt;=$L$2,IFERROR(INDEX(MCQ!$A:$K,ROW()-1+1,8),""),IF(ROW()-1&lt;=$L$2+$M$2,IFERROR(INDEX(CLOZE_AB!$A:$K,ROW()-1-$L$2+1,8),""),IF(ROW()-1&lt;=$L$2+$M$2+$N$2,IFERROR(INDEX(CLOZE_LIST!$A:$K,ROW()-1-$L$2-$M$2+1,8),""),IF(ROW()-1&lt;=$L$2+$M$2+$N$2+$O$2,IFERROR(INDEX(PROFORMA!$A:$K,ROW()-1-$L$2-$M$2-$N$2+1,8),""),"")))))</f>
        <v>0</v>
      </c>
      <c r="I324" s="3">
        <f>IF(ROW()-1&lt;=0,"",IF(ROW()-1&lt;=$L$2,IFERROR(INDEX(MCQ!$A:$K,ROW()-1+1,9),""),IF(ROW()-1&lt;=$L$2+$M$2,IFERROR(INDEX(CLOZE_AB!$A:$K,ROW()-1-$L$2+1,9),""),IF(ROW()-1&lt;=$L$2+$M$2+$N$2,IFERROR(INDEX(CLOZE_LIST!$A:$K,ROW()-1-$L$2-$M$2+1,9),""),IF(ROW()-1&lt;=$L$2+$M$2+$N$2+$O$2,IFERROR(INDEX(PROFORMA!$A:$K,ROW()-1-$L$2-$M$2-$N$2+1,9),""),"")))))</f>
        <v>0</v>
      </c>
      <c r="J324" s="3">
        <f>IF(ROW()-1&lt;=0,"",IF(ROW()-1&lt;=$L$2,IFERROR(INDEX(MCQ!$A:$K,ROW()-1+1,10),""),IF(ROW()-1&lt;=$L$2+$M$2,IFERROR(INDEX(CLOZE_AB!$A:$K,ROW()-1-$L$2+1,10),""),IF(ROW()-1&lt;=$L$2+$M$2+$N$2,IFERROR(INDEX(CLOZE_LIST!$A:$K,ROW()-1-$L$2-$M$2+1,10),""),IF(ROW()-1&lt;=$L$2+$M$2+$N$2+$O$2,IFERROR(INDEX(PROFORMA!$A:$K,ROW()-1-$L$2-$M$2-$N$2+1,10),""),"")))))</f>
        <v>0</v>
      </c>
      <c r="K324" s="3">
        <f>IF(ROW()-1&lt;=0,"",IF(ROW()-1&lt;=$L$2,IFERROR(INDEX(MCQ!$A:$K,ROW()-1+1,11),""),IF(ROW()-1&lt;=$L$2+$M$2,IFERROR(INDEX(CLOZE_AB!$A:$K,ROW()-1-$L$2+1,11),""),IF(ROW()-1&lt;=$L$2+$M$2+$N$2,IFERROR(INDEX(CLOZE_LIST!$A:$K,ROW()-1-$L$2-$M$2+1,11),""),IF(ROW()-1&lt;=$L$2+$M$2+$N$2+$O$2,IFERROR(INDEX(PROFORMA!$A:$K,ROW()-1-$L$2-$M$2-$N$2+1,11),""),"")))))</f>
        <v>0</v>
      </c>
      <c r="L324" s="3">
        <f>COUNTA(MCQ!$A:$A)-1</f>
        <v>143</v>
      </c>
      <c r="M324" s="3">
        <f>COUNTA(CLOZE_AB!$A:$A)-1</f>
        <v>168</v>
      </c>
      <c r="N324" s="3">
        <f>COUNTA(CLOZE_LIST!$A:$A)-1</f>
        <v>199</v>
      </c>
      <c r="O324" s="3">
        <f>COUNTA(PROFORMA!$A:$A)-1</f>
        <v>199</v>
      </c>
    </row>
    <row r="325" spans="1:15" x14ac:dyDescent="0.3">
      <c r="A325" s="3" t="str">
        <f>IF(ROW()-1&lt;=0,"",IF(ROW()-1&lt;=$L$2,IFERROR(INDEX(MCQ!$A:$K,ROW()-1+1,1),""),IF(ROW()-1&lt;=$L$2+$M$2,IFERROR(INDEX(CLOZE_AB!$A:$K,ROW()-1-$L$2+1,1),""),IF(ROW()-1&lt;=$L$2+$M$2+$N$2,IFERROR(INDEX(CLOZE_LIST!$A:$K,ROW()-1-$L$2-$M$2+1,1),""),IF(ROW()-1&lt;=$L$2+$M$2+$N$2+$O$2,IFERROR(INDEX(PROFORMA!$A:$K,ROW()-1-$L$2-$M$2-$N$2+1,1),""),"")))))</f>
        <v/>
      </c>
      <c r="B325" s="3">
        <f>IF(ROW()-1&lt;=0,"",IF(ROW()-1&lt;=$L$2,IFERROR(INDEX(MCQ!$A:$K,ROW()-1+1,2),""),IF(ROW()-1&lt;=$L$2+$M$2,IFERROR(INDEX(CLOZE_AB!$A:$K,ROW()-1-$L$2+1,2),""),IF(ROW()-1&lt;=$L$2+$M$2+$N$2,IFERROR(INDEX(CLOZE_LIST!$A:$K,ROW()-1-$L$2-$M$2+1,2),""),IF(ROW()-1&lt;=$L$2+$M$2+$N$2+$O$2,IFERROR(INDEX(PROFORMA!$A:$K,ROW()-1-$L$2-$M$2-$N$2+1,2),""),"")))))</f>
        <v>0</v>
      </c>
      <c r="C325" s="3">
        <f>IF(ROW()-1&lt;=0,"",IF(ROW()-1&lt;=$L$2,IFERROR(INDEX(MCQ!$A:$K,ROW()-1+1,3),""),IF(ROW()-1&lt;=$L$2+$M$2,IFERROR(INDEX(CLOZE_AB!$A:$K,ROW()-1-$L$2+1,3),""),IF(ROW()-1&lt;=$L$2+$M$2+$N$2,IFERROR(INDEX(CLOZE_LIST!$A:$K,ROW()-1-$L$2-$M$2+1,3),""),IF(ROW()-1&lt;=$L$2+$M$2+$N$2+$O$2,IFERROR(INDEX(PROFORMA!$A:$K,ROW()-1-$L$2-$M$2-$N$2+1,3),""),"")))))</f>
        <v>0</v>
      </c>
      <c r="D325" s="3">
        <f>IF(ROW()-1&lt;=0,"",IF(ROW()-1&lt;=$L$2,IFERROR(INDEX(MCQ!$A:$K,ROW()-1+1,4),""),IF(ROW()-1&lt;=$L$2+$M$2,IFERROR(INDEX(CLOZE_AB!$A:$K,ROW()-1-$L$2+1,4),""),IF(ROW()-1&lt;=$L$2+$M$2+$N$2,IFERROR(INDEX(CLOZE_LIST!$A:$K,ROW()-1-$L$2-$M$2+1,4),""),IF(ROW()-1&lt;=$L$2+$M$2+$N$2+$O$2,IFERROR(INDEX(PROFORMA!$A:$K,ROW()-1-$L$2-$M$2-$N$2+1,4),""),"")))))</f>
        <v>0</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0</v>
      </c>
      <c r="G325" s="3">
        <f>IF(ROW()-1&lt;=0,"",IF(ROW()-1&lt;=$L$2,IFERROR(INDEX(MCQ!$A:$K,ROW()-1+1,7),""),IF(ROW()-1&lt;=$L$2+$M$2,IFERROR(INDEX(CLOZE_AB!$A:$K,ROW()-1-$L$2+1,7),""),IF(ROW()-1&lt;=$L$2+$M$2+$N$2,IFERROR(INDEX(CLOZE_LIST!$A:$K,ROW()-1-$L$2-$M$2+1,7),""),IF(ROW()-1&lt;=$L$2+$M$2+$N$2+$O$2,IFERROR(INDEX(PROFORMA!$A:$K,ROW()-1-$L$2-$M$2-$N$2+1,7),""),"")))))</f>
        <v>0</v>
      </c>
      <c r="H325" s="3">
        <f>IF(ROW()-1&lt;=0,"",IF(ROW()-1&lt;=$L$2,IFERROR(INDEX(MCQ!$A:$K,ROW()-1+1,8),""),IF(ROW()-1&lt;=$L$2+$M$2,IFERROR(INDEX(CLOZE_AB!$A:$K,ROW()-1-$L$2+1,8),""),IF(ROW()-1&lt;=$L$2+$M$2+$N$2,IFERROR(INDEX(CLOZE_LIST!$A:$K,ROW()-1-$L$2-$M$2+1,8),""),IF(ROW()-1&lt;=$L$2+$M$2+$N$2+$O$2,IFERROR(INDEX(PROFORMA!$A:$K,ROW()-1-$L$2-$M$2-$N$2+1,8),""),"")))))</f>
        <v>0</v>
      </c>
      <c r="I325" s="3">
        <f>IF(ROW()-1&lt;=0,"",IF(ROW()-1&lt;=$L$2,IFERROR(INDEX(MCQ!$A:$K,ROW()-1+1,9),""),IF(ROW()-1&lt;=$L$2+$M$2,IFERROR(INDEX(CLOZE_AB!$A:$K,ROW()-1-$L$2+1,9),""),IF(ROW()-1&lt;=$L$2+$M$2+$N$2,IFERROR(INDEX(CLOZE_LIST!$A:$K,ROW()-1-$L$2-$M$2+1,9),""),IF(ROW()-1&lt;=$L$2+$M$2+$N$2+$O$2,IFERROR(INDEX(PROFORMA!$A:$K,ROW()-1-$L$2-$M$2-$N$2+1,9),""),"")))))</f>
        <v>0</v>
      </c>
      <c r="J325" s="3">
        <f>IF(ROW()-1&lt;=0,"",IF(ROW()-1&lt;=$L$2,IFERROR(INDEX(MCQ!$A:$K,ROW()-1+1,10),""),IF(ROW()-1&lt;=$L$2+$M$2,IFERROR(INDEX(CLOZE_AB!$A:$K,ROW()-1-$L$2+1,10),""),IF(ROW()-1&lt;=$L$2+$M$2+$N$2,IFERROR(INDEX(CLOZE_LIST!$A:$K,ROW()-1-$L$2-$M$2+1,10),""),IF(ROW()-1&lt;=$L$2+$M$2+$N$2+$O$2,IFERROR(INDEX(PROFORMA!$A:$K,ROW()-1-$L$2-$M$2-$N$2+1,10),""),"")))))</f>
        <v>0</v>
      </c>
      <c r="K325" s="3">
        <f>IF(ROW()-1&lt;=0,"",IF(ROW()-1&lt;=$L$2,IFERROR(INDEX(MCQ!$A:$K,ROW()-1+1,11),""),IF(ROW()-1&lt;=$L$2+$M$2,IFERROR(INDEX(CLOZE_AB!$A:$K,ROW()-1-$L$2+1,11),""),IF(ROW()-1&lt;=$L$2+$M$2+$N$2,IFERROR(INDEX(CLOZE_LIST!$A:$K,ROW()-1-$L$2-$M$2+1,11),""),IF(ROW()-1&lt;=$L$2+$M$2+$N$2+$O$2,IFERROR(INDEX(PROFORMA!$A:$K,ROW()-1-$L$2-$M$2-$N$2+1,11),""),"")))))</f>
        <v>0</v>
      </c>
      <c r="L325" s="3">
        <f>COUNTA(MCQ!$A:$A)-1</f>
        <v>143</v>
      </c>
      <c r="M325" s="3">
        <f>COUNTA(CLOZE_AB!$A:$A)-1</f>
        <v>168</v>
      </c>
      <c r="N325" s="3">
        <f>COUNTA(CLOZE_LIST!$A:$A)-1</f>
        <v>199</v>
      </c>
      <c r="O325" s="3">
        <f>COUNTA(PROFORMA!$A:$A)-1</f>
        <v>199</v>
      </c>
    </row>
    <row r="326" spans="1:15" x14ac:dyDescent="0.3">
      <c r="A326" s="3" t="str">
        <f>IF(ROW()-1&lt;=0,"",IF(ROW()-1&lt;=$L$2,IFERROR(INDEX(MCQ!$A:$K,ROW()-1+1,1),""),IF(ROW()-1&lt;=$L$2+$M$2,IFERROR(INDEX(CLOZE_AB!$A:$K,ROW()-1-$L$2+1,1),""),IF(ROW()-1&lt;=$L$2+$M$2+$N$2,IFERROR(INDEX(CLOZE_LIST!$A:$K,ROW()-1-$L$2-$M$2+1,1),""),IF(ROW()-1&lt;=$L$2+$M$2+$N$2+$O$2,IFERROR(INDEX(PROFORMA!$A:$K,ROW()-1-$L$2-$M$2-$N$2+1,1),""),"")))))</f>
        <v/>
      </c>
      <c r="B326" s="3">
        <f>IF(ROW()-1&lt;=0,"",IF(ROW()-1&lt;=$L$2,IFERROR(INDEX(MCQ!$A:$K,ROW()-1+1,2),""),IF(ROW()-1&lt;=$L$2+$M$2,IFERROR(INDEX(CLOZE_AB!$A:$K,ROW()-1-$L$2+1,2),""),IF(ROW()-1&lt;=$L$2+$M$2+$N$2,IFERROR(INDEX(CLOZE_LIST!$A:$K,ROW()-1-$L$2-$M$2+1,2),""),IF(ROW()-1&lt;=$L$2+$M$2+$N$2+$O$2,IFERROR(INDEX(PROFORMA!$A:$K,ROW()-1-$L$2-$M$2-$N$2+1,2),""),"")))))</f>
        <v>0</v>
      </c>
      <c r="C326" s="3">
        <f>IF(ROW()-1&lt;=0,"",IF(ROW()-1&lt;=$L$2,IFERROR(INDEX(MCQ!$A:$K,ROW()-1+1,3),""),IF(ROW()-1&lt;=$L$2+$M$2,IFERROR(INDEX(CLOZE_AB!$A:$K,ROW()-1-$L$2+1,3),""),IF(ROW()-1&lt;=$L$2+$M$2+$N$2,IFERROR(INDEX(CLOZE_LIST!$A:$K,ROW()-1-$L$2-$M$2+1,3),""),IF(ROW()-1&lt;=$L$2+$M$2+$N$2+$O$2,IFERROR(INDEX(PROFORMA!$A:$K,ROW()-1-$L$2-$M$2-$N$2+1,3),""),"")))))</f>
        <v>0</v>
      </c>
      <c r="D326" s="3">
        <f>IF(ROW()-1&lt;=0,"",IF(ROW()-1&lt;=$L$2,IFERROR(INDEX(MCQ!$A:$K,ROW()-1+1,4),""),IF(ROW()-1&lt;=$L$2+$M$2,IFERROR(INDEX(CLOZE_AB!$A:$K,ROW()-1-$L$2+1,4),""),IF(ROW()-1&lt;=$L$2+$M$2+$N$2,IFERROR(INDEX(CLOZE_LIST!$A:$K,ROW()-1-$L$2-$M$2+1,4),""),IF(ROW()-1&lt;=$L$2+$M$2+$N$2+$O$2,IFERROR(INDEX(PROFORMA!$A:$K,ROW()-1-$L$2-$M$2-$N$2+1,4),""),"")))))</f>
        <v>0</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0</v>
      </c>
      <c r="G326" s="3">
        <f>IF(ROW()-1&lt;=0,"",IF(ROW()-1&lt;=$L$2,IFERROR(INDEX(MCQ!$A:$K,ROW()-1+1,7),""),IF(ROW()-1&lt;=$L$2+$M$2,IFERROR(INDEX(CLOZE_AB!$A:$K,ROW()-1-$L$2+1,7),""),IF(ROW()-1&lt;=$L$2+$M$2+$N$2,IFERROR(INDEX(CLOZE_LIST!$A:$K,ROW()-1-$L$2-$M$2+1,7),""),IF(ROW()-1&lt;=$L$2+$M$2+$N$2+$O$2,IFERROR(INDEX(PROFORMA!$A:$K,ROW()-1-$L$2-$M$2-$N$2+1,7),""),"")))))</f>
        <v>0</v>
      </c>
      <c r="H326" s="3">
        <f>IF(ROW()-1&lt;=0,"",IF(ROW()-1&lt;=$L$2,IFERROR(INDEX(MCQ!$A:$K,ROW()-1+1,8),""),IF(ROW()-1&lt;=$L$2+$M$2,IFERROR(INDEX(CLOZE_AB!$A:$K,ROW()-1-$L$2+1,8),""),IF(ROW()-1&lt;=$L$2+$M$2+$N$2,IFERROR(INDEX(CLOZE_LIST!$A:$K,ROW()-1-$L$2-$M$2+1,8),""),IF(ROW()-1&lt;=$L$2+$M$2+$N$2+$O$2,IFERROR(INDEX(PROFORMA!$A:$K,ROW()-1-$L$2-$M$2-$N$2+1,8),""),"")))))</f>
        <v>0</v>
      </c>
      <c r="I326" s="3">
        <f>IF(ROW()-1&lt;=0,"",IF(ROW()-1&lt;=$L$2,IFERROR(INDEX(MCQ!$A:$K,ROW()-1+1,9),""),IF(ROW()-1&lt;=$L$2+$M$2,IFERROR(INDEX(CLOZE_AB!$A:$K,ROW()-1-$L$2+1,9),""),IF(ROW()-1&lt;=$L$2+$M$2+$N$2,IFERROR(INDEX(CLOZE_LIST!$A:$K,ROW()-1-$L$2-$M$2+1,9),""),IF(ROW()-1&lt;=$L$2+$M$2+$N$2+$O$2,IFERROR(INDEX(PROFORMA!$A:$K,ROW()-1-$L$2-$M$2-$N$2+1,9),""),"")))))</f>
        <v>0</v>
      </c>
      <c r="J326" s="3">
        <f>IF(ROW()-1&lt;=0,"",IF(ROW()-1&lt;=$L$2,IFERROR(INDEX(MCQ!$A:$K,ROW()-1+1,10),""),IF(ROW()-1&lt;=$L$2+$M$2,IFERROR(INDEX(CLOZE_AB!$A:$K,ROW()-1-$L$2+1,10),""),IF(ROW()-1&lt;=$L$2+$M$2+$N$2,IFERROR(INDEX(CLOZE_LIST!$A:$K,ROW()-1-$L$2-$M$2+1,10),""),IF(ROW()-1&lt;=$L$2+$M$2+$N$2+$O$2,IFERROR(INDEX(PROFORMA!$A:$K,ROW()-1-$L$2-$M$2-$N$2+1,10),""),"")))))</f>
        <v>0</v>
      </c>
      <c r="K326" s="3">
        <f>IF(ROW()-1&lt;=0,"",IF(ROW()-1&lt;=$L$2,IFERROR(INDEX(MCQ!$A:$K,ROW()-1+1,11),""),IF(ROW()-1&lt;=$L$2+$M$2,IFERROR(INDEX(CLOZE_AB!$A:$K,ROW()-1-$L$2+1,11),""),IF(ROW()-1&lt;=$L$2+$M$2+$N$2,IFERROR(INDEX(CLOZE_LIST!$A:$K,ROW()-1-$L$2-$M$2+1,11),""),IF(ROW()-1&lt;=$L$2+$M$2+$N$2+$O$2,IFERROR(INDEX(PROFORMA!$A:$K,ROW()-1-$L$2-$M$2-$N$2+1,11),""),"")))))</f>
        <v>0</v>
      </c>
      <c r="L326" s="3">
        <f>COUNTA(MCQ!$A:$A)-1</f>
        <v>143</v>
      </c>
      <c r="M326" s="3">
        <f>COUNTA(CLOZE_AB!$A:$A)-1</f>
        <v>168</v>
      </c>
      <c r="N326" s="3">
        <f>COUNTA(CLOZE_LIST!$A:$A)-1</f>
        <v>199</v>
      </c>
      <c r="O326" s="3">
        <f>COUNTA(PROFORMA!$A:$A)-1</f>
        <v>199</v>
      </c>
    </row>
    <row r="327" spans="1:15" x14ac:dyDescent="0.3">
      <c r="A327" s="3" t="str">
        <f>IF(ROW()-1&lt;=0,"",IF(ROW()-1&lt;=$L$2,IFERROR(INDEX(MCQ!$A:$K,ROW()-1+1,1),""),IF(ROW()-1&lt;=$L$2+$M$2,IFERROR(INDEX(CLOZE_AB!$A:$K,ROW()-1-$L$2+1,1),""),IF(ROW()-1&lt;=$L$2+$M$2+$N$2,IFERROR(INDEX(CLOZE_LIST!$A:$K,ROW()-1-$L$2-$M$2+1,1),""),IF(ROW()-1&lt;=$L$2+$M$2+$N$2+$O$2,IFERROR(INDEX(PROFORMA!$A:$K,ROW()-1-$L$2-$M$2-$N$2+1,1),""),"")))))</f>
        <v/>
      </c>
      <c r="B327" s="3">
        <f>IF(ROW()-1&lt;=0,"",IF(ROW()-1&lt;=$L$2,IFERROR(INDEX(MCQ!$A:$K,ROW()-1+1,2),""),IF(ROW()-1&lt;=$L$2+$M$2,IFERROR(INDEX(CLOZE_AB!$A:$K,ROW()-1-$L$2+1,2),""),IF(ROW()-1&lt;=$L$2+$M$2+$N$2,IFERROR(INDEX(CLOZE_LIST!$A:$K,ROW()-1-$L$2-$M$2+1,2),""),IF(ROW()-1&lt;=$L$2+$M$2+$N$2+$O$2,IFERROR(INDEX(PROFORMA!$A:$K,ROW()-1-$L$2-$M$2-$N$2+1,2),""),"")))))</f>
        <v>0</v>
      </c>
      <c r="C327" s="3">
        <f>IF(ROW()-1&lt;=0,"",IF(ROW()-1&lt;=$L$2,IFERROR(INDEX(MCQ!$A:$K,ROW()-1+1,3),""),IF(ROW()-1&lt;=$L$2+$M$2,IFERROR(INDEX(CLOZE_AB!$A:$K,ROW()-1-$L$2+1,3),""),IF(ROW()-1&lt;=$L$2+$M$2+$N$2,IFERROR(INDEX(CLOZE_LIST!$A:$K,ROW()-1-$L$2-$M$2+1,3),""),IF(ROW()-1&lt;=$L$2+$M$2+$N$2+$O$2,IFERROR(INDEX(PROFORMA!$A:$K,ROW()-1-$L$2-$M$2-$N$2+1,3),""),"")))))</f>
        <v>0</v>
      </c>
      <c r="D327" s="3">
        <f>IF(ROW()-1&lt;=0,"",IF(ROW()-1&lt;=$L$2,IFERROR(INDEX(MCQ!$A:$K,ROW()-1+1,4),""),IF(ROW()-1&lt;=$L$2+$M$2,IFERROR(INDEX(CLOZE_AB!$A:$K,ROW()-1-$L$2+1,4),""),IF(ROW()-1&lt;=$L$2+$M$2+$N$2,IFERROR(INDEX(CLOZE_LIST!$A:$K,ROW()-1-$L$2-$M$2+1,4),""),IF(ROW()-1&lt;=$L$2+$M$2+$N$2+$O$2,IFERROR(INDEX(PROFORMA!$A:$K,ROW()-1-$L$2-$M$2-$N$2+1,4),""),"")))))</f>
        <v>0</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0</v>
      </c>
      <c r="G327" s="3">
        <f>IF(ROW()-1&lt;=0,"",IF(ROW()-1&lt;=$L$2,IFERROR(INDEX(MCQ!$A:$K,ROW()-1+1,7),""),IF(ROW()-1&lt;=$L$2+$M$2,IFERROR(INDEX(CLOZE_AB!$A:$K,ROW()-1-$L$2+1,7),""),IF(ROW()-1&lt;=$L$2+$M$2+$N$2,IFERROR(INDEX(CLOZE_LIST!$A:$K,ROW()-1-$L$2-$M$2+1,7),""),IF(ROW()-1&lt;=$L$2+$M$2+$N$2+$O$2,IFERROR(INDEX(PROFORMA!$A:$K,ROW()-1-$L$2-$M$2-$N$2+1,7),""),"")))))</f>
        <v>0</v>
      </c>
      <c r="H327" s="3">
        <f>IF(ROW()-1&lt;=0,"",IF(ROW()-1&lt;=$L$2,IFERROR(INDEX(MCQ!$A:$K,ROW()-1+1,8),""),IF(ROW()-1&lt;=$L$2+$M$2,IFERROR(INDEX(CLOZE_AB!$A:$K,ROW()-1-$L$2+1,8),""),IF(ROW()-1&lt;=$L$2+$M$2+$N$2,IFERROR(INDEX(CLOZE_LIST!$A:$K,ROW()-1-$L$2-$M$2+1,8),""),IF(ROW()-1&lt;=$L$2+$M$2+$N$2+$O$2,IFERROR(INDEX(PROFORMA!$A:$K,ROW()-1-$L$2-$M$2-$N$2+1,8),""),"")))))</f>
        <v>0</v>
      </c>
      <c r="I327" s="3">
        <f>IF(ROW()-1&lt;=0,"",IF(ROW()-1&lt;=$L$2,IFERROR(INDEX(MCQ!$A:$K,ROW()-1+1,9),""),IF(ROW()-1&lt;=$L$2+$M$2,IFERROR(INDEX(CLOZE_AB!$A:$K,ROW()-1-$L$2+1,9),""),IF(ROW()-1&lt;=$L$2+$M$2+$N$2,IFERROR(INDEX(CLOZE_LIST!$A:$K,ROW()-1-$L$2-$M$2+1,9),""),IF(ROW()-1&lt;=$L$2+$M$2+$N$2+$O$2,IFERROR(INDEX(PROFORMA!$A:$K,ROW()-1-$L$2-$M$2-$N$2+1,9),""),"")))))</f>
        <v>0</v>
      </c>
      <c r="J327" s="3">
        <f>IF(ROW()-1&lt;=0,"",IF(ROW()-1&lt;=$L$2,IFERROR(INDEX(MCQ!$A:$K,ROW()-1+1,10),""),IF(ROW()-1&lt;=$L$2+$M$2,IFERROR(INDEX(CLOZE_AB!$A:$K,ROW()-1-$L$2+1,10),""),IF(ROW()-1&lt;=$L$2+$M$2+$N$2,IFERROR(INDEX(CLOZE_LIST!$A:$K,ROW()-1-$L$2-$M$2+1,10),""),IF(ROW()-1&lt;=$L$2+$M$2+$N$2+$O$2,IFERROR(INDEX(PROFORMA!$A:$K,ROW()-1-$L$2-$M$2-$N$2+1,10),""),"")))))</f>
        <v>0</v>
      </c>
      <c r="K327" s="3">
        <f>IF(ROW()-1&lt;=0,"",IF(ROW()-1&lt;=$L$2,IFERROR(INDEX(MCQ!$A:$K,ROW()-1+1,11),""),IF(ROW()-1&lt;=$L$2+$M$2,IFERROR(INDEX(CLOZE_AB!$A:$K,ROW()-1-$L$2+1,11),""),IF(ROW()-1&lt;=$L$2+$M$2+$N$2,IFERROR(INDEX(CLOZE_LIST!$A:$K,ROW()-1-$L$2-$M$2+1,11),""),IF(ROW()-1&lt;=$L$2+$M$2+$N$2+$O$2,IFERROR(INDEX(PROFORMA!$A:$K,ROW()-1-$L$2-$M$2-$N$2+1,11),""),"")))))</f>
        <v>0</v>
      </c>
      <c r="L327" s="3">
        <f>COUNTA(MCQ!$A:$A)-1</f>
        <v>143</v>
      </c>
      <c r="M327" s="3">
        <f>COUNTA(CLOZE_AB!$A:$A)-1</f>
        <v>168</v>
      </c>
      <c r="N327" s="3">
        <f>COUNTA(CLOZE_LIST!$A:$A)-1</f>
        <v>199</v>
      </c>
      <c r="O327" s="3">
        <f>COUNTA(PROFORMA!$A:$A)-1</f>
        <v>199</v>
      </c>
    </row>
    <row r="328" spans="1:15" x14ac:dyDescent="0.3">
      <c r="A328" s="3" t="str">
        <f>IF(ROW()-1&lt;=0,"",IF(ROW()-1&lt;=$L$2,IFERROR(INDEX(MCQ!$A:$K,ROW()-1+1,1),""),IF(ROW()-1&lt;=$L$2+$M$2,IFERROR(INDEX(CLOZE_AB!$A:$K,ROW()-1-$L$2+1,1),""),IF(ROW()-1&lt;=$L$2+$M$2+$N$2,IFERROR(INDEX(CLOZE_LIST!$A:$K,ROW()-1-$L$2-$M$2+1,1),""),IF(ROW()-1&lt;=$L$2+$M$2+$N$2+$O$2,IFERROR(INDEX(PROFORMA!$A:$K,ROW()-1-$L$2-$M$2-$N$2+1,1),""),"")))))</f>
        <v/>
      </c>
      <c r="B328" s="3">
        <f>IF(ROW()-1&lt;=0,"",IF(ROW()-1&lt;=$L$2,IFERROR(INDEX(MCQ!$A:$K,ROW()-1+1,2),""),IF(ROW()-1&lt;=$L$2+$M$2,IFERROR(INDEX(CLOZE_AB!$A:$K,ROW()-1-$L$2+1,2),""),IF(ROW()-1&lt;=$L$2+$M$2+$N$2,IFERROR(INDEX(CLOZE_LIST!$A:$K,ROW()-1-$L$2-$M$2+1,2),""),IF(ROW()-1&lt;=$L$2+$M$2+$N$2+$O$2,IFERROR(INDEX(PROFORMA!$A:$K,ROW()-1-$L$2-$M$2-$N$2+1,2),""),"")))))</f>
        <v>0</v>
      </c>
      <c r="C328" s="3">
        <f>IF(ROW()-1&lt;=0,"",IF(ROW()-1&lt;=$L$2,IFERROR(INDEX(MCQ!$A:$K,ROW()-1+1,3),""),IF(ROW()-1&lt;=$L$2+$M$2,IFERROR(INDEX(CLOZE_AB!$A:$K,ROW()-1-$L$2+1,3),""),IF(ROW()-1&lt;=$L$2+$M$2+$N$2,IFERROR(INDEX(CLOZE_LIST!$A:$K,ROW()-1-$L$2-$M$2+1,3),""),IF(ROW()-1&lt;=$L$2+$M$2+$N$2+$O$2,IFERROR(INDEX(PROFORMA!$A:$K,ROW()-1-$L$2-$M$2-$N$2+1,3),""),"")))))</f>
        <v>0</v>
      </c>
      <c r="D328" s="3">
        <f>IF(ROW()-1&lt;=0,"",IF(ROW()-1&lt;=$L$2,IFERROR(INDEX(MCQ!$A:$K,ROW()-1+1,4),""),IF(ROW()-1&lt;=$L$2+$M$2,IFERROR(INDEX(CLOZE_AB!$A:$K,ROW()-1-$L$2+1,4),""),IF(ROW()-1&lt;=$L$2+$M$2+$N$2,IFERROR(INDEX(CLOZE_LIST!$A:$K,ROW()-1-$L$2-$M$2+1,4),""),IF(ROW()-1&lt;=$L$2+$M$2+$N$2+$O$2,IFERROR(INDEX(PROFORMA!$A:$K,ROW()-1-$L$2-$M$2-$N$2+1,4),""),"")))))</f>
        <v>0</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0</v>
      </c>
      <c r="G328" s="3">
        <f>IF(ROW()-1&lt;=0,"",IF(ROW()-1&lt;=$L$2,IFERROR(INDEX(MCQ!$A:$K,ROW()-1+1,7),""),IF(ROW()-1&lt;=$L$2+$M$2,IFERROR(INDEX(CLOZE_AB!$A:$K,ROW()-1-$L$2+1,7),""),IF(ROW()-1&lt;=$L$2+$M$2+$N$2,IFERROR(INDEX(CLOZE_LIST!$A:$K,ROW()-1-$L$2-$M$2+1,7),""),IF(ROW()-1&lt;=$L$2+$M$2+$N$2+$O$2,IFERROR(INDEX(PROFORMA!$A:$K,ROW()-1-$L$2-$M$2-$N$2+1,7),""),"")))))</f>
        <v>0</v>
      </c>
      <c r="H328" s="3">
        <f>IF(ROW()-1&lt;=0,"",IF(ROW()-1&lt;=$L$2,IFERROR(INDEX(MCQ!$A:$K,ROW()-1+1,8),""),IF(ROW()-1&lt;=$L$2+$M$2,IFERROR(INDEX(CLOZE_AB!$A:$K,ROW()-1-$L$2+1,8),""),IF(ROW()-1&lt;=$L$2+$M$2+$N$2,IFERROR(INDEX(CLOZE_LIST!$A:$K,ROW()-1-$L$2-$M$2+1,8),""),IF(ROW()-1&lt;=$L$2+$M$2+$N$2+$O$2,IFERROR(INDEX(PROFORMA!$A:$K,ROW()-1-$L$2-$M$2-$N$2+1,8),""),"")))))</f>
        <v>0</v>
      </c>
      <c r="I328" s="3">
        <f>IF(ROW()-1&lt;=0,"",IF(ROW()-1&lt;=$L$2,IFERROR(INDEX(MCQ!$A:$K,ROW()-1+1,9),""),IF(ROW()-1&lt;=$L$2+$M$2,IFERROR(INDEX(CLOZE_AB!$A:$K,ROW()-1-$L$2+1,9),""),IF(ROW()-1&lt;=$L$2+$M$2+$N$2,IFERROR(INDEX(CLOZE_LIST!$A:$K,ROW()-1-$L$2-$M$2+1,9),""),IF(ROW()-1&lt;=$L$2+$M$2+$N$2+$O$2,IFERROR(INDEX(PROFORMA!$A:$K,ROW()-1-$L$2-$M$2-$N$2+1,9),""),"")))))</f>
        <v>0</v>
      </c>
      <c r="J328" s="3">
        <f>IF(ROW()-1&lt;=0,"",IF(ROW()-1&lt;=$L$2,IFERROR(INDEX(MCQ!$A:$K,ROW()-1+1,10),""),IF(ROW()-1&lt;=$L$2+$M$2,IFERROR(INDEX(CLOZE_AB!$A:$K,ROW()-1-$L$2+1,10),""),IF(ROW()-1&lt;=$L$2+$M$2+$N$2,IFERROR(INDEX(CLOZE_LIST!$A:$K,ROW()-1-$L$2-$M$2+1,10),""),IF(ROW()-1&lt;=$L$2+$M$2+$N$2+$O$2,IFERROR(INDEX(PROFORMA!$A:$K,ROW()-1-$L$2-$M$2-$N$2+1,10),""),"")))))</f>
        <v>0</v>
      </c>
      <c r="K328" s="3">
        <f>IF(ROW()-1&lt;=0,"",IF(ROW()-1&lt;=$L$2,IFERROR(INDEX(MCQ!$A:$K,ROW()-1+1,11),""),IF(ROW()-1&lt;=$L$2+$M$2,IFERROR(INDEX(CLOZE_AB!$A:$K,ROW()-1-$L$2+1,11),""),IF(ROW()-1&lt;=$L$2+$M$2+$N$2,IFERROR(INDEX(CLOZE_LIST!$A:$K,ROW()-1-$L$2-$M$2+1,11),""),IF(ROW()-1&lt;=$L$2+$M$2+$N$2+$O$2,IFERROR(INDEX(PROFORMA!$A:$K,ROW()-1-$L$2-$M$2-$N$2+1,11),""),"")))))</f>
        <v>0</v>
      </c>
      <c r="L328" s="3">
        <f>COUNTA(MCQ!$A:$A)-1</f>
        <v>143</v>
      </c>
      <c r="M328" s="3">
        <f>COUNTA(CLOZE_AB!$A:$A)-1</f>
        <v>168</v>
      </c>
      <c r="N328" s="3">
        <f>COUNTA(CLOZE_LIST!$A:$A)-1</f>
        <v>199</v>
      </c>
      <c r="O328" s="3">
        <f>COUNTA(PROFORMA!$A:$A)-1</f>
        <v>199</v>
      </c>
    </row>
    <row r="329" spans="1:15" x14ac:dyDescent="0.3">
      <c r="A329" s="3" t="str">
        <f>IF(ROW()-1&lt;=0,"",IF(ROW()-1&lt;=$L$2,IFERROR(INDEX(MCQ!$A:$K,ROW()-1+1,1),""),IF(ROW()-1&lt;=$L$2+$M$2,IFERROR(INDEX(CLOZE_AB!$A:$K,ROW()-1-$L$2+1,1),""),IF(ROW()-1&lt;=$L$2+$M$2+$N$2,IFERROR(INDEX(CLOZE_LIST!$A:$K,ROW()-1-$L$2-$M$2+1,1),""),IF(ROW()-1&lt;=$L$2+$M$2+$N$2+$O$2,IFERROR(INDEX(PROFORMA!$A:$K,ROW()-1-$L$2-$M$2-$N$2+1,1),""),"")))))</f>
        <v/>
      </c>
      <c r="B329" s="3">
        <f>IF(ROW()-1&lt;=0,"",IF(ROW()-1&lt;=$L$2,IFERROR(INDEX(MCQ!$A:$K,ROW()-1+1,2),""),IF(ROW()-1&lt;=$L$2+$M$2,IFERROR(INDEX(CLOZE_AB!$A:$K,ROW()-1-$L$2+1,2),""),IF(ROW()-1&lt;=$L$2+$M$2+$N$2,IFERROR(INDEX(CLOZE_LIST!$A:$K,ROW()-1-$L$2-$M$2+1,2),""),IF(ROW()-1&lt;=$L$2+$M$2+$N$2+$O$2,IFERROR(INDEX(PROFORMA!$A:$K,ROW()-1-$L$2-$M$2-$N$2+1,2),""),"")))))</f>
        <v>0</v>
      </c>
      <c r="C329" s="3">
        <f>IF(ROW()-1&lt;=0,"",IF(ROW()-1&lt;=$L$2,IFERROR(INDEX(MCQ!$A:$K,ROW()-1+1,3),""),IF(ROW()-1&lt;=$L$2+$M$2,IFERROR(INDEX(CLOZE_AB!$A:$K,ROW()-1-$L$2+1,3),""),IF(ROW()-1&lt;=$L$2+$M$2+$N$2,IFERROR(INDEX(CLOZE_LIST!$A:$K,ROW()-1-$L$2-$M$2+1,3),""),IF(ROW()-1&lt;=$L$2+$M$2+$N$2+$O$2,IFERROR(INDEX(PROFORMA!$A:$K,ROW()-1-$L$2-$M$2-$N$2+1,3),""),"")))))</f>
        <v>0</v>
      </c>
      <c r="D329" s="3">
        <f>IF(ROW()-1&lt;=0,"",IF(ROW()-1&lt;=$L$2,IFERROR(INDEX(MCQ!$A:$K,ROW()-1+1,4),""),IF(ROW()-1&lt;=$L$2+$M$2,IFERROR(INDEX(CLOZE_AB!$A:$K,ROW()-1-$L$2+1,4),""),IF(ROW()-1&lt;=$L$2+$M$2+$N$2,IFERROR(INDEX(CLOZE_LIST!$A:$K,ROW()-1-$L$2-$M$2+1,4),""),IF(ROW()-1&lt;=$L$2+$M$2+$N$2+$O$2,IFERROR(INDEX(PROFORMA!$A:$K,ROW()-1-$L$2-$M$2-$N$2+1,4),""),"")))))</f>
        <v>0</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0</v>
      </c>
      <c r="G329" s="3">
        <f>IF(ROW()-1&lt;=0,"",IF(ROW()-1&lt;=$L$2,IFERROR(INDEX(MCQ!$A:$K,ROW()-1+1,7),""),IF(ROW()-1&lt;=$L$2+$M$2,IFERROR(INDEX(CLOZE_AB!$A:$K,ROW()-1-$L$2+1,7),""),IF(ROW()-1&lt;=$L$2+$M$2+$N$2,IFERROR(INDEX(CLOZE_LIST!$A:$K,ROW()-1-$L$2-$M$2+1,7),""),IF(ROW()-1&lt;=$L$2+$M$2+$N$2+$O$2,IFERROR(INDEX(PROFORMA!$A:$K,ROW()-1-$L$2-$M$2-$N$2+1,7),""),"")))))</f>
        <v>0</v>
      </c>
      <c r="H329" s="3">
        <f>IF(ROW()-1&lt;=0,"",IF(ROW()-1&lt;=$L$2,IFERROR(INDEX(MCQ!$A:$K,ROW()-1+1,8),""),IF(ROW()-1&lt;=$L$2+$M$2,IFERROR(INDEX(CLOZE_AB!$A:$K,ROW()-1-$L$2+1,8),""),IF(ROW()-1&lt;=$L$2+$M$2+$N$2,IFERROR(INDEX(CLOZE_LIST!$A:$K,ROW()-1-$L$2-$M$2+1,8),""),IF(ROW()-1&lt;=$L$2+$M$2+$N$2+$O$2,IFERROR(INDEX(PROFORMA!$A:$K,ROW()-1-$L$2-$M$2-$N$2+1,8),""),"")))))</f>
        <v>0</v>
      </c>
      <c r="I329" s="3">
        <f>IF(ROW()-1&lt;=0,"",IF(ROW()-1&lt;=$L$2,IFERROR(INDEX(MCQ!$A:$K,ROW()-1+1,9),""),IF(ROW()-1&lt;=$L$2+$M$2,IFERROR(INDEX(CLOZE_AB!$A:$K,ROW()-1-$L$2+1,9),""),IF(ROW()-1&lt;=$L$2+$M$2+$N$2,IFERROR(INDEX(CLOZE_LIST!$A:$K,ROW()-1-$L$2-$M$2+1,9),""),IF(ROW()-1&lt;=$L$2+$M$2+$N$2+$O$2,IFERROR(INDEX(PROFORMA!$A:$K,ROW()-1-$L$2-$M$2-$N$2+1,9),""),"")))))</f>
        <v>0</v>
      </c>
      <c r="J329" s="3">
        <f>IF(ROW()-1&lt;=0,"",IF(ROW()-1&lt;=$L$2,IFERROR(INDEX(MCQ!$A:$K,ROW()-1+1,10),""),IF(ROW()-1&lt;=$L$2+$M$2,IFERROR(INDEX(CLOZE_AB!$A:$K,ROW()-1-$L$2+1,10),""),IF(ROW()-1&lt;=$L$2+$M$2+$N$2,IFERROR(INDEX(CLOZE_LIST!$A:$K,ROW()-1-$L$2-$M$2+1,10),""),IF(ROW()-1&lt;=$L$2+$M$2+$N$2+$O$2,IFERROR(INDEX(PROFORMA!$A:$K,ROW()-1-$L$2-$M$2-$N$2+1,10),""),"")))))</f>
        <v>0</v>
      </c>
      <c r="K329" s="3">
        <f>IF(ROW()-1&lt;=0,"",IF(ROW()-1&lt;=$L$2,IFERROR(INDEX(MCQ!$A:$K,ROW()-1+1,11),""),IF(ROW()-1&lt;=$L$2+$M$2,IFERROR(INDEX(CLOZE_AB!$A:$K,ROW()-1-$L$2+1,11),""),IF(ROW()-1&lt;=$L$2+$M$2+$N$2,IFERROR(INDEX(CLOZE_LIST!$A:$K,ROW()-1-$L$2-$M$2+1,11),""),IF(ROW()-1&lt;=$L$2+$M$2+$N$2+$O$2,IFERROR(INDEX(PROFORMA!$A:$K,ROW()-1-$L$2-$M$2-$N$2+1,11),""),"")))))</f>
        <v>0</v>
      </c>
      <c r="L329" s="3">
        <f>COUNTA(MCQ!$A:$A)-1</f>
        <v>143</v>
      </c>
      <c r="M329" s="3">
        <f>COUNTA(CLOZE_AB!$A:$A)-1</f>
        <v>168</v>
      </c>
      <c r="N329" s="3">
        <f>COUNTA(CLOZE_LIST!$A:$A)-1</f>
        <v>199</v>
      </c>
      <c r="O329" s="3">
        <f>COUNTA(PROFORMA!$A:$A)-1</f>
        <v>199</v>
      </c>
    </row>
    <row r="330" spans="1:15" x14ac:dyDescent="0.3">
      <c r="A330" s="3" t="str">
        <f>IF(ROW()-1&lt;=0,"",IF(ROW()-1&lt;=$L$2,IFERROR(INDEX(MCQ!$A:$K,ROW()-1+1,1),""),IF(ROW()-1&lt;=$L$2+$M$2,IFERROR(INDEX(CLOZE_AB!$A:$K,ROW()-1-$L$2+1,1),""),IF(ROW()-1&lt;=$L$2+$M$2+$N$2,IFERROR(INDEX(CLOZE_LIST!$A:$K,ROW()-1-$L$2-$M$2+1,1),""),IF(ROW()-1&lt;=$L$2+$M$2+$N$2+$O$2,IFERROR(INDEX(PROFORMA!$A:$K,ROW()-1-$L$2-$M$2-$N$2+1,1),""),"")))))</f>
        <v/>
      </c>
      <c r="B330" s="3">
        <f>IF(ROW()-1&lt;=0,"",IF(ROW()-1&lt;=$L$2,IFERROR(INDEX(MCQ!$A:$K,ROW()-1+1,2),""),IF(ROW()-1&lt;=$L$2+$M$2,IFERROR(INDEX(CLOZE_AB!$A:$K,ROW()-1-$L$2+1,2),""),IF(ROW()-1&lt;=$L$2+$M$2+$N$2,IFERROR(INDEX(CLOZE_LIST!$A:$K,ROW()-1-$L$2-$M$2+1,2),""),IF(ROW()-1&lt;=$L$2+$M$2+$N$2+$O$2,IFERROR(INDEX(PROFORMA!$A:$K,ROW()-1-$L$2-$M$2-$N$2+1,2),""),"")))))</f>
        <v>0</v>
      </c>
      <c r="C330" s="3">
        <f>IF(ROW()-1&lt;=0,"",IF(ROW()-1&lt;=$L$2,IFERROR(INDEX(MCQ!$A:$K,ROW()-1+1,3),""),IF(ROW()-1&lt;=$L$2+$M$2,IFERROR(INDEX(CLOZE_AB!$A:$K,ROW()-1-$L$2+1,3),""),IF(ROW()-1&lt;=$L$2+$M$2+$N$2,IFERROR(INDEX(CLOZE_LIST!$A:$K,ROW()-1-$L$2-$M$2+1,3),""),IF(ROW()-1&lt;=$L$2+$M$2+$N$2+$O$2,IFERROR(INDEX(PROFORMA!$A:$K,ROW()-1-$L$2-$M$2-$N$2+1,3),""),"")))))</f>
        <v>0</v>
      </c>
      <c r="D330" s="3">
        <f>IF(ROW()-1&lt;=0,"",IF(ROW()-1&lt;=$L$2,IFERROR(INDEX(MCQ!$A:$K,ROW()-1+1,4),""),IF(ROW()-1&lt;=$L$2+$M$2,IFERROR(INDEX(CLOZE_AB!$A:$K,ROW()-1-$L$2+1,4),""),IF(ROW()-1&lt;=$L$2+$M$2+$N$2,IFERROR(INDEX(CLOZE_LIST!$A:$K,ROW()-1-$L$2-$M$2+1,4),""),IF(ROW()-1&lt;=$L$2+$M$2+$N$2+$O$2,IFERROR(INDEX(PROFORMA!$A:$K,ROW()-1-$L$2-$M$2-$N$2+1,4),""),"")))))</f>
        <v>0</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0</v>
      </c>
      <c r="G330" s="3">
        <f>IF(ROW()-1&lt;=0,"",IF(ROW()-1&lt;=$L$2,IFERROR(INDEX(MCQ!$A:$K,ROW()-1+1,7),""),IF(ROW()-1&lt;=$L$2+$M$2,IFERROR(INDEX(CLOZE_AB!$A:$K,ROW()-1-$L$2+1,7),""),IF(ROW()-1&lt;=$L$2+$M$2+$N$2,IFERROR(INDEX(CLOZE_LIST!$A:$K,ROW()-1-$L$2-$M$2+1,7),""),IF(ROW()-1&lt;=$L$2+$M$2+$N$2+$O$2,IFERROR(INDEX(PROFORMA!$A:$K,ROW()-1-$L$2-$M$2-$N$2+1,7),""),"")))))</f>
        <v>0</v>
      </c>
      <c r="H330" s="3">
        <f>IF(ROW()-1&lt;=0,"",IF(ROW()-1&lt;=$L$2,IFERROR(INDEX(MCQ!$A:$K,ROW()-1+1,8),""),IF(ROW()-1&lt;=$L$2+$M$2,IFERROR(INDEX(CLOZE_AB!$A:$K,ROW()-1-$L$2+1,8),""),IF(ROW()-1&lt;=$L$2+$M$2+$N$2,IFERROR(INDEX(CLOZE_LIST!$A:$K,ROW()-1-$L$2-$M$2+1,8),""),IF(ROW()-1&lt;=$L$2+$M$2+$N$2+$O$2,IFERROR(INDEX(PROFORMA!$A:$K,ROW()-1-$L$2-$M$2-$N$2+1,8),""),"")))))</f>
        <v>0</v>
      </c>
      <c r="I330" s="3">
        <f>IF(ROW()-1&lt;=0,"",IF(ROW()-1&lt;=$L$2,IFERROR(INDEX(MCQ!$A:$K,ROW()-1+1,9),""),IF(ROW()-1&lt;=$L$2+$M$2,IFERROR(INDEX(CLOZE_AB!$A:$K,ROW()-1-$L$2+1,9),""),IF(ROW()-1&lt;=$L$2+$M$2+$N$2,IFERROR(INDEX(CLOZE_LIST!$A:$K,ROW()-1-$L$2-$M$2+1,9),""),IF(ROW()-1&lt;=$L$2+$M$2+$N$2+$O$2,IFERROR(INDEX(PROFORMA!$A:$K,ROW()-1-$L$2-$M$2-$N$2+1,9),""),"")))))</f>
        <v>0</v>
      </c>
      <c r="J330" s="3">
        <f>IF(ROW()-1&lt;=0,"",IF(ROW()-1&lt;=$L$2,IFERROR(INDEX(MCQ!$A:$K,ROW()-1+1,10),""),IF(ROW()-1&lt;=$L$2+$M$2,IFERROR(INDEX(CLOZE_AB!$A:$K,ROW()-1-$L$2+1,10),""),IF(ROW()-1&lt;=$L$2+$M$2+$N$2,IFERROR(INDEX(CLOZE_LIST!$A:$K,ROW()-1-$L$2-$M$2+1,10),""),IF(ROW()-1&lt;=$L$2+$M$2+$N$2+$O$2,IFERROR(INDEX(PROFORMA!$A:$K,ROW()-1-$L$2-$M$2-$N$2+1,10),""),"")))))</f>
        <v>0</v>
      </c>
      <c r="K330" s="3">
        <f>IF(ROW()-1&lt;=0,"",IF(ROW()-1&lt;=$L$2,IFERROR(INDEX(MCQ!$A:$K,ROW()-1+1,11),""),IF(ROW()-1&lt;=$L$2+$M$2,IFERROR(INDEX(CLOZE_AB!$A:$K,ROW()-1-$L$2+1,11),""),IF(ROW()-1&lt;=$L$2+$M$2+$N$2,IFERROR(INDEX(CLOZE_LIST!$A:$K,ROW()-1-$L$2-$M$2+1,11),""),IF(ROW()-1&lt;=$L$2+$M$2+$N$2+$O$2,IFERROR(INDEX(PROFORMA!$A:$K,ROW()-1-$L$2-$M$2-$N$2+1,11),""),"")))))</f>
        <v>0</v>
      </c>
      <c r="L330" s="3">
        <f>COUNTA(MCQ!$A:$A)-1</f>
        <v>143</v>
      </c>
      <c r="M330" s="3">
        <f>COUNTA(CLOZE_AB!$A:$A)-1</f>
        <v>168</v>
      </c>
      <c r="N330" s="3">
        <f>COUNTA(CLOZE_LIST!$A:$A)-1</f>
        <v>199</v>
      </c>
      <c r="O330" s="3">
        <f>COUNTA(PROFORMA!$A:$A)-1</f>
        <v>199</v>
      </c>
    </row>
    <row r="331" spans="1:15" x14ac:dyDescent="0.3">
      <c r="A331" s="3" t="str">
        <f>IF(ROW()-1&lt;=0,"",IF(ROW()-1&lt;=$L$2,IFERROR(INDEX(MCQ!$A:$K,ROW()-1+1,1),""),IF(ROW()-1&lt;=$L$2+$M$2,IFERROR(INDEX(CLOZE_AB!$A:$K,ROW()-1-$L$2+1,1),""),IF(ROW()-1&lt;=$L$2+$M$2+$N$2,IFERROR(INDEX(CLOZE_LIST!$A:$K,ROW()-1-$L$2-$M$2+1,1),""),IF(ROW()-1&lt;=$L$2+$M$2+$N$2+$O$2,IFERROR(INDEX(PROFORMA!$A:$K,ROW()-1-$L$2-$M$2-$N$2+1,1),""),"")))))</f>
        <v/>
      </c>
      <c r="B331" s="3">
        <f>IF(ROW()-1&lt;=0,"",IF(ROW()-1&lt;=$L$2,IFERROR(INDEX(MCQ!$A:$K,ROW()-1+1,2),""),IF(ROW()-1&lt;=$L$2+$M$2,IFERROR(INDEX(CLOZE_AB!$A:$K,ROW()-1-$L$2+1,2),""),IF(ROW()-1&lt;=$L$2+$M$2+$N$2,IFERROR(INDEX(CLOZE_LIST!$A:$K,ROW()-1-$L$2-$M$2+1,2),""),IF(ROW()-1&lt;=$L$2+$M$2+$N$2+$O$2,IFERROR(INDEX(PROFORMA!$A:$K,ROW()-1-$L$2-$M$2-$N$2+1,2),""),"")))))</f>
        <v>0</v>
      </c>
      <c r="C331" s="3">
        <f>IF(ROW()-1&lt;=0,"",IF(ROW()-1&lt;=$L$2,IFERROR(INDEX(MCQ!$A:$K,ROW()-1+1,3),""),IF(ROW()-1&lt;=$L$2+$M$2,IFERROR(INDEX(CLOZE_AB!$A:$K,ROW()-1-$L$2+1,3),""),IF(ROW()-1&lt;=$L$2+$M$2+$N$2,IFERROR(INDEX(CLOZE_LIST!$A:$K,ROW()-1-$L$2-$M$2+1,3),""),IF(ROW()-1&lt;=$L$2+$M$2+$N$2+$O$2,IFERROR(INDEX(PROFORMA!$A:$K,ROW()-1-$L$2-$M$2-$N$2+1,3),""),"")))))</f>
        <v>0</v>
      </c>
      <c r="D331" s="3">
        <f>IF(ROW()-1&lt;=0,"",IF(ROW()-1&lt;=$L$2,IFERROR(INDEX(MCQ!$A:$K,ROW()-1+1,4),""),IF(ROW()-1&lt;=$L$2+$M$2,IFERROR(INDEX(CLOZE_AB!$A:$K,ROW()-1-$L$2+1,4),""),IF(ROW()-1&lt;=$L$2+$M$2+$N$2,IFERROR(INDEX(CLOZE_LIST!$A:$K,ROW()-1-$L$2-$M$2+1,4),""),IF(ROW()-1&lt;=$L$2+$M$2+$N$2+$O$2,IFERROR(INDEX(PROFORMA!$A:$K,ROW()-1-$L$2-$M$2-$N$2+1,4),""),"")))))</f>
        <v>0</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0</v>
      </c>
      <c r="G331" s="3">
        <f>IF(ROW()-1&lt;=0,"",IF(ROW()-1&lt;=$L$2,IFERROR(INDEX(MCQ!$A:$K,ROW()-1+1,7),""),IF(ROW()-1&lt;=$L$2+$M$2,IFERROR(INDEX(CLOZE_AB!$A:$K,ROW()-1-$L$2+1,7),""),IF(ROW()-1&lt;=$L$2+$M$2+$N$2,IFERROR(INDEX(CLOZE_LIST!$A:$K,ROW()-1-$L$2-$M$2+1,7),""),IF(ROW()-1&lt;=$L$2+$M$2+$N$2+$O$2,IFERROR(INDEX(PROFORMA!$A:$K,ROW()-1-$L$2-$M$2-$N$2+1,7),""),"")))))</f>
        <v>0</v>
      </c>
      <c r="H331" s="3">
        <f>IF(ROW()-1&lt;=0,"",IF(ROW()-1&lt;=$L$2,IFERROR(INDEX(MCQ!$A:$K,ROW()-1+1,8),""),IF(ROW()-1&lt;=$L$2+$M$2,IFERROR(INDEX(CLOZE_AB!$A:$K,ROW()-1-$L$2+1,8),""),IF(ROW()-1&lt;=$L$2+$M$2+$N$2,IFERROR(INDEX(CLOZE_LIST!$A:$K,ROW()-1-$L$2-$M$2+1,8),""),IF(ROW()-1&lt;=$L$2+$M$2+$N$2+$O$2,IFERROR(INDEX(PROFORMA!$A:$K,ROW()-1-$L$2-$M$2-$N$2+1,8),""),"")))))</f>
        <v>0</v>
      </c>
      <c r="I331" s="3">
        <f>IF(ROW()-1&lt;=0,"",IF(ROW()-1&lt;=$L$2,IFERROR(INDEX(MCQ!$A:$K,ROW()-1+1,9),""),IF(ROW()-1&lt;=$L$2+$M$2,IFERROR(INDEX(CLOZE_AB!$A:$K,ROW()-1-$L$2+1,9),""),IF(ROW()-1&lt;=$L$2+$M$2+$N$2,IFERROR(INDEX(CLOZE_LIST!$A:$K,ROW()-1-$L$2-$M$2+1,9),""),IF(ROW()-1&lt;=$L$2+$M$2+$N$2+$O$2,IFERROR(INDEX(PROFORMA!$A:$K,ROW()-1-$L$2-$M$2-$N$2+1,9),""),"")))))</f>
        <v>0</v>
      </c>
      <c r="J331" s="3">
        <f>IF(ROW()-1&lt;=0,"",IF(ROW()-1&lt;=$L$2,IFERROR(INDEX(MCQ!$A:$K,ROW()-1+1,10),""),IF(ROW()-1&lt;=$L$2+$M$2,IFERROR(INDEX(CLOZE_AB!$A:$K,ROW()-1-$L$2+1,10),""),IF(ROW()-1&lt;=$L$2+$M$2+$N$2,IFERROR(INDEX(CLOZE_LIST!$A:$K,ROW()-1-$L$2-$M$2+1,10),""),IF(ROW()-1&lt;=$L$2+$M$2+$N$2+$O$2,IFERROR(INDEX(PROFORMA!$A:$K,ROW()-1-$L$2-$M$2-$N$2+1,10),""),"")))))</f>
        <v>0</v>
      </c>
      <c r="K331" s="3">
        <f>IF(ROW()-1&lt;=0,"",IF(ROW()-1&lt;=$L$2,IFERROR(INDEX(MCQ!$A:$K,ROW()-1+1,11),""),IF(ROW()-1&lt;=$L$2+$M$2,IFERROR(INDEX(CLOZE_AB!$A:$K,ROW()-1-$L$2+1,11),""),IF(ROW()-1&lt;=$L$2+$M$2+$N$2,IFERROR(INDEX(CLOZE_LIST!$A:$K,ROW()-1-$L$2-$M$2+1,11),""),IF(ROW()-1&lt;=$L$2+$M$2+$N$2+$O$2,IFERROR(INDEX(PROFORMA!$A:$K,ROW()-1-$L$2-$M$2-$N$2+1,11),""),"")))))</f>
        <v>0</v>
      </c>
      <c r="L331" s="3">
        <f>COUNTA(MCQ!$A:$A)-1</f>
        <v>143</v>
      </c>
      <c r="M331" s="3">
        <f>COUNTA(CLOZE_AB!$A:$A)-1</f>
        <v>168</v>
      </c>
      <c r="N331" s="3">
        <f>COUNTA(CLOZE_LIST!$A:$A)-1</f>
        <v>199</v>
      </c>
      <c r="O331" s="3">
        <f>COUNTA(PROFORMA!$A:$A)-1</f>
        <v>199</v>
      </c>
    </row>
    <row r="332" spans="1:15" x14ac:dyDescent="0.3">
      <c r="A332" s="3" t="str">
        <f>IF(ROW()-1&lt;=0,"",IF(ROW()-1&lt;=$L$2,IFERROR(INDEX(MCQ!$A:$K,ROW()-1+1,1),""),IF(ROW()-1&lt;=$L$2+$M$2,IFERROR(INDEX(CLOZE_AB!$A:$K,ROW()-1-$L$2+1,1),""),IF(ROW()-1&lt;=$L$2+$M$2+$N$2,IFERROR(INDEX(CLOZE_LIST!$A:$K,ROW()-1-$L$2-$M$2+1,1),""),IF(ROW()-1&lt;=$L$2+$M$2+$N$2+$O$2,IFERROR(INDEX(PROFORMA!$A:$K,ROW()-1-$L$2-$M$2-$N$2+1,1),""),"")))))</f>
        <v/>
      </c>
      <c r="B332" s="3">
        <f>IF(ROW()-1&lt;=0,"",IF(ROW()-1&lt;=$L$2,IFERROR(INDEX(MCQ!$A:$K,ROW()-1+1,2),""),IF(ROW()-1&lt;=$L$2+$M$2,IFERROR(INDEX(CLOZE_AB!$A:$K,ROW()-1-$L$2+1,2),""),IF(ROW()-1&lt;=$L$2+$M$2+$N$2,IFERROR(INDEX(CLOZE_LIST!$A:$K,ROW()-1-$L$2-$M$2+1,2),""),IF(ROW()-1&lt;=$L$2+$M$2+$N$2+$O$2,IFERROR(INDEX(PROFORMA!$A:$K,ROW()-1-$L$2-$M$2-$N$2+1,2),""),"")))))</f>
        <v>0</v>
      </c>
      <c r="C332" s="3">
        <f>IF(ROW()-1&lt;=0,"",IF(ROW()-1&lt;=$L$2,IFERROR(INDEX(MCQ!$A:$K,ROW()-1+1,3),""),IF(ROW()-1&lt;=$L$2+$M$2,IFERROR(INDEX(CLOZE_AB!$A:$K,ROW()-1-$L$2+1,3),""),IF(ROW()-1&lt;=$L$2+$M$2+$N$2,IFERROR(INDEX(CLOZE_LIST!$A:$K,ROW()-1-$L$2-$M$2+1,3),""),IF(ROW()-1&lt;=$L$2+$M$2+$N$2+$O$2,IFERROR(INDEX(PROFORMA!$A:$K,ROW()-1-$L$2-$M$2-$N$2+1,3),""),"")))))</f>
        <v>0</v>
      </c>
      <c r="D332" s="3">
        <f>IF(ROW()-1&lt;=0,"",IF(ROW()-1&lt;=$L$2,IFERROR(INDEX(MCQ!$A:$K,ROW()-1+1,4),""),IF(ROW()-1&lt;=$L$2+$M$2,IFERROR(INDEX(CLOZE_AB!$A:$K,ROW()-1-$L$2+1,4),""),IF(ROW()-1&lt;=$L$2+$M$2+$N$2,IFERROR(INDEX(CLOZE_LIST!$A:$K,ROW()-1-$L$2-$M$2+1,4),""),IF(ROW()-1&lt;=$L$2+$M$2+$N$2+$O$2,IFERROR(INDEX(PROFORMA!$A:$K,ROW()-1-$L$2-$M$2-$N$2+1,4),""),"")))))</f>
        <v>0</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0</v>
      </c>
      <c r="G332" s="3">
        <f>IF(ROW()-1&lt;=0,"",IF(ROW()-1&lt;=$L$2,IFERROR(INDEX(MCQ!$A:$K,ROW()-1+1,7),""),IF(ROW()-1&lt;=$L$2+$M$2,IFERROR(INDEX(CLOZE_AB!$A:$K,ROW()-1-$L$2+1,7),""),IF(ROW()-1&lt;=$L$2+$M$2+$N$2,IFERROR(INDEX(CLOZE_LIST!$A:$K,ROW()-1-$L$2-$M$2+1,7),""),IF(ROW()-1&lt;=$L$2+$M$2+$N$2+$O$2,IFERROR(INDEX(PROFORMA!$A:$K,ROW()-1-$L$2-$M$2-$N$2+1,7),""),"")))))</f>
        <v>0</v>
      </c>
      <c r="H332" s="3">
        <f>IF(ROW()-1&lt;=0,"",IF(ROW()-1&lt;=$L$2,IFERROR(INDEX(MCQ!$A:$K,ROW()-1+1,8),""),IF(ROW()-1&lt;=$L$2+$M$2,IFERROR(INDEX(CLOZE_AB!$A:$K,ROW()-1-$L$2+1,8),""),IF(ROW()-1&lt;=$L$2+$M$2+$N$2,IFERROR(INDEX(CLOZE_LIST!$A:$K,ROW()-1-$L$2-$M$2+1,8),""),IF(ROW()-1&lt;=$L$2+$M$2+$N$2+$O$2,IFERROR(INDEX(PROFORMA!$A:$K,ROW()-1-$L$2-$M$2-$N$2+1,8),""),"")))))</f>
        <v>0</v>
      </c>
      <c r="I332" s="3">
        <f>IF(ROW()-1&lt;=0,"",IF(ROW()-1&lt;=$L$2,IFERROR(INDEX(MCQ!$A:$K,ROW()-1+1,9),""),IF(ROW()-1&lt;=$L$2+$M$2,IFERROR(INDEX(CLOZE_AB!$A:$K,ROW()-1-$L$2+1,9),""),IF(ROW()-1&lt;=$L$2+$M$2+$N$2,IFERROR(INDEX(CLOZE_LIST!$A:$K,ROW()-1-$L$2-$M$2+1,9),""),IF(ROW()-1&lt;=$L$2+$M$2+$N$2+$O$2,IFERROR(INDEX(PROFORMA!$A:$K,ROW()-1-$L$2-$M$2-$N$2+1,9),""),"")))))</f>
        <v>0</v>
      </c>
      <c r="J332" s="3">
        <f>IF(ROW()-1&lt;=0,"",IF(ROW()-1&lt;=$L$2,IFERROR(INDEX(MCQ!$A:$K,ROW()-1+1,10),""),IF(ROW()-1&lt;=$L$2+$M$2,IFERROR(INDEX(CLOZE_AB!$A:$K,ROW()-1-$L$2+1,10),""),IF(ROW()-1&lt;=$L$2+$M$2+$N$2,IFERROR(INDEX(CLOZE_LIST!$A:$K,ROW()-1-$L$2-$M$2+1,10),""),IF(ROW()-1&lt;=$L$2+$M$2+$N$2+$O$2,IFERROR(INDEX(PROFORMA!$A:$K,ROW()-1-$L$2-$M$2-$N$2+1,10),""),"")))))</f>
        <v>0</v>
      </c>
      <c r="K332" s="3">
        <f>IF(ROW()-1&lt;=0,"",IF(ROW()-1&lt;=$L$2,IFERROR(INDEX(MCQ!$A:$K,ROW()-1+1,11),""),IF(ROW()-1&lt;=$L$2+$M$2,IFERROR(INDEX(CLOZE_AB!$A:$K,ROW()-1-$L$2+1,11),""),IF(ROW()-1&lt;=$L$2+$M$2+$N$2,IFERROR(INDEX(CLOZE_LIST!$A:$K,ROW()-1-$L$2-$M$2+1,11),""),IF(ROW()-1&lt;=$L$2+$M$2+$N$2+$O$2,IFERROR(INDEX(PROFORMA!$A:$K,ROW()-1-$L$2-$M$2-$N$2+1,11),""),"")))))</f>
        <v>0</v>
      </c>
      <c r="L332" s="3">
        <f>COUNTA(MCQ!$A:$A)-1</f>
        <v>143</v>
      </c>
      <c r="M332" s="3">
        <f>COUNTA(CLOZE_AB!$A:$A)-1</f>
        <v>168</v>
      </c>
      <c r="N332" s="3">
        <f>COUNTA(CLOZE_LIST!$A:$A)-1</f>
        <v>199</v>
      </c>
      <c r="O332" s="3">
        <f>COUNTA(PROFORMA!$A:$A)-1</f>
        <v>199</v>
      </c>
    </row>
    <row r="333" spans="1:15" x14ac:dyDescent="0.3">
      <c r="A333" s="3" t="str">
        <f>IF(ROW()-1&lt;=0,"",IF(ROW()-1&lt;=$L$2,IFERROR(INDEX(MCQ!$A:$K,ROW()-1+1,1),""),IF(ROW()-1&lt;=$L$2+$M$2,IFERROR(INDEX(CLOZE_AB!$A:$K,ROW()-1-$L$2+1,1),""),IF(ROW()-1&lt;=$L$2+$M$2+$N$2,IFERROR(INDEX(CLOZE_LIST!$A:$K,ROW()-1-$L$2-$M$2+1,1),""),IF(ROW()-1&lt;=$L$2+$M$2+$N$2+$O$2,IFERROR(INDEX(PROFORMA!$A:$K,ROW()-1-$L$2-$M$2-$N$2+1,1),""),"")))))</f>
        <v/>
      </c>
      <c r="B333" s="3">
        <f>IF(ROW()-1&lt;=0,"",IF(ROW()-1&lt;=$L$2,IFERROR(INDEX(MCQ!$A:$K,ROW()-1+1,2),""),IF(ROW()-1&lt;=$L$2+$M$2,IFERROR(INDEX(CLOZE_AB!$A:$K,ROW()-1-$L$2+1,2),""),IF(ROW()-1&lt;=$L$2+$M$2+$N$2,IFERROR(INDEX(CLOZE_LIST!$A:$K,ROW()-1-$L$2-$M$2+1,2),""),IF(ROW()-1&lt;=$L$2+$M$2+$N$2+$O$2,IFERROR(INDEX(PROFORMA!$A:$K,ROW()-1-$L$2-$M$2-$N$2+1,2),""),"")))))</f>
        <v>0</v>
      </c>
      <c r="C333" s="3">
        <f>IF(ROW()-1&lt;=0,"",IF(ROW()-1&lt;=$L$2,IFERROR(INDEX(MCQ!$A:$K,ROW()-1+1,3),""),IF(ROW()-1&lt;=$L$2+$M$2,IFERROR(INDEX(CLOZE_AB!$A:$K,ROW()-1-$L$2+1,3),""),IF(ROW()-1&lt;=$L$2+$M$2+$N$2,IFERROR(INDEX(CLOZE_LIST!$A:$K,ROW()-1-$L$2-$M$2+1,3),""),IF(ROW()-1&lt;=$L$2+$M$2+$N$2+$O$2,IFERROR(INDEX(PROFORMA!$A:$K,ROW()-1-$L$2-$M$2-$N$2+1,3),""),"")))))</f>
        <v>0</v>
      </c>
      <c r="D333" s="3">
        <f>IF(ROW()-1&lt;=0,"",IF(ROW()-1&lt;=$L$2,IFERROR(INDEX(MCQ!$A:$K,ROW()-1+1,4),""),IF(ROW()-1&lt;=$L$2+$M$2,IFERROR(INDEX(CLOZE_AB!$A:$K,ROW()-1-$L$2+1,4),""),IF(ROW()-1&lt;=$L$2+$M$2+$N$2,IFERROR(INDEX(CLOZE_LIST!$A:$K,ROW()-1-$L$2-$M$2+1,4),""),IF(ROW()-1&lt;=$L$2+$M$2+$N$2+$O$2,IFERROR(INDEX(PROFORMA!$A:$K,ROW()-1-$L$2-$M$2-$N$2+1,4),""),"")))))</f>
        <v>0</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0</v>
      </c>
      <c r="G333" s="3">
        <f>IF(ROW()-1&lt;=0,"",IF(ROW()-1&lt;=$L$2,IFERROR(INDEX(MCQ!$A:$K,ROW()-1+1,7),""),IF(ROW()-1&lt;=$L$2+$M$2,IFERROR(INDEX(CLOZE_AB!$A:$K,ROW()-1-$L$2+1,7),""),IF(ROW()-1&lt;=$L$2+$M$2+$N$2,IFERROR(INDEX(CLOZE_LIST!$A:$K,ROW()-1-$L$2-$M$2+1,7),""),IF(ROW()-1&lt;=$L$2+$M$2+$N$2+$O$2,IFERROR(INDEX(PROFORMA!$A:$K,ROW()-1-$L$2-$M$2-$N$2+1,7),""),"")))))</f>
        <v>0</v>
      </c>
      <c r="H333" s="3">
        <f>IF(ROW()-1&lt;=0,"",IF(ROW()-1&lt;=$L$2,IFERROR(INDEX(MCQ!$A:$K,ROW()-1+1,8),""),IF(ROW()-1&lt;=$L$2+$M$2,IFERROR(INDEX(CLOZE_AB!$A:$K,ROW()-1-$L$2+1,8),""),IF(ROW()-1&lt;=$L$2+$M$2+$N$2,IFERROR(INDEX(CLOZE_LIST!$A:$K,ROW()-1-$L$2-$M$2+1,8),""),IF(ROW()-1&lt;=$L$2+$M$2+$N$2+$O$2,IFERROR(INDEX(PROFORMA!$A:$K,ROW()-1-$L$2-$M$2-$N$2+1,8),""),"")))))</f>
        <v>0</v>
      </c>
      <c r="I333" s="3">
        <f>IF(ROW()-1&lt;=0,"",IF(ROW()-1&lt;=$L$2,IFERROR(INDEX(MCQ!$A:$K,ROW()-1+1,9),""),IF(ROW()-1&lt;=$L$2+$M$2,IFERROR(INDEX(CLOZE_AB!$A:$K,ROW()-1-$L$2+1,9),""),IF(ROW()-1&lt;=$L$2+$M$2+$N$2,IFERROR(INDEX(CLOZE_LIST!$A:$K,ROW()-1-$L$2-$M$2+1,9),""),IF(ROW()-1&lt;=$L$2+$M$2+$N$2+$O$2,IFERROR(INDEX(PROFORMA!$A:$K,ROW()-1-$L$2-$M$2-$N$2+1,9),""),"")))))</f>
        <v>0</v>
      </c>
      <c r="J333" s="3">
        <f>IF(ROW()-1&lt;=0,"",IF(ROW()-1&lt;=$L$2,IFERROR(INDEX(MCQ!$A:$K,ROW()-1+1,10),""),IF(ROW()-1&lt;=$L$2+$M$2,IFERROR(INDEX(CLOZE_AB!$A:$K,ROW()-1-$L$2+1,10),""),IF(ROW()-1&lt;=$L$2+$M$2+$N$2,IFERROR(INDEX(CLOZE_LIST!$A:$K,ROW()-1-$L$2-$M$2+1,10),""),IF(ROW()-1&lt;=$L$2+$M$2+$N$2+$O$2,IFERROR(INDEX(PROFORMA!$A:$K,ROW()-1-$L$2-$M$2-$N$2+1,10),""),"")))))</f>
        <v>0</v>
      </c>
      <c r="K333" s="3">
        <f>IF(ROW()-1&lt;=0,"",IF(ROW()-1&lt;=$L$2,IFERROR(INDEX(MCQ!$A:$K,ROW()-1+1,11),""),IF(ROW()-1&lt;=$L$2+$M$2,IFERROR(INDEX(CLOZE_AB!$A:$K,ROW()-1-$L$2+1,11),""),IF(ROW()-1&lt;=$L$2+$M$2+$N$2,IFERROR(INDEX(CLOZE_LIST!$A:$K,ROW()-1-$L$2-$M$2+1,11),""),IF(ROW()-1&lt;=$L$2+$M$2+$N$2+$O$2,IFERROR(INDEX(PROFORMA!$A:$K,ROW()-1-$L$2-$M$2-$N$2+1,11),""),"")))))</f>
        <v>0</v>
      </c>
      <c r="L333" s="3">
        <f>COUNTA(MCQ!$A:$A)-1</f>
        <v>143</v>
      </c>
      <c r="M333" s="3">
        <f>COUNTA(CLOZE_AB!$A:$A)-1</f>
        <v>168</v>
      </c>
      <c r="N333" s="3">
        <f>COUNTA(CLOZE_LIST!$A:$A)-1</f>
        <v>199</v>
      </c>
      <c r="O333" s="3">
        <f>COUNTA(PROFORMA!$A:$A)-1</f>
        <v>199</v>
      </c>
    </row>
    <row r="334" spans="1:15" x14ac:dyDescent="0.3">
      <c r="A334" s="3" t="str">
        <f>IF(ROW()-1&lt;=0,"",IF(ROW()-1&lt;=$L$2,IFERROR(INDEX(MCQ!$A:$K,ROW()-1+1,1),""),IF(ROW()-1&lt;=$L$2+$M$2,IFERROR(INDEX(CLOZE_AB!$A:$K,ROW()-1-$L$2+1,1),""),IF(ROW()-1&lt;=$L$2+$M$2+$N$2,IFERROR(INDEX(CLOZE_LIST!$A:$K,ROW()-1-$L$2-$M$2+1,1),""),IF(ROW()-1&lt;=$L$2+$M$2+$N$2+$O$2,IFERROR(INDEX(PROFORMA!$A:$K,ROW()-1-$L$2-$M$2-$N$2+1,1),""),"")))))</f>
        <v/>
      </c>
      <c r="B334" s="3">
        <f>IF(ROW()-1&lt;=0,"",IF(ROW()-1&lt;=$L$2,IFERROR(INDEX(MCQ!$A:$K,ROW()-1+1,2),""),IF(ROW()-1&lt;=$L$2+$M$2,IFERROR(INDEX(CLOZE_AB!$A:$K,ROW()-1-$L$2+1,2),""),IF(ROW()-1&lt;=$L$2+$M$2+$N$2,IFERROR(INDEX(CLOZE_LIST!$A:$K,ROW()-1-$L$2-$M$2+1,2),""),IF(ROW()-1&lt;=$L$2+$M$2+$N$2+$O$2,IFERROR(INDEX(PROFORMA!$A:$K,ROW()-1-$L$2-$M$2-$N$2+1,2),""),"")))))</f>
        <v>0</v>
      </c>
      <c r="C334" s="3">
        <f>IF(ROW()-1&lt;=0,"",IF(ROW()-1&lt;=$L$2,IFERROR(INDEX(MCQ!$A:$K,ROW()-1+1,3),""),IF(ROW()-1&lt;=$L$2+$M$2,IFERROR(INDEX(CLOZE_AB!$A:$K,ROW()-1-$L$2+1,3),""),IF(ROW()-1&lt;=$L$2+$M$2+$N$2,IFERROR(INDEX(CLOZE_LIST!$A:$K,ROW()-1-$L$2-$M$2+1,3),""),IF(ROW()-1&lt;=$L$2+$M$2+$N$2+$O$2,IFERROR(INDEX(PROFORMA!$A:$K,ROW()-1-$L$2-$M$2-$N$2+1,3),""),"")))))</f>
        <v>0</v>
      </c>
      <c r="D334" s="3">
        <f>IF(ROW()-1&lt;=0,"",IF(ROW()-1&lt;=$L$2,IFERROR(INDEX(MCQ!$A:$K,ROW()-1+1,4),""),IF(ROW()-1&lt;=$L$2+$M$2,IFERROR(INDEX(CLOZE_AB!$A:$K,ROW()-1-$L$2+1,4),""),IF(ROW()-1&lt;=$L$2+$M$2+$N$2,IFERROR(INDEX(CLOZE_LIST!$A:$K,ROW()-1-$L$2-$M$2+1,4),""),IF(ROW()-1&lt;=$L$2+$M$2+$N$2+$O$2,IFERROR(INDEX(PROFORMA!$A:$K,ROW()-1-$L$2-$M$2-$N$2+1,4),""),"")))))</f>
        <v>0</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0</v>
      </c>
      <c r="G334" s="3">
        <f>IF(ROW()-1&lt;=0,"",IF(ROW()-1&lt;=$L$2,IFERROR(INDEX(MCQ!$A:$K,ROW()-1+1,7),""),IF(ROW()-1&lt;=$L$2+$M$2,IFERROR(INDEX(CLOZE_AB!$A:$K,ROW()-1-$L$2+1,7),""),IF(ROW()-1&lt;=$L$2+$M$2+$N$2,IFERROR(INDEX(CLOZE_LIST!$A:$K,ROW()-1-$L$2-$M$2+1,7),""),IF(ROW()-1&lt;=$L$2+$M$2+$N$2+$O$2,IFERROR(INDEX(PROFORMA!$A:$K,ROW()-1-$L$2-$M$2-$N$2+1,7),""),"")))))</f>
        <v>0</v>
      </c>
      <c r="H334" s="3">
        <f>IF(ROW()-1&lt;=0,"",IF(ROW()-1&lt;=$L$2,IFERROR(INDEX(MCQ!$A:$K,ROW()-1+1,8),""),IF(ROW()-1&lt;=$L$2+$M$2,IFERROR(INDEX(CLOZE_AB!$A:$K,ROW()-1-$L$2+1,8),""),IF(ROW()-1&lt;=$L$2+$M$2+$N$2,IFERROR(INDEX(CLOZE_LIST!$A:$K,ROW()-1-$L$2-$M$2+1,8),""),IF(ROW()-1&lt;=$L$2+$M$2+$N$2+$O$2,IFERROR(INDEX(PROFORMA!$A:$K,ROW()-1-$L$2-$M$2-$N$2+1,8),""),"")))))</f>
        <v>0</v>
      </c>
      <c r="I334" s="3">
        <f>IF(ROW()-1&lt;=0,"",IF(ROW()-1&lt;=$L$2,IFERROR(INDEX(MCQ!$A:$K,ROW()-1+1,9),""),IF(ROW()-1&lt;=$L$2+$M$2,IFERROR(INDEX(CLOZE_AB!$A:$K,ROW()-1-$L$2+1,9),""),IF(ROW()-1&lt;=$L$2+$M$2+$N$2,IFERROR(INDEX(CLOZE_LIST!$A:$K,ROW()-1-$L$2-$M$2+1,9),""),IF(ROW()-1&lt;=$L$2+$M$2+$N$2+$O$2,IFERROR(INDEX(PROFORMA!$A:$K,ROW()-1-$L$2-$M$2-$N$2+1,9),""),"")))))</f>
        <v>0</v>
      </c>
      <c r="J334" s="3">
        <f>IF(ROW()-1&lt;=0,"",IF(ROW()-1&lt;=$L$2,IFERROR(INDEX(MCQ!$A:$K,ROW()-1+1,10),""),IF(ROW()-1&lt;=$L$2+$M$2,IFERROR(INDEX(CLOZE_AB!$A:$K,ROW()-1-$L$2+1,10),""),IF(ROW()-1&lt;=$L$2+$M$2+$N$2,IFERROR(INDEX(CLOZE_LIST!$A:$K,ROW()-1-$L$2-$M$2+1,10),""),IF(ROW()-1&lt;=$L$2+$M$2+$N$2+$O$2,IFERROR(INDEX(PROFORMA!$A:$K,ROW()-1-$L$2-$M$2-$N$2+1,10),""),"")))))</f>
        <v>0</v>
      </c>
      <c r="K334" s="3">
        <f>IF(ROW()-1&lt;=0,"",IF(ROW()-1&lt;=$L$2,IFERROR(INDEX(MCQ!$A:$K,ROW()-1+1,11),""),IF(ROW()-1&lt;=$L$2+$M$2,IFERROR(INDEX(CLOZE_AB!$A:$K,ROW()-1-$L$2+1,11),""),IF(ROW()-1&lt;=$L$2+$M$2+$N$2,IFERROR(INDEX(CLOZE_LIST!$A:$K,ROW()-1-$L$2-$M$2+1,11),""),IF(ROW()-1&lt;=$L$2+$M$2+$N$2+$O$2,IFERROR(INDEX(PROFORMA!$A:$K,ROW()-1-$L$2-$M$2-$N$2+1,11),""),"")))))</f>
        <v>0</v>
      </c>
      <c r="L334" s="3">
        <f>COUNTA(MCQ!$A:$A)-1</f>
        <v>143</v>
      </c>
      <c r="M334" s="3">
        <f>COUNTA(CLOZE_AB!$A:$A)-1</f>
        <v>168</v>
      </c>
      <c r="N334" s="3">
        <f>COUNTA(CLOZE_LIST!$A:$A)-1</f>
        <v>199</v>
      </c>
      <c r="O334" s="3">
        <f>COUNTA(PROFORMA!$A:$A)-1</f>
        <v>199</v>
      </c>
    </row>
    <row r="335" spans="1:15" x14ac:dyDescent="0.3">
      <c r="A335" s="3" t="str">
        <f>IF(ROW()-1&lt;=0,"",IF(ROW()-1&lt;=$L$2,IFERROR(INDEX(MCQ!$A:$K,ROW()-1+1,1),""),IF(ROW()-1&lt;=$L$2+$M$2,IFERROR(INDEX(CLOZE_AB!$A:$K,ROW()-1-$L$2+1,1),""),IF(ROW()-1&lt;=$L$2+$M$2+$N$2,IFERROR(INDEX(CLOZE_LIST!$A:$K,ROW()-1-$L$2-$M$2+1,1),""),IF(ROW()-1&lt;=$L$2+$M$2+$N$2+$O$2,IFERROR(INDEX(PROFORMA!$A:$K,ROW()-1-$L$2-$M$2-$N$2+1,1),""),"")))))</f>
        <v/>
      </c>
      <c r="B335" s="3">
        <f>IF(ROW()-1&lt;=0,"",IF(ROW()-1&lt;=$L$2,IFERROR(INDEX(MCQ!$A:$K,ROW()-1+1,2),""),IF(ROW()-1&lt;=$L$2+$M$2,IFERROR(INDEX(CLOZE_AB!$A:$K,ROW()-1-$L$2+1,2),""),IF(ROW()-1&lt;=$L$2+$M$2+$N$2,IFERROR(INDEX(CLOZE_LIST!$A:$K,ROW()-1-$L$2-$M$2+1,2),""),IF(ROW()-1&lt;=$L$2+$M$2+$N$2+$O$2,IFERROR(INDEX(PROFORMA!$A:$K,ROW()-1-$L$2-$M$2-$N$2+1,2),""),"")))))</f>
        <v>0</v>
      </c>
      <c r="C335" s="3">
        <f>IF(ROW()-1&lt;=0,"",IF(ROW()-1&lt;=$L$2,IFERROR(INDEX(MCQ!$A:$K,ROW()-1+1,3),""),IF(ROW()-1&lt;=$L$2+$M$2,IFERROR(INDEX(CLOZE_AB!$A:$K,ROW()-1-$L$2+1,3),""),IF(ROW()-1&lt;=$L$2+$M$2+$N$2,IFERROR(INDEX(CLOZE_LIST!$A:$K,ROW()-1-$L$2-$M$2+1,3),""),IF(ROW()-1&lt;=$L$2+$M$2+$N$2+$O$2,IFERROR(INDEX(PROFORMA!$A:$K,ROW()-1-$L$2-$M$2-$N$2+1,3),""),"")))))</f>
        <v>0</v>
      </c>
      <c r="D335" s="3">
        <f>IF(ROW()-1&lt;=0,"",IF(ROW()-1&lt;=$L$2,IFERROR(INDEX(MCQ!$A:$K,ROW()-1+1,4),""),IF(ROW()-1&lt;=$L$2+$M$2,IFERROR(INDEX(CLOZE_AB!$A:$K,ROW()-1-$L$2+1,4),""),IF(ROW()-1&lt;=$L$2+$M$2+$N$2,IFERROR(INDEX(CLOZE_LIST!$A:$K,ROW()-1-$L$2-$M$2+1,4),""),IF(ROW()-1&lt;=$L$2+$M$2+$N$2+$O$2,IFERROR(INDEX(PROFORMA!$A:$K,ROW()-1-$L$2-$M$2-$N$2+1,4),""),"")))))</f>
        <v>0</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0</v>
      </c>
      <c r="G335" s="3">
        <f>IF(ROW()-1&lt;=0,"",IF(ROW()-1&lt;=$L$2,IFERROR(INDEX(MCQ!$A:$K,ROW()-1+1,7),""),IF(ROW()-1&lt;=$L$2+$M$2,IFERROR(INDEX(CLOZE_AB!$A:$K,ROW()-1-$L$2+1,7),""),IF(ROW()-1&lt;=$L$2+$M$2+$N$2,IFERROR(INDEX(CLOZE_LIST!$A:$K,ROW()-1-$L$2-$M$2+1,7),""),IF(ROW()-1&lt;=$L$2+$M$2+$N$2+$O$2,IFERROR(INDEX(PROFORMA!$A:$K,ROW()-1-$L$2-$M$2-$N$2+1,7),""),"")))))</f>
        <v>0</v>
      </c>
      <c r="H335" s="3">
        <f>IF(ROW()-1&lt;=0,"",IF(ROW()-1&lt;=$L$2,IFERROR(INDEX(MCQ!$A:$K,ROW()-1+1,8),""),IF(ROW()-1&lt;=$L$2+$M$2,IFERROR(INDEX(CLOZE_AB!$A:$K,ROW()-1-$L$2+1,8),""),IF(ROW()-1&lt;=$L$2+$M$2+$N$2,IFERROR(INDEX(CLOZE_LIST!$A:$K,ROW()-1-$L$2-$M$2+1,8),""),IF(ROW()-1&lt;=$L$2+$M$2+$N$2+$O$2,IFERROR(INDEX(PROFORMA!$A:$K,ROW()-1-$L$2-$M$2-$N$2+1,8),""),"")))))</f>
        <v>0</v>
      </c>
      <c r="I335" s="3">
        <f>IF(ROW()-1&lt;=0,"",IF(ROW()-1&lt;=$L$2,IFERROR(INDEX(MCQ!$A:$K,ROW()-1+1,9),""),IF(ROW()-1&lt;=$L$2+$M$2,IFERROR(INDEX(CLOZE_AB!$A:$K,ROW()-1-$L$2+1,9),""),IF(ROW()-1&lt;=$L$2+$M$2+$N$2,IFERROR(INDEX(CLOZE_LIST!$A:$K,ROW()-1-$L$2-$M$2+1,9),""),IF(ROW()-1&lt;=$L$2+$M$2+$N$2+$O$2,IFERROR(INDEX(PROFORMA!$A:$K,ROW()-1-$L$2-$M$2-$N$2+1,9),""),"")))))</f>
        <v>0</v>
      </c>
      <c r="J335" s="3">
        <f>IF(ROW()-1&lt;=0,"",IF(ROW()-1&lt;=$L$2,IFERROR(INDEX(MCQ!$A:$K,ROW()-1+1,10),""),IF(ROW()-1&lt;=$L$2+$M$2,IFERROR(INDEX(CLOZE_AB!$A:$K,ROW()-1-$L$2+1,10),""),IF(ROW()-1&lt;=$L$2+$M$2+$N$2,IFERROR(INDEX(CLOZE_LIST!$A:$K,ROW()-1-$L$2-$M$2+1,10),""),IF(ROW()-1&lt;=$L$2+$M$2+$N$2+$O$2,IFERROR(INDEX(PROFORMA!$A:$K,ROW()-1-$L$2-$M$2-$N$2+1,10),""),"")))))</f>
        <v>0</v>
      </c>
      <c r="K335" s="3">
        <f>IF(ROW()-1&lt;=0,"",IF(ROW()-1&lt;=$L$2,IFERROR(INDEX(MCQ!$A:$K,ROW()-1+1,11),""),IF(ROW()-1&lt;=$L$2+$M$2,IFERROR(INDEX(CLOZE_AB!$A:$K,ROW()-1-$L$2+1,11),""),IF(ROW()-1&lt;=$L$2+$M$2+$N$2,IFERROR(INDEX(CLOZE_LIST!$A:$K,ROW()-1-$L$2-$M$2+1,11),""),IF(ROW()-1&lt;=$L$2+$M$2+$N$2+$O$2,IFERROR(INDEX(PROFORMA!$A:$K,ROW()-1-$L$2-$M$2-$N$2+1,11),""),"")))))</f>
        <v>0</v>
      </c>
      <c r="L335" s="3">
        <f>COUNTA(MCQ!$A:$A)-1</f>
        <v>143</v>
      </c>
      <c r="M335" s="3">
        <f>COUNTA(CLOZE_AB!$A:$A)-1</f>
        <v>168</v>
      </c>
      <c r="N335" s="3">
        <f>COUNTA(CLOZE_LIST!$A:$A)-1</f>
        <v>199</v>
      </c>
      <c r="O335" s="3">
        <f>COUNTA(PROFORMA!$A:$A)-1</f>
        <v>199</v>
      </c>
    </row>
    <row r="336" spans="1:15" x14ac:dyDescent="0.3">
      <c r="A336" s="3" t="str">
        <f>IF(ROW()-1&lt;=0,"",IF(ROW()-1&lt;=$L$2,IFERROR(INDEX(MCQ!$A:$K,ROW()-1+1,1),""),IF(ROW()-1&lt;=$L$2+$M$2,IFERROR(INDEX(CLOZE_AB!$A:$K,ROW()-1-$L$2+1,1),""),IF(ROW()-1&lt;=$L$2+$M$2+$N$2,IFERROR(INDEX(CLOZE_LIST!$A:$K,ROW()-1-$L$2-$M$2+1,1),""),IF(ROW()-1&lt;=$L$2+$M$2+$N$2+$O$2,IFERROR(INDEX(PROFORMA!$A:$K,ROW()-1-$L$2-$M$2-$N$2+1,1),""),"")))))</f>
        <v/>
      </c>
      <c r="B336" s="3">
        <f>IF(ROW()-1&lt;=0,"",IF(ROW()-1&lt;=$L$2,IFERROR(INDEX(MCQ!$A:$K,ROW()-1+1,2),""),IF(ROW()-1&lt;=$L$2+$M$2,IFERROR(INDEX(CLOZE_AB!$A:$K,ROW()-1-$L$2+1,2),""),IF(ROW()-1&lt;=$L$2+$M$2+$N$2,IFERROR(INDEX(CLOZE_LIST!$A:$K,ROW()-1-$L$2-$M$2+1,2),""),IF(ROW()-1&lt;=$L$2+$M$2+$N$2+$O$2,IFERROR(INDEX(PROFORMA!$A:$K,ROW()-1-$L$2-$M$2-$N$2+1,2),""),"")))))</f>
        <v>0</v>
      </c>
      <c r="C336" s="3">
        <f>IF(ROW()-1&lt;=0,"",IF(ROW()-1&lt;=$L$2,IFERROR(INDEX(MCQ!$A:$K,ROW()-1+1,3),""),IF(ROW()-1&lt;=$L$2+$M$2,IFERROR(INDEX(CLOZE_AB!$A:$K,ROW()-1-$L$2+1,3),""),IF(ROW()-1&lt;=$L$2+$M$2+$N$2,IFERROR(INDEX(CLOZE_LIST!$A:$K,ROW()-1-$L$2-$M$2+1,3),""),IF(ROW()-1&lt;=$L$2+$M$2+$N$2+$O$2,IFERROR(INDEX(PROFORMA!$A:$K,ROW()-1-$L$2-$M$2-$N$2+1,3),""),"")))))</f>
        <v>0</v>
      </c>
      <c r="D336" s="3">
        <f>IF(ROW()-1&lt;=0,"",IF(ROW()-1&lt;=$L$2,IFERROR(INDEX(MCQ!$A:$K,ROW()-1+1,4),""),IF(ROW()-1&lt;=$L$2+$M$2,IFERROR(INDEX(CLOZE_AB!$A:$K,ROW()-1-$L$2+1,4),""),IF(ROW()-1&lt;=$L$2+$M$2+$N$2,IFERROR(INDEX(CLOZE_LIST!$A:$K,ROW()-1-$L$2-$M$2+1,4),""),IF(ROW()-1&lt;=$L$2+$M$2+$N$2+$O$2,IFERROR(INDEX(PROFORMA!$A:$K,ROW()-1-$L$2-$M$2-$N$2+1,4),""),"")))))</f>
        <v>0</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0</v>
      </c>
      <c r="G336" s="3">
        <f>IF(ROW()-1&lt;=0,"",IF(ROW()-1&lt;=$L$2,IFERROR(INDEX(MCQ!$A:$K,ROW()-1+1,7),""),IF(ROW()-1&lt;=$L$2+$M$2,IFERROR(INDEX(CLOZE_AB!$A:$K,ROW()-1-$L$2+1,7),""),IF(ROW()-1&lt;=$L$2+$M$2+$N$2,IFERROR(INDEX(CLOZE_LIST!$A:$K,ROW()-1-$L$2-$M$2+1,7),""),IF(ROW()-1&lt;=$L$2+$M$2+$N$2+$O$2,IFERROR(INDEX(PROFORMA!$A:$K,ROW()-1-$L$2-$M$2-$N$2+1,7),""),"")))))</f>
        <v>0</v>
      </c>
      <c r="H336" s="3">
        <f>IF(ROW()-1&lt;=0,"",IF(ROW()-1&lt;=$L$2,IFERROR(INDEX(MCQ!$A:$K,ROW()-1+1,8),""),IF(ROW()-1&lt;=$L$2+$M$2,IFERROR(INDEX(CLOZE_AB!$A:$K,ROW()-1-$L$2+1,8),""),IF(ROW()-1&lt;=$L$2+$M$2+$N$2,IFERROR(INDEX(CLOZE_LIST!$A:$K,ROW()-1-$L$2-$M$2+1,8),""),IF(ROW()-1&lt;=$L$2+$M$2+$N$2+$O$2,IFERROR(INDEX(PROFORMA!$A:$K,ROW()-1-$L$2-$M$2-$N$2+1,8),""),"")))))</f>
        <v>0</v>
      </c>
      <c r="I336" s="3">
        <f>IF(ROW()-1&lt;=0,"",IF(ROW()-1&lt;=$L$2,IFERROR(INDEX(MCQ!$A:$K,ROW()-1+1,9),""),IF(ROW()-1&lt;=$L$2+$M$2,IFERROR(INDEX(CLOZE_AB!$A:$K,ROW()-1-$L$2+1,9),""),IF(ROW()-1&lt;=$L$2+$M$2+$N$2,IFERROR(INDEX(CLOZE_LIST!$A:$K,ROW()-1-$L$2-$M$2+1,9),""),IF(ROW()-1&lt;=$L$2+$M$2+$N$2+$O$2,IFERROR(INDEX(PROFORMA!$A:$K,ROW()-1-$L$2-$M$2-$N$2+1,9),""),"")))))</f>
        <v>0</v>
      </c>
      <c r="J336" s="3">
        <f>IF(ROW()-1&lt;=0,"",IF(ROW()-1&lt;=$L$2,IFERROR(INDEX(MCQ!$A:$K,ROW()-1+1,10),""),IF(ROW()-1&lt;=$L$2+$M$2,IFERROR(INDEX(CLOZE_AB!$A:$K,ROW()-1-$L$2+1,10),""),IF(ROW()-1&lt;=$L$2+$M$2+$N$2,IFERROR(INDEX(CLOZE_LIST!$A:$K,ROW()-1-$L$2-$M$2+1,10),""),IF(ROW()-1&lt;=$L$2+$M$2+$N$2+$O$2,IFERROR(INDEX(PROFORMA!$A:$K,ROW()-1-$L$2-$M$2-$N$2+1,10),""),"")))))</f>
        <v>0</v>
      </c>
      <c r="K336" s="3">
        <f>IF(ROW()-1&lt;=0,"",IF(ROW()-1&lt;=$L$2,IFERROR(INDEX(MCQ!$A:$K,ROW()-1+1,11),""),IF(ROW()-1&lt;=$L$2+$M$2,IFERROR(INDEX(CLOZE_AB!$A:$K,ROW()-1-$L$2+1,11),""),IF(ROW()-1&lt;=$L$2+$M$2+$N$2,IFERROR(INDEX(CLOZE_LIST!$A:$K,ROW()-1-$L$2-$M$2+1,11),""),IF(ROW()-1&lt;=$L$2+$M$2+$N$2+$O$2,IFERROR(INDEX(PROFORMA!$A:$K,ROW()-1-$L$2-$M$2-$N$2+1,11),""),"")))))</f>
        <v>0</v>
      </c>
      <c r="L336" s="3">
        <f>COUNTA(MCQ!$A:$A)-1</f>
        <v>143</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
      </c>
      <c r="B337" s="3">
        <f>IF(ROW()-1&lt;=0,"",IF(ROW()-1&lt;=$L$2,IFERROR(INDEX(MCQ!$A:$K,ROW()-1+1,2),""),IF(ROW()-1&lt;=$L$2+$M$2,IFERROR(INDEX(CLOZE_AB!$A:$K,ROW()-1-$L$2+1,2),""),IF(ROW()-1&lt;=$L$2+$M$2+$N$2,IFERROR(INDEX(CLOZE_LIST!$A:$K,ROW()-1-$L$2-$M$2+1,2),""),IF(ROW()-1&lt;=$L$2+$M$2+$N$2+$O$2,IFERROR(INDEX(PROFORMA!$A:$K,ROW()-1-$L$2-$M$2-$N$2+1,2),""),"")))))</f>
        <v>0</v>
      </c>
      <c r="C337" s="3">
        <f>IF(ROW()-1&lt;=0,"",IF(ROW()-1&lt;=$L$2,IFERROR(INDEX(MCQ!$A:$K,ROW()-1+1,3),""),IF(ROW()-1&lt;=$L$2+$M$2,IFERROR(INDEX(CLOZE_AB!$A:$K,ROW()-1-$L$2+1,3),""),IF(ROW()-1&lt;=$L$2+$M$2+$N$2,IFERROR(INDEX(CLOZE_LIST!$A:$K,ROW()-1-$L$2-$M$2+1,3),""),IF(ROW()-1&lt;=$L$2+$M$2+$N$2+$O$2,IFERROR(INDEX(PROFORMA!$A:$K,ROW()-1-$L$2-$M$2-$N$2+1,3),""),"")))))</f>
        <v>0</v>
      </c>
      <c r="D337" s="3">
        <f>IF(ROW()-1&lt;=0,"",IF(ROW()-1&lt;=$L$2,IFERROR(INDEX(MCQ!$A:$K,ROW()-1+1,4),""),IF(ROW()-1&lt;=$L$2+$M$2,IFERROR(INDEX(CLOZE_AB!$A:$K,ROW()-1-$L$2+1,4),""),IF(ROW()-1&lt;=$L$2+$M$2+$N$2,IFERROR(INDEX(CLOZE_LIST!$A:$K,ROW()-1-$L$2-$M$2+1,4),""),IF(ROW()-1&lt;=$L$2+$M$2+$N$2+$O$2,IFERROR(INDEX(PROFORMA!$A:$K,ROW()-1-$L$2-$M$2-$N$2+1,4),""),"")))))</f>
        <v>0</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0</v>
      </c>
      <c r="G337" s="3">
        <f>IF(ROW()-1&lt;=0,"",IF(ROW()-1&lt;=$L$2,IFERROR(INDEX(MCQ!$A:$K,ROW()-1+1,7),""),IF(ROW()-1&lt;=$L$2+$M$2,IFERROR(INDEX(CLOZE_AB!$A:$K,ROW()-1-$L$2+1,7),""),IF(ROW()-1&lt;=$L$2+$M$2+$N$2,IFERROR(INDEX(CLOZE_LIST!$A:$K,ROW()-1-$L$2-$M$2+1,7),""),IF(ROW()-1&lt;=$L$2+$M$2+$N$2+$O$2,IFERROR(INDEX(PROFORMA!$A:$K,ROW()-1-$L$2-$M$2-$N$2+1,7),""),"")))))</f>
        <v>0</v>
      </c>
      <c r="H337" s="3">
        <f>IF(ROW()-1&lt;=0,"",IF(ROW()-1&lt;=$L$2,IFERROR(INDEX(MCQ!$A:$K,ROW()-1+1,8),""),IF(ROW()-1&lt;=$L$2+$M$2,IFERROR(INDEX(CLOZE_AB!$A:$K,ROW()-1-$L$2+1,8),""),IF(ROW()-1&lt;=$L$2+$M$2+$N$2,IFERROR(INDEX(CLOZE_LIST!$A:$K,ROW()-1-$L$2-$M$2+1,8),""),IF(ROW()-1&lt;=$L$2+$M$2+$N$2+$O$2,IFERROR(INDEX(PROFORMA!$A:$K,ROW()-1-$L$2-$M$2-$N$2+1,8),""),"")))))</f>
        <v>0</v>
      </c>
      <c r="I337" s="3">
        <f>IF(ROW()-1&lt;=0,"",IF(ROW()-1&lt;=$L$2,IFERROR(INDEX(MCQ!$A:$K,ROW()-1+1,9),""),IF(ROW()-1&lt;=$L$2+$M$2,IFERROR(INDEX(CLOZE_AB!$A:$K,ROW()-1-$L$2+1,9),""),IF(ROW()-1&lt;=$L$2+$M$2+$N$2,IFERROR(INDEX(CLOZE_LIST!$A:$K,ROW()-1-$L$2-$M$2+1,9),""),IF(ROW()-1&lt;=$L$2+$M$2+$N$2+$O$2,IFERROR(INDEX(PROFORMA!$A:$K,ROW()-1-$L$2-$M$2-$N$2+1,9),""),"")))))</f>
        <v>0</v>
      </c>
      <c r="J337" s="3">
        <f>IF(ROW()-1&lt;=0,"",IF(ROW()-1&lt;=$L$2,IFERROR(INDEX(MCQ!$A:$K,ROW()-1+1,10),""),IF(ROW()-1&lt;=$L$2+$M$2,IFERROR(INDEX(CLOZE_AB!$A:$K,ROW()-1-$L$2+1,10),""),IF(ROW()-1&lt;=$L$2+$M$2+$N$2,IFERROR(INDEX(CLOZE_LIST!$A:$K,ROW()-1-$L$2-$M$2+1,10),""),IF(ROW()-1&lt;=$L$2+$M$2+$N$2+$O$2,IFERROR(INDEX(PROFORMA!$A:$K,ROW()-1-$L$2-$M$2-$N$2+1,10),""),"")))))</f>
        <v>0</v>
      </c>
      <c r="K337" s="3">
        <f>IF(ROW()-1&lt;=0,"",IF(ROW()-1&lt;=$L$2,IFERROR(INDEX(MCQ!$A:$K,ROW()-1+1,11),""),IF(ROW()-1&lt;=$L$2+$M$2,IFERROR(INDEX(CLOZE_AB!$A:$K,ROW()-1-$L$2+1,11),""),IF(ROW()-1&lt;=$L$2+$M$2+$N$2,IFERROR(INDEX(CLOZE_LIST!$A:$K,ROW()-1-$L$2-$M$2+1,11),""),IF(ROW()-1&lt;=$L$2+$M$2+$N$2+$O$2,IFERROR(INDEX(PROFORMA!$A:$K,ROW()-1-$L$2-$M$2-$N$2+1,11),""),"")))))</f>
        <v>0</v>
      </c>
      <c r="L337" s="3">
        <f>COUNTA(MCQ!$A:$A)-1</f>
        <v>143</v>
      </c>
      <c r="M337" s="3">
        <f>COUNTA(CLOZE_AB!$A:$A)-1</f>
        <v>168</v>
      </c>
      <c r="N337" s="3">
        <f>COUNTA(CLOZE_LIST!$A:$A)-1</f>
        <v>199</v>
      </c>
      <c r="O337" s="3">
        <f>COUNTA(PROFORMA!$A:$A)-1</f>
        <v>199</v>
      </c>
    </row>
    <row r="338" spans="1:15" x14ac:dyDescent="0.3">
      <c r="A338" s="3" t="str">
        <f>IF(ROW()-1&lt;=0,"",IF(ROW()-1&lt;=$L$2,IFERROR(INDEX(MCQ!$A:$K,ROW()-1+1,1),""),IF(ROW()-1&lt;=$L$2+$M$2,IFERROR(INDEX(CLOZE_AB!$A:$K,ROW()-1-$L$2+1,1),""),IF(ROW()-1&lt;=$L$2+$M$2+$N$2,IFERROR(INDEX(CLOZE_LIST!$A:$K,ROW()-1-$L$2-$M$2+1,1),""),IF(ROW()-1&lt;=$L$2+$M$2+$N$2+$O$2,IFERROR(INDEX(PROFORMA!$A:$K,ROW()-1-$L$2-$M$2-$N$2+1,1),""),"")))))</f>
        <v/>
      </c>
      <c r="B338" s="3">
        <f>IF(ROW()-1&lt;=0,"",IF(ROW()-1&lt;=$L$2,IFERROR(INDEX(MCQ!$A:$K,ROW()-1+1,2),""),IF(ROW()-1&lt;=$L$2+$M$2,IFERROR(INDEX(CLOZE_AB!$A:$K,ROW()-1-$L$2+1,2),""),IF(ROW()-1&lt;=$L$2+$M$2+$N$2,IFERROR(INDEX(CLOZE_LIST!$A:$K,ROW()-1-$L$2-$M$2+1,2),""),IF(ROW()-1&lt;=$L$2+$M$2+$N$2+$O$2,IFERROR(INDEX(PROFORMA!$A:$K,ROW()-1-$L$2-$M$2-$N$2+1,2),""),"")))))</f>
        <v>0</v>
      </c>
      <c r="C338" s="3">
        <f>IF(ROW()-1&lt;=0,"",IF(ROW()-1&lt;=$L$2,IFERROR(INDEX(MCQ!$A:$K,ROW()-1+1,3),""),IF(ROW()-1&lt;=$L$2+$M$2,IFERROR(INDEX(CLOZE_AB!$A:$K,ROW()-1-$L$2+1,3),""),IF(ROW()-1&lt;=$L$2+$M$2+$N$2,IFERROR(INDEX(CLOZE_LIST!$A:$K,ROW()-1-$L$2-$M$2+1,3),""),IF(ROW()-1&lt;=$L$2+$M$2+$N$2+$O$2,IFERROR(INDEX(PROFORMA!$A:$K,ROW()-1-$L$2-$M$2-$N$2+1,3),""),"")))))</f>
        <v>0</v>
      </c>
      <c r="D338" s="3">
        <f>IF(ROW()-1&lt;=0,"",IF(ROW()-1&lt;=$L$2,IFERROR(INDEX(MCQ!$A:$K,ROW()-1+1,4),""),IF(ROW()-1&lt;=$L$2+$M$2,IFERROR(INDEX(CLOZE_AB!$A:$K,ROW()-1-$L$2+1,4),""),IF(ROW()-1&lt;=$L$2+$M$2+$N$2,IFERROR(INDEX(CLOZE_LIST!$A:$K,ROW()-1-$L$2-$M$2+1,4),""),IF(ROW()-1&lt;=$L$2+$M$2+$N$2+$O$2,IFERROR(INDEX(PROFORMA!$A:$K,ROW()-1-$L$2-$M$2-$N$2+1,4),""),"")))))</f>
        <v>0</v>
      </c>
      <c r="E338" s="3" t="str">
        <f>IF(ROW()-1&lt;=0,"",IF(ROW()-1&lt;=$L$2,IFERROR(INDEX(MCQ!$A:$K,ROW()-1+1,5),""),IF(ROW()-1&lt;=$L$2+$M$2,IFERROR(INDEX(CLOZE_AB!$A:$K,ROW()-1-$L$2+1,5),""),IF(ROW()-1&lt;=$L$2+$M$2+$N$2,IFERROR(INDEX(CLOZE_LIST!$A:$K,ROW()-1-$L$2-$M$2+1,5),""),IF(ROW()-1&lt;=$L$2+$M$2+$N$2+$O$2,IFERROR(INDEX(PROFORMA!$A:$K,ROW()-1-$L$2-$M$2-$N$2+1,5),""),"")))))</f>
        <v>cloze_list</v>
      </c>
      <c r="F338" s="3">
        <f>IF(ROW()-1&lt;=0,"",IF(ROW()-1&lt;=$L$2,IFERROR(INDEX(MCQ!$A:$K,ROW()-1+1,6),""),IF(ROW()-1&lt;=$L$2+$M$2,IFERROR(INDEX(CLOZE_AB!$A:$K,ROW()-1-$L$2+1,6),""),IF(ROW()-1&lt;=$L$2+$M$2+$N$2,IFERROR(INDEX(CLOZE_LIST!$A:$K,ROW()-1-$L$2-$M$2+1,6),""),IF(ROW()-1&lt;=$L$2+$M$2+$N$2+$O$2,IFERROR(INDEX(PROFORMA!$A:$K,ROW()-1-$L$2-$M$2-$N$2+1,6),""),"")))))</f>
        <v>0</v>
      </c>
      <c r="G338" s="3">
        <f>IF(ROW()-1&lt;=0,"",IF(ROW()-1&lt;=$L$2,IFERROR(INDEX(MCQ!$A:$K,ROW()-1+1,7),""),IF(ROW()-1&lt;=$L$2+$M$2,IFERROR(INDEX(CLOZE_AB!$A:$K,ROW()-1-$L$2+1,7),""),IF(ROW()-1&lt;=$L$2+$M$2+$N$2,IFERROR(INDEX(CLOZE_LIST!$A:$K,ROW()-1-$L$2-$M$2+1,7),""),IF(ROW()-1&lt;=$L$2+$M$2+$N$2+$O$2,IFERROR(INDEX(PROFORMA!$A:$K,ROW()-1-$L$2-$M$2-$N$2+1,7),""),"")))))</f>
        <v>0</v>
      </c>
      <c r="H338" s="3">
        <f>IF(ROW()-1&lt;=0,"",IF(ROW()-1&lt;=$L$2,IFERROR(INDEX(MCQ!$A:$K,ROW()-1+1,8),""),IF(ROW()-1&lt;=$L$2+$M$2,IFERROR(INDEX(CLOZE_AB!$A:$K,ROW()-1-$L$2+1,8),""),IF(ROW()-1&lt;=$L$2+$M$2+$N$2,IFERROR(INDEX(CLOZE_LIST!$A:$K,ROW()-1-$L$2-$M$2+1,8),""),IF(ROW()-1&lt;=$L$2+$M$2+$N$2+$O$2,IFERROR(INDEX(PROFORMA!$A:$K,ROW()-1-$L$2-$M$2-$N$2+1,8),""),"")))))</f>
        <v>0</v>
      </c>
      <c r="I338" s="3">
        <f>IF(ROW()-1&lt;=0,"",IF(ROW()-1&lt;=$L$2,IFERROR(INDEX(MCQ!$A:$K,ROW()-1+1,9),""),IF(ROW()-1&lt;=$L$2+$M$2,IFERROR(INDEX(CLOZE_AB!$A:$K,ROW()-1-$L$2+1,9),""),IF(ROW()-1&lt;=$L$2+$M$2+$N$2,IFERROR(INDEX(CLOZE_LIST!$A:$K,ROW()-1-$L$2-$M$2+1,9),""),IF(ROW()-1&lt;=$L$2+$M$2+$N$2+$O$2,IFERROR(INDEX(PROFORMA!$A:$K,ROW()-1-$L$2-$M$2-$N$2+1,9),""),"")))))</f>
        <v>0</v>
      </c>
      <c r="J338" s="3">
        <f>IF(ROW()-1&lt;=0,"",IF(ROW()-1&lt;=$L$2,IFERROR(INDEX(MCQ!$A:$K,ROW()-1+1,10),""),IF(ROW()-1&lt;=$L$2+$M$2,IFERROR(INDEX(CLOZE_AB!$A:$K,ROW()-1-$L$2+1,10),""),IF(ROW()-1&lt;=$L$2+$M$2+$N$2,IFERROR(INDEX(CLOZE_LIST!$A:$K,ROW()-1-$L$2-$M$2+1,10),""),IF(ROW()-1&lt;=$L$2+$M$2+$N$2+$O$2,IFERROR(INDEX(PROFORMA!$A:$K,ROW()-1-$L$2-$M$2-$N$2+1,10),""),"")))))</f>
        <v>0</v>
      </c>
      <c r="K338" s="3">
        <f>IF(ROW()-1&lt;=0,"",IF(ROW()-1&lt;=$L$2,IFERROR(INDEX(MCQ!$A:$K,ROW()-1+1,11),""),IF(ROW()-1&lt;=$L$2+$M$2,IFERROR(INDEX(CLOZE_AB!$A:$K,ROW()-1-$L$2+1,11),""),IF(ROW()-1&lt;=$L$2+$M$2+$N$2,IFERROR(INDEX(CLOZE_LIST!$A:$K,ROW()-1-$L$2-$M$2+1,11),""),IF(ROW()-1&lt;=$L$2+$M$2+$N$2+$O$2,IFERROR(INDEX(PROFORMA!$A:$K,ROW()-1-$L$2-$M$2-$N$2+1,11),""),"")))))</f>
        <v>0</v>
      </c>
      <c r="L338" s="3">
        <f>COUNTA(MCQ!$A:$A)-1</f>
        <v>143</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t="str">
        <f>IF(ROW()-1&lt;=0,"",IF(ROW()-1&lt;=$L$2,IFERROR(INDEX(MCQ!$A:$K,ROW()-1+1,5),""),IF(ROW()-1&lt;=$L$2+$M$2,IFERROR(INDEX(CLOZE_AB!$A:$K,ROW()-1-$L$2+1,5),""),IF(ROW()-1&lt;=$L$2+$M$2+$N$2,IFERROR(INDEX(CLOZE_LIST!$A:$K,ROW()-1-$L$2-$M$2+1,5),""),IF(ROW()-1&lt;=$L$2+$M$2+$N$2+$O$2,IFERROR(INDEX(PROFORMA!$A:$K,ROW()-1-$L$2-$M$2-$N$2+1,5),""),"")))))</f>
        <v>cloze_list</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143</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t="str">
        <f>IF(ROW()-1&lt;=0,"",IF(ROW()-1&lt;=$L$2,IFERROR(INDEX(MCQ!$A:$K,ROW()-1+1,5),""),IF(ROW()-1&lt;=$L$2+$M$2,IFERROR(INDEX(CLOZE_AB!$A:$K,ROW()-1-$L$2+1,5),""),IF(ROW()-1&lt;=$L$2+$M$2+$N$2,IFERROR(INDEX(CLOZE_LIST!$A:$K,ROW()-1-$L$2-$M$2+1,5),""),IF(ROW()-1&lt;=$L$2+$M$2+$N$2+$O$2,IFERROR(INDEX(PROFORMA!$A:$K,ROW()-1-$L$2-$M$2-$N$2+1,5),""),"")))))</f>
        <v>cloze_list</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143</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t="str">
        <f>IF(ROW()-1&lt;=0,"",IF(ROW()-1&lt;=$L$2,IFERROR(INDEX(MCQ!$A:$K,ROW()-1+1,5),""),IF(ROW()-1&lt;=$L$2+$M$2,IFERROR(INDEX(CLOZE_AB!$A:$K,ROW()-1-$L$2+1,5),""),IF(ROW()-1&lt;=$L$2+$M$2+$N$2,IFERROR(INDEX(CLOZE_LIST!$A:$K,ROW()-1-$L$2-$M$2+1,5),""),IF(ROW()-1&lt;=$L$2+$M$2+$N$2+$O$2,IFERROR(INDEX(PROFORMA!$A:$K,ROW()-1-$L$2-$M$2-$N$2+1,5),""),"")))))</f>
        <v>cloze_list</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143</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t="str">
        <f>IF(ROW()-1&lt;=0,"",IF(ROW()-1&lt;=$L$2,IFERROR(INDEX(MCQ!$A:$K,ROW()-1+1,5),""),IF(ROW()-1&lt;=$L$2+$M$2,IFERROR(INDEX(CLOZE_AB!$A:$K,ROW()-1-$L$2+1,5),""),IF(ROW()-1&lt;=$L$2+$M$2+$N$2,IFERROR(INDEX(CLOZE_LIST!$A:$K,ROW()-1-$L$2-$M$2+1,5),""),IF(ROW()-1&lt;=$L$2+$M$2+$N$2+$O$2,IFERROR(INDEX(PROFORMA!$A:$K,ROW()-1-$L$2-$M$2-$N$2+1,5),""),"")))))</f>
        <v>cloze_list</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143</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t="str">
        <f>IF(ROW()-1&lt;=0,"",IF(ROW()-1&lt;=$L$2,IFERROR(INDEX(MCQ!$A:$K,ROW()-1+1,5),""),IF(ROW()-1&lt;=$L$2+$M$2,IFERROR(INDEX(CLOZE_AB!$A:$K,ROW()-1-$L$2+1,5),""),IF(ROW()-1&lt;=$L$2+$M$2+$N$2,IFERROR(INDEX(CLOZE_LIST!$A:$K,ROW()-1-$L$2-$M$2+1,5),""),IF(ROW()-1&lt;=$L$2+$M$2+$N$2+$O$2,IFERROR(INDEX(PROFORMA!$A:$K,ROW()-1-$L$2-$M$2-$N$2+1,5),""),"")))))</f>
        <v>cloze_list</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143</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t="str">
        <f>IF(ROW()-1&lt;=0,"",IF(ROW()-1&lt;=$L$2,IFERROR(INDEX(MCQ!$A:$K,ROW()-1+1,5),""),IF(ROW()-1&lt;=$L$2+$M$2,IFERROR(INDEX(CLOZE_AB!$A:$K,ROW()-1-$L$2+1,5),""),IF(ROW()-1&lt;=$L$2+$M$2+$N$2,IFERROR(INDEX(CLOZE_LIST!$A:$K,ROW()-1-$L$2-$M$2+1,5),""),IF(ROW()-1&lt;=$L$2+$M$2+$N$2+$O$2,IFERROR(INDEX(PROFORMA!$A:$K,ROW()-1-$L$2-$M$2-$N$2+1,5),""),"")))))</f>
        <v>cloze_list</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143</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t="str">
        <f>IF(ROW()-1&lt;=0,"",IF(ROW()-1&lt;=$L$2,IFERROR(INDEX(MCQ!$A:$K,ROW()-1+1,5),""),IF(ROW()-1&lt;=$L$2+$M$2,IFERROR(INDEX(CLOZE_AB!$A:$K,ROW()-1-$L$2+1,5),""),IF(ROW()-1&lt;=$L$2+$M$2+$N$2,IFERROR(INDEX(CLOZE_LIST!$A:$K,ROW()-1-$L$2-$M$2+1,5),""),IF(ROW()-1&lt;=$L$2+$M$2+$N$2+$O$2,IFERROR(INDEX(PROFORMA!$A:$K,ROW()-1-$L$2-$M$2-$N$2+1,5),""),"")))))</f>
        <v>cloze_list</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143</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t="str">
        <f>IF(ROW()-1&lt;=0,"",IF(ROW()-1&lt;=$L$2,IFERROR(INDEX(MCQ!$A:$K,ROW()-1+1,5),""),IF(ROW()-1&lt;=$L$2+$M$2,IFERROR(INDEX(CLOZE_AB!$A:$K,ROW()-1-$L$2+1,5),""),IF(ROW()-1&lt;=$L$2+$M$2+$N$2,IFERROR(INDEX(CLOZE_LIST!$A:$K,ROW()-1-$L$2-$M$2+1,5),""),IF(ROW()-1&lt;=$L$2+$M$2+$N$2+$O$2,IFERROR(INDEX(PROFORMA!$A:$K,ROW()-1-$L$2-$M$2-$N$2+1,5),""),"")))))</f>
        <v>cloze_list</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143</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t="str">
        <f>IF(ROW()-1&lt;=0,"",IF(ROW()-1&lt;=$L$2,IFERROR(INDEX(MCQ!$A:$K,ROW()-1+1,5),""),IF(ROW()-1&lt;=$L$2+$M$2,IFERROR(INDEX(CLOZE_AB!$A:$K,ROW()-1-$L$2+1,5),""),IF(ROW()-1&lt;=$L$2+$M$2+$N$2,IFERROR(INDEX(CLOZE_LIST!$A:$K,ROW()-1-$L$2-$M$2+1,5),""),IF(ROW()-1&lt;=$L$2+$M$2+$N$2+$O$2,IFERROR(INDEX(PROFORMA!$A:$K,ROW()-1-$L$2-$M$2-$N$2+1,5),""),"")))))</f>
        <v>cloze_list</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143</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t="str">
        <f>IF(ROW()-1&lt;=0,"",IF(ROW()-1&lt;=$L$2,IFERROR(INDEX(MCQ!$A:$K,ROW()-1+1,5),""),IF(ROW()-1&lt;=$L$2+$M$2,IFERROR(INDEX(CLOZE_AB!$A:$K,ROW()-1-$L$2+1,5),""),IF(ROW()-1&lt;=$L$2+$M$2+$N$2,IFERROR(INDEX(CLOZE_LIST!$A:$K,ROW()-1-$L$2-$M$2+1,5),""),IF(ROW()-1&lt;=$L$2+$M$2+$N$2+$O$2,IFERROR(INDEX(PROFORMA!$A:$K,ROW()-1-$L$2-$M$2-$N$2+1,5),""),"")))))</f>
        <v>cloze_list</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143</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t="str">
        <f>IF(ROW()-1&lt;=0,"",IF(ROW()-1&lt;=$L$2,IFERROR(INDEX(MCQ!$A:$K,ROW()-1+1,5),""),IF(ROW()-1&lt;=$L$2+$M$2,IFERROR(INDEX(CLOZE_AB!$A:$K,ROW()-1-$L$2+1,5),""),IF(ROW()-1&lt;=$L$2+$M$2+$N$2,IFERROR(INDEX(CLOZE_LIST!$A:$K,ROW()-1-$L$2-$M$2+1,5),""),IF(ROW()-1&lt;=$L$2+$M$2+$N$2+$O$2,IFERROR(INDEX(PROFORMA!$A:$K,ROW()-1-$L$2-$M$2-$N$2+1,5),""),"")))))</f>
        <v>cloze_list</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143</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t="str">
        <f>IF(ROW()-1&lt;=0,"",IF(ROW()-1&lt;=$L$2,IFERROR(INDEX(MCQ!$A:$K,ROW()-1+1,5),""),IF(ROW()-1&lt;=$L$2+$M$2,IFERROR(INDEX(CLOZE_AB!$A:$K,ROW()-1-$L$2+1,5),""),IF(ROW()-1&lt;=$L$2+$M$2+$N$2,IFERROR(INDEX(CLOZE_LIST!$A:$K,ROW()-1-$L$2-$M$2+1,5),""),IF(ROW()-1&lt;=$L$2+$M$2+$N$2+$O$2,IFERROR(INDEX(PROFORMA!$A:$K,ROW()-1-$L$2-$M$2-$N$2+1,5),""),"")))))</f>
        <v>cloze_list</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143</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t="str">
        <f>IF(ROW()-1&lt;=0,"",IF(ROW()-1&lt;=$L$2,IFERROR(INDEX(MCQ!$A:$K,ROW()-1+1,5),""),IF(ROW()-1&lt;=$L$2+$M$2,IFERROR(INDEX(CLOZE_AB!$A:$K,ROW()-1-$L$2+1,5),""),IF(ROW()-1&lt;=$L$2+$M$2+$N$2,IFERROR(INDEX(CLOZE_LIST!$A:$K,ROW()-1-$L$2-$M$2+1,5),""),IF(ROW()-1&lt;=$L$2+$M$2+$N$2+$O$2,IFERROR(INDEX(PROFORMA!$A:$K,ROW()-1-$L$2-$M$2-$N$2+1,5),""),"")))))</f>
        <v>cloze_list</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143</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t="str">
        <f>IF(ROW()-1&lt;=0,"",IF(ROW()-1&lt;=$L$2,IFERROR(INDEX(MCQ!$A:$K,ROW()-1+1,5),""),IF(ROW()-1&lt;=$L$2+$M$2,IFERROR(INDEX(CLOZE_AB!$A:$K,ROW()-1-$L$2+1,5),""),IF(ROW()-1&lt;=$L$2+$M$2+$N$2,IFERROR(INDEX(CLOZE_LIST!$A:$K,ROW()-1-$L$2-$M$2+1,5),""),IF(ROW()-1&lt;=$L$2+$M$2+$N$2+$O$2,IFERROR(INDEX(PROFORMA!$A:$K,ROW()-1-$L$2-$M$2-$N$2+1,5),""),"")))))</f>
        <v>cloze_list</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143</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t="str">
        <f>IF(ROW()-1&lt;=0,"",IF(ROW()-1&lt;=$L$2,IFERROR(INDEX(MCQ!$A:$K,ROW()-1+1,5),""),IF(ROW()-1&lt;=$L$2+$M$2,IFERROR(INDEX(CLOZE_AB!$A:$K,ROW()-1-$L$2+1,5),""),IF(ROW()-1&lt;=$L$2+$M$2+$N$2,IFERROR(INDEX(CLOZE_LIST!$A:$K,ROW()-1-$L$2-$M$2+1,5),""),IF(ROW()-1&lt;=$L$2+$M$2+$N$2+$O$2,IFERROR(INDEX(PROFORMA!$A:$K,ROW()-1-$L$2-$M$2-$N$2+1,5),""),"")))))</f>
        <v>cloze_list</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143</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t="str">
        <f>IF(ROW()-1&lt;=0,"",IF(ROW()-1&lt;=$L$2,IFERROR(INDEX(MCQ!$A:$K,ROW()-1+1,5),""),IF(ROW()-1&lt;=$L$2+$M$2,IFERROR(INDEX(CLOZE_AB!$A:$K,ROW()-1-$L$2+1,5),""),IF(ROW()-1&lt;=$L$2+$M$2+$N$2,IFERROR(INDEX(CLOZE_LIST!$A:$K,ROW()-1-$L$2-$M$2+1,5),""),IF(ROW()-1&lt;=$L$2+$M$2+$N$2+$O$2,IFERROR(INDEX(PROFORMA!$A:$K,ROW()-1-$L$2-$M$2-$N$2+1,5),""),"")))))</f>
        <v>cloze_list</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143</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t="str">
        <f>IF(ROW()-1&lt;=0,"",IF(ROW()-1&lt;=$L$2,IFERROR(INDEX(MCQ!$A:$K,ROW()-1+1,5),""),IF(ROW()-1&lt;=$L$2+$M$2,IFERROR(INDEX(CLOZE_AB!$A:$K,ROW()-1-$L$2+1,5),""),IF(ROW()-1&lt;=$L$2+$M$2+$N$2,IFERROR(INDEX(CLOZE_LIST!$A:$K,ROW()-1-$L$2-$M$2+1,5),""),IF(ROW()-1&lt;=$L$2+$M$2+$N$2+$O$2,IFERROR(INDEX(PROFORMA!$A:$K,ROW()-1-$L$2-$M$2-$N$2+1,5),""),"")))))</f>
        <v>cloze_list</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143</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t="str">
        <f>IF(ROW()-1&lt;=0,"",IF(ROW()-1&lt;=$L$2,IFERROR(INDEX(MCQ!$A:$K,ROW()-1+1,5),""),IF(ROW()-1&lt;=$L$2+$M$2,IFERROR(INDEX(CLOZE_AB!$A:$K,ROW()-1-$L$2+1,5),""),IF(ROW()-1&lt;=$L$2+$M$2+$N$2,IFERROR(INDEX(CLOZE_LIST!$A:$K,ROW()-1-$L$2-$M$2+1,5),""),IF(ROW()-1&lt;=$L$2+$M$2+$N$2+$O$2,IFERROR(INDEX(PROFORMA!$A:$K,ROW()-1-$L$2-$M$2-$N$2+1,5),""),"")))))</f>
        <v>cloze_list</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143</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t="str">
        <f>IF(ROW()-1&lt;=0,"",IF(ROW()-1&lt;=$L$2,IFERROR(INDEX(MCQ!$A:$K,ROW()-1+1,5),""),IF(ROW()-1&lt;=$L$2+$M$2,IFERROR(INDEX(CLOZE_AB!$A:$K,ROW()-1-$L$2+1,5),""),IF(ROW()-1&lt;=$L$2+$M$2+$N$2,IFERROR(INDEX(CLOZE_LIST!$A:$K,ROW()-1-$L$2-$M$2+1,5),""),IF(ROW()-1&lt;=$L$2+$M$2+$N$2+$O$2,IFERROR(INDEX(PROFORMA!$A:$K,ROW()-1-$L$2-$M$2-$N$2+1,5),""),"")))))</f>
        <v>cloze_list</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143</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t="str">
        <f>IF(ROW()-1&lt;=0,"",IF(ROW()-1&lt;=$L$2,IFERROR(INDEX(MCQ!$A:$K,ROW()-1+1,5),""),IF(ROW()-1&lt;=$L$2+$M$2,IFERROR(INDEX(CLOZE_AB!$A:$K,ROW()-1-$L$2+1,5),""),IF(ROW()-1&lt;=$L$2+$M$2+$N$2,IFERROR(INDEX(CLOZE_LIST!$A:$K,ROW()-1-$L$2-$M$2+1,5),""),IF(ROW()-1&lt;=$L$2+$M$2+$N$2+$O$2,IFERROR(INDEX(PROFORMA!$A:$K,ROW()-1-$L$2-$M$2-$N$2+1,5),""),"")))))</f>
        <v>cloze_list</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143</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t="str">
        <f>IF(ROW()-1&lt;=0,"",IF(ROW()-1&lt;=$L$2,IFERROR(INDEX(MCQ!$A:$K,ROW()-1+1,5),""),IF(ROW()-1&lt;=$L$2+$M$2,IFERROR(INDEX(CLOZE_AB!$A:$K,ROW()-1-$L$2+1,5),""),IF(ROW()-1&lt;=$L$2+$M$2+$N$2,IFERROR(INDEX(CLOZE_LIST!$A:$K,ROW()-1-$L$2-$M$2+1,5),""),IF(ROW()-1&lt;=$L$2+$M$2+$N$2+$O$2,IFERROR(INDEX(PROFORMA!$A:$K,ROW()-1-$L$2-$M$2-$N$2+1,5),""),"")))))</f>
        <v>cloze_list</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143</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t="str">
        <f>IF(ROW()-1&lt;=0,"",IF(ROW()-1&lt;=$L$2,IFERROR(INDEX(MCQ!$A:$K,ROW()-1+1,5),""),IF(ROW()-1&lt;=$L$2+$M$2,IFERROR(INDEX(CLOZE_AB!$A:$K,ROW()-1-$L$2+1,5),""),IF(ROW()-1&lt;=$L$2+$M$2+$N$2,IFERROR(INDEX(CLOZE_LIST!$A:$K,ROW()-1-$L$2-$M$2+1,5),""),IF(ROW()-1&lt;=$L$2+$M$2+$N$2+$O$2,IFERROR(INDEX(PROFORMA!$A:$K,ROW()-1-$L$2-$M$2-$N$2+1,5),""),"")))))</f>
        <v>cloze_list</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143</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t="str">
        <f>IF(ROW()-1&lt;=0,"",IF(ROW()-1&lt;=$L$2,IFERROR(INDEX(MCQ!$A:$K,ROW()-1+1,5),""),IF(ROW()-1&lt;=$L$2+$M$2,IFERROR(INDEX(CLOZE_AB!$A:$K,ROW()-1-$L$2+1,5),""),IF(ROW()-1&lt;=$L$2+$M$2+$N$2,IFERROR(INDEX(CLOZE_LIST!$A:$K,ROW()-1-$L$2-$M$2+1,5),""),IF(ROW()-1&lt;=$L$2+$M$2+$N$2+$O$2,IFERROR(INDEX(PROFORMA!$A:$K,ROW()-1-$L$2-$M$2-$N$2+1,5),""),"")))))</f>
        <v>cloze_list</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143</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t="str">
        <f>IF(ROW()-1&lt;=0,"",IF(ROW()-1&lt;=$L$2,IFERROR(INDEX(MCQ!$A:$K,ROW()-1+1,5),""),IF(ROW()-1&lt;=$L$2+$M$2,IFERROR(INDEX(CLOZE_AB!$A:$K,ROW()-1-$L$2+1,5),""),IF(ROW()-1&lt;=$L$2+$M$2+$N$2,IFERROR(INDEX(CLOZE_LIST!$A:$K,ROW()-1-$L$2-$M$2+1,5),""),IF(ROW()-1&lt;=$L$2+$M$2+$N$2+$O$2,IFERROR(INDEX(PROFORMA!$A:$K,ROW()-1-$L$2-$M$2-$N$2+1,5),""),"")))))</f>
        <v>cloze_list</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143</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t="str">
        <f>IF(ROW()-1&lt;=0,"",IF(ROW()-1&lt;=$L$2,IFERROR(INDEX(MCQ!$A:$K,ROW()-1+1,5),""),IF(ROW()-1&lt;=$L$2+$M$2,IFERROR(INDEX(CLOZE_AB!$A:$K,ROW()-1-$L$2+1,5),""),IF(ROW()-1&lt;=$L$2+$M$2+$N$2,IFERROR(INDEX(CLOZE_LIST!$A:$K,ROW()-1-$L$2-$M$2+1,5),""),IF(ROW()-1&lt;=$L$2+$M$2+$N$2+$O$2,IFERROR(INDEX(PROFORMA!$A:$K,ROW()-1-$L$2-$M$2-$N$2+1,5),""),"")))))</f>
        <v>cloze_list</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143</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t="str">
        <f>IF(ROW()-1&lt;=0,"",IF(ROW()-1&lt;=$L$2,IFERROR(INDEX(MCQ!$A:$K,ROW()-1+1,5),""),IF(ROW()-1&lt;=$L$2+$M$2,IFERROR(INDEX(CLOZE_AB!$A:$K,ROW()-1-$L$2+1,5),""),IF(ROW()-1&lt;=$L$2+$M$2+$N$2,IFERROR(INDEX(CLOZE_LIST!$A:$K,ROW()-1-$L$2-$M$2+1,5),""),IF(ROW()-1&lt;=$L$2+$M$2+$N$2+$O$2,IFERROR(INDEX(PROFORMA!$A:$K,ROW()-1-$L$2-$M$2-$N$2+1,5),""),"")))))</f>
        <v>cloze_list</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143</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t="str">
        <f>IF(ROW()-1&lt;=0,"",IF(ROW()-1&lt;=$L$2,IFERROR(INDEX(MCQ!$A:$K,ROW()-1+1,5),""),IF(ROW()-1&lt;=$L$2+$M$2,IFERROR(INDEX(CLOZE_AB!$A:$K,ROW()-1-$L$2+1,5),""),IF(ROW()-1&lt;=$L$2+$M$2+$N$2,IFERROR(INDEX(CLOZE_LIST!$A:$K,ROW()-1-$L$2-$M$2+1,5),""),IF(ROW()-1&lt;=$L$2+$M$2+$N$2+$O$2,IFERROR(INDEX(PROFORMA!$A:$K,ROW()-1-$L$2-$M$2-$N$2+1,5),""),"")))))</f>
        <v>cloze_list</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143</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t="str">
        <f>IF(ROW()-1&lt;=0,"",IF(ROW()-1&lt;=$L$2,IFERROR(INDEX(MCQ!$A:$K,ROW()-1+1,5),""),IF(ROW()-1&lt;=$L$2+$M$2,IFERROR(INDEX(CLOZE_AB!$A:$K,ROW()-1-$L$2+1,5),""),IF(ROW()-1&lt;=$L$2+$M$2+$N$2,IFERROR(INDEX(CLOZE_LIST!$A:$K,ROW()-1-$L$2-$M$2+1,5),""),IF(ROW()-1&lt;=$L$2+$M$2+$N$2+$O$2,IFERROR(INDEX(PROFORMA!$A:$K,ROW()-1-$L$2-$M$2-$N$2+1,5),""),"")))))</f>
        <v>cloze_list</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143</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t="str">
        <f>IF(ROW()-1&lt;=0,"",IF(ROW()-1&lt;=$L$2,IFERROR(INDEX(MCQ!$A:$K,ROW()-1+1,5),""),IF(ROW()-1&lt;=$L$2+$M$2,IFERROR(INDEX(CLOZE_AB!$A:$K,ROW()-1-$L$2+1,5),""),IF(ROW()-1&lt;=$L$2+$M$2+$N$2,IFERROR(INDEX(CLOZE_LIST!$A:$K,ROW()-1-$L$2-$M$2+1,5),""),IF(ROW()-1&lt;=$L$2+$M$2+$N$2+$O$2,IFERROR(INDEX(PROFORMA!$A:$K,ROW()-1-$L$2-$M$2-$N$2+1,5),""),"")))))</f>
        <v>cloze_list</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143</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t="str">
        <f>IF(ROW()-1&lt;=0,"",IF(ROW()-1&lt;=$L$2,IFERROR(INDEX(MCQ!$A:$K,ROW()-1+1,5),""),IF(ROW()-1&lt;=$L$2+$M$2,IFERROR(INDEX(CLOZE_AB!$A:$K,ROW()-1-$L$2+1,5),""),IF(ROW()-1&lt;=$L$2+$M$2+$N$2,IFERROR(INDEX(CLOZE_LIST!$A:$K,ROW()-1-$L$2-$M$2+1,5),""),IF(ROW()-1&lt;=$L$2+$M$2+$N$2+$O$2,IFERROR(INDEX(PROFORMA!$A:$K,ROW()-1-$L$2-$M$2-$N$2+1,5),""),"")))))</f>
        <v>cloze_list</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143</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t="str">
        <f>IF(ROW()-1&lt;=0,"",IF(ROW()-1&lt;=$L$2,IFERROR(INDEX(MCQ!$A:$K,ROW()-1+1,5),""),IF(ROW()-1&lt;=$L$2+$M$2,IFERROR(INDEX(CLOZE_AB!$A:$K,ROW()-1-$L$2+1,5),""),IF(ROW()-1&lt;=$L$2+$M$2+$N$2,IFERROR(INDEX(CLOZE_LIST!$A:$K,ROW()-1-$L$2-$M$2+1,5),""),IF(ROW()-1&lt;=$L$2+$M$2+$N$2+$O$2,IFERROR(INDEX(PROFORMA!$A:$K,ROW()-1-$L$2-$M$2-$N$2+1,5),""),"")))))</f>
        <v>cloze_list</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143</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t="str">
        <f>IF(ROW()-1&lt;=0,"",IF(ROW()-1&lt;=$L$2,IFERROR(INDEX(MCQ!$A:$K,ROW()-1+1,5),""),IF(ROW()-1&lt;=$L$2+$M$2,IFERROR(INDEX(CLOZE_AB!$A:$K,ROW()-1-$L$2+1,5),""),IF(ROW()-1&lt;=$L$2+$M$2+$N$2,IFERROR(INDEX(CLOZE_LIST!$A:$K,ROW()-1-$L$2-$M$2+1,5),""),IF(ROW()-1&lt;=$L$2+$M$2+$N$2+$O$2,IFERROR(INDEX(PROFORMA!$A:$K,ROW()-1-$L$2-$M$2-$N$2+1,5),""),"")))))</f>
        <v>cloze_list</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143</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t="str">
        <f>IF(ROW()-1&lt;=0,"",IF(ROW()-1&lt;=$L$2,IFERROR(INDEX(MCQ!$A:$K,ROW()-1+1,5),""),IF(ROW()-1&lt;=$L$2+$M$2,IFERROR(INDEX(CLOZE_AB!$A:$K,ROW()-1-$L$2+1,5),""),IF(ROW()-1&lt;=$L$2+$M$2+$N$2,IFERROR(INDEX(CLOZE_LIST!$A:$K,ROW()-1-$L$2-$M$2+1,5),""),IF(ROW()-1&lt;=$L$2+$M$2+$N$2+$O$2,IFERROR(INDEX(PROFORMA!$A:$K,ROW()-1-$L$2-$M$2-$N$2+1,5),""),"")))))</f>
        <v>cloze_list</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143</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t="str">
        <f>IF(ROW()-1&lt;=0,"",IF(ROW()-1&lt;=$L$2,IFERROR(INDEX(MCQ!$A:$K,ROW()-1+1,5),""),IF(ROW()-1&lt;=$L$2+$M$2,IFERROR(INDEX(CLOZE_AB!$A:$K,ROW()-1-$L$2+1,5),""),IF(ROW()-1&lt;=$L$2+$M$2+$N$2,IFERROR(INDEX(CLOZE_LIST!$A:$K,ROW()-1-$L$2-$M$2+1,5),""),IF(ROW()-1&lt;=$L$2+$M$2+$N$2+$O$2,IFERROR(INDEX(PROFORMA!$A:$K,ROW()-1-$L$2-$M$2-$N$2+1,5),""),"")))))</f>
        <v>cloze_list</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143</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t="str">
        <f>IF(ROW()-1&lt;=0,"",IF(ROW()-1&lt;=$L$2,IFERROR(INDEX(MCQ!$A:$K,ROW()-1+1,5),""),IF(ROW()-1&lt;=$L$2+$M$2,IFERROR(INDEX(CLOZE_AB!$A:$K,ROW()-1-$L$2+1,5),""),IF(ROW()-1&lt;=$L$2+$M$2+$N$2,IFERROR(INDEX(CLOZE_LIST!$A:$K,ROW()-1-$L$2-$M$2+1,5),""),IF(ROW()-1&lt;=$L$2+$M$2+$N$2+$O$2,IFERROR(INDEX(PROFORMA!$A:$K,ROW()-1-$L$2-$M$2-$N$2+1,5),""),"")))))</f>
        <v>cloze_list</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143</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t="str">
        <f>IF(ROW()-1&lt;=0,"",IF(ROW()-1&lt;=$L$2,IFERROR(INDEX(MCQ!$A:$K,ROW()-1+1,5),""),IF(ROW()-1&lt;=$L$2+$M$2,IFERROR(INDEX(CLOZE_AB!$A:$K,ROW()-1-$L$2+1,5),""),IF(ROW()-1&lt;=$L$2+$M$2+$N$2,IFERROR(INDEX(CLOZE_LIST!$A:$K,ROW()-1-$L$2-$M$2+1,5),""),IF(ROW()-1&lt;=$L$2+$M$2+$N$2+$O$2,IFERROR(INDEX(PROFORMA!$A:$K,ROW()-1-$L$2-$M$2-$N$2+1,5),""),"")))))</f>
        <v>cloze_list</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143</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t="str">
        <f>IF(ROW()-1&lt;=0,"",IF(ROW()-1&lt;=$L$2,IFERROR(INDEX(MCQ!$A:$K,ROW()-1+1,5),""),IF(ROW()-1&lt;=$L$2+$M$2,IFERROR(INDEX(CLOZE_AB!$A:$K,ROW()-1-$L$2+1,5),""),IF(ROW()-1&lt;=$L$2+$M$2+$N$2,IFERROR(INDEX(CLOZE_LIST!$A:$K,ROW()-1-$L$2-$M$2+1,5),""),IF(ROW()-1&lt;=$L$2+$M$2+$N$2+$O$2,IFERROR(INDEX(PROFORMA!$A:$K,ROW()-1-$L$2-$M$2-$N$2+1,5),""),"")))))</f>
        <v>cloze_list</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143</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t="str">
        <f>IF(ROW()-1&lt;=0,"",IF(ROW()-1&lt;=$L$2,IFERROR(INDEX(MCQ!$A:$K,ROW()-1+1,5),""),IF(ROW()-1&lt;=$L$2+$M$2,IFERROR(INDEX(CLOZE_AB!$A:$K,ROW()-1-$L$2+1,5),""),IF(ROW()-1&lt;=$L$2+$M$2+$N$2,IFERROR(INDEX(CLOZE_LIST!$A:$K,ROW()-1-$L$2-$M$2+1,5),""),IF(ROW()-1&lt;=$L$2+$M$2+$N$2+$O$2,IFERROR(INDEX(PROFORMA!$A:$K,ROW()-1-$L$2-$M$2-$N$2+1,5),""),"")))))</f>
        <v>cloze_list</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143</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t="str">
        <f>IF(ROW()-1&lt;=0,"",IF(ROW()-1&lt;=$L$2,IFERROR(INDEX(MCQ!$A:$K,ROW()-1+1,5),""),IF(ROW()-1&lt;=$L$2+$M$2,IFERROR(INDEX(CLOZE_AB!$A:$K,ROW()-1-$L$2+1,5),""),IF(ROW()-1&lt;=$L$2+$M$2+$N$2,IFERROR(INDEX(CLOZE_LIST!$A:$K,ROW()-1-$L$2-$M$2+1,5),""),IF(ROW()-1&lt;=$L$2+$M$2+$N$2+$O$2,IFERROR(INDEX(PROFORMA!$A:$K,ROW()-1-$L$2-$M$2-$N$2+1,5),""),"")))))</f>
        <v>cloze_list</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143</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t="str">
        <f>IF(ROW()-1&lt;=0,"",IF(ROW()-1&lt;=$L$2,IFERROR(INDEX(MCQ!$A:$K,ROW()-1+1,5),""),IF(ROW()-1&lt;=$L$2+$M$2,IFERROR(INDEX(CLOZE_AB!$A:$K,ROW()-1-$L$2+1,5),""),IF(ROW()-1&lt;=$L$2+$M$2+$N$2,IFERROR(INDEX(CLOZE_LIST!$A:$K,ROW()-1-$L$2-$M$2+1,5),""),IF(ROW()-1&lt;=$L$2+$M$2+$N$2+$O$2,IFERROR(INDEX(PROFORMA!$A:$K,ROW()-1-$L$2-$M$2-$N$2+1,5),""),"")))))</f>
        <v>cloze_list</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143</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t="str">
        <f>IF(ROW()-1&lt;=0,"",IF(ROW()-1&lt;=$L$2,IFERROR(INDEX(MCQ!$A:$K,ROW()-1+1,5),""),IF(ROW()-1&lt;=$L$2+$M$2,IFERROR(INDEX(CLOZE_AB!$A:$K,ROW()-1-$L$2+1,5),""),IF(ROW()-1&lt;=$L$2+$M$2+$N$2,IFERROR(INDEX(CLOZE_LIST!$A:$K,ROW()-1-$L$2-$M$2+1,5),""),IF(ROW()-1&lt;=$L$2+$M$2+$N$2+$O$2,IFERROR(INDEX(PROFORMA!$A:$K,ROW()-1-$L$2-$M$2-$N$2+1,5),""),"")))))</f>
        <v>cloze_list</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143</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t="str">
        <f>IF(ROW()-1&lt;=0,"",IF(ROW()-1&lt;=$L$2,IFERROR(INDEX(MCQ!$A:$K,ROW()-1+1,5),""),IF(ROW()-1&lt;=$L$2+$M$2,IFERROR(INDEX(CLOZE_AB!$A:$K,ROW()-1-$L$2+1,5),""),IF(ROW()-1&lt;=$L$2+$M$2+$N$2,IFERROR(INDEX(CLOZE_LIST!$A:$K,ROW()-1-$L$2-$M$2+1,5),""),IF(ROW()-1&lt;=$L$2+$M$2+$N$2+$O$2,IFERROR(INDEX(PROFORMA!$A:$K,ROW()-1-$L$2-$M$2-$N$2+1,5),""),"")))))</f>
        <v>cloze_list</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143</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t="str">
        <f>IF(ROW()-1&lt;=0,"",IF(ROW()-1&lt;=$L$2,IFERROR(INDEX(MCQ!$A:$K,ROW()-1+1,5),""),IF(ROW()-1&lt;=$L$2+$M$2,IFERROR(INDEX(CLOZE_AB!$A:$K,ROW()-1-$L$2+1,5),""),IF(ROW()-1&lt;=$L$2+$M$2+$N$2,IFERROR(INDEX(CLOZE_LIST!$A:$K,ROW()-1-$L$2-$M$2+1,5),""),IF(ROW()-1&lt;=$L$2+$M$2+$N$2+$O$2,IFERROR(INDEX(PROFORMA!$A:$K,ROW()-1-$L$2-$M$2-$N$2+1,5),""),"")))))</f>
        <v>cloze_list</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143</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t="str">
        <f>IF(ROW()-1&lt;=0,"",IF(ROW()-1&lt;=$L$2,IFERROR(INDEX(MCQ!$A:$K,ROW()-1+1,5),""),IF(ROW()-1&lt;=$L$2+$M$2,IFERROR(INDEX(CLOZE_AB!$A:$K,ROW()-1-$L$2+1,5),""),IF(ROW()-1&lt;=$L$2+$M$2+$N$2,IFERROR(INDEX(CLOZE_LIST!$A:$K,ROW()-1-$L$2-$M$2+1,5),""),IF(ROW()-1&lt;=$L$2+$M$2+$N$2+$O$2,IFERROR(INDEX(PROFORMA!$A:$K,ROW()-1-$L$2-$M$2-$N$2+1,5),""),"")))))</f>
        <v>cloze_list</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143</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t="str">
        <f>IF(ROW()-1&lt;=0,"",IF(ROW()-1&lt;=$L$2,IFERROR(INDEX(MCQ!$A:$K,ROW()-1+1,5),""),IF(ROW()-1&lt;=$L$2+$M$2,IFERROR(INDEX(CLOZE_AB!$A:$K,ROW()-1-$L$2+1,5),""),IF(ROW()-1&lt;=$L$2+$M$2+$N$2,IFERROR(INDEX(CLOZE_LIST!$A:$K,ROW()-1-$L$2-$M$2+1,5),""),IF(ROW()-1&lt;=$L$2+$M$2+$N$2+$O$2,IFERROR(INDEX(PROFORMA!$A:$K,ROW()-1-$L$2-$M$2-$N$2+1,5),""),"")))))</f>
        <v>cloze_list</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143</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t="str">
        <f>IF(ROW()-1&lt;=0,"",IF(ROW()-1&lt;=$L$2,IFERROR(INDEX(MCQ!$A:$K,ROW()-1+1,5),""),IF(ROW()-1&lt;=$L$2+$M$2,IFERROR(INDEX(CLOZE_AB!$A:$K,ROW()-1-$L$2+1,5),""),IF(ROW()-1&lt;=$L$2+$M$2+$N$2,IFERROR(INDEX(CLOZE_LIST!$A:$K,ROW()-1-$L$2-$M$2+1,5),""),IF(ROW()-1&lt;=$L$2+$M$2+$N$2+$O$2,IFERROR(INDEX(PROFORMA!$A:$K,ROW()-1-$L$2-$M$2-$N$2+1,5),""),"")))))</f>
        <v>cloze_list</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143</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t="str">
        <f>IF(ROW()-1&lt;=0,"",IF(ROW()-1&lt;=$L$2,IFERROR(INDEX(MCQ!$A:$K,ROW()-1+1,5),""),IF(ROW()-1&lt;=$L$2+$M$2,IFERROR(INDEX(CLOZE_AB!$A:$K,ROW()-1-$L$2+1,5),""),IF(ROW()-1&lt;=$L$2+$M$2+$N$2,IFERROR(INDEX(CLOZE_LIST!$A:$K,ROW()-1-$L$2-$M$2+1,5),""),IF(ROW()-1&lt;=$L$2+$M$2+$N$2+$O$2,IFERROR(INDEX(PROFORMA!$A:$K,ROW()-1-$L$2-$M$2-$N$2+1,5),""),"")))))</f>
        <v>cloze_list</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143</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t="str">
        <f>IF(ROW()-1&lt;=0,"",IF(ROW()-1&lt;=$L$2,IFERROR(INDEX(MCQ!$A:$K,ROW()-1+1,5),""),IF(ROW()-1&lt;=$L$2+$M$2,IFERROR(INDEX(CLOZE_AB!$A:$K,ROW()-1-$L$2+1,5),""),IF(ROW()-1&lt;=$L$2+$M$2+$N$2,IFERROR(INDEX(CLOZE_LIST!$A:$K,ROW()-1-$L$2-$M$2+1,5),""),IF(ROW()-1&lt;=$L$2+$M$2+$N$2+$O$2,IFERROR(INDEX(PROFORMA!$A:$K,ROW()-1-$L$2-$M$2-$N$2+1,5),""),"")))))</f>
        <v>cloze_list</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143</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t="str">
        <f>IF(ROW()-1&lt;=0,"",IF(ROW()-1&lt;=$L$2,IFERROR(INDEX(MCQ!$A:$K,ROW()-1+1,5),""),IF(ROW()-1&lt;=$L$2+$M$2,IFERROR(INDEX(CLOZE_AB!$A:$K,ROW()-1-$L$2+1,5),""),IF(ROW()-1&lt;=$L$2+$M$2+$N$2,IFERROR(INDEX(CLOZE_LIST!$A:$K,ROW()-1-$L$2-$M$2+1,5),""),IF(ROW()-1&lt;=$L$2+$M$2+$N$2+$O$2,IFERROR(INDEX(PROFORMA!$A:$K,ROW()-1-$L$2-$M$2-$N$2+1,5),""),"")))))</f>
        <v>cloze_list</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143</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t="str">
        <f>IF(ROW()-1&lt;=0,"",IF(ROW()-1&lt;=$L$2,IFERROR(INDEX(MCQ!$A:$K,ROW()-1+1,5),""),IF(ROW()-1&lt;=$L$2+$M$2,IFERROR(INDEX(CLOZE_AB!$A:$K,ROW()-1-$L$2+1,5),""),IF(ROW()-1&lt;=$L$2+$M$2+$N$2,IFERROR(INDEX(CLOZE_LIST!$A:$K,ROW()-1-$L$2-$M$2+1,5),""),IF(ROW()-1&lt;=$L$2+$M$2+$N$2+$O$2,IFERROR(INDEX(PROFORMA!$A:$K,ROW()-1-$L$2-$M$2-$N$2+1,5),""),"")))))</f>
        <v>cloze_list</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143</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t="str">
        <f>IF(ROW()-1&lt;=0,"",IF(ROW()-1&lt;=$L$2,IFERROR(INDEX(MCQ!$A:$K,ROW()-1+1,5),""),IF(ROW()-1&lt;=$L$2+$M$2,IFERROR(INDEX(CLOZE_AB!$A:$K,ROW()-1-$L$2+1,5),""),IF(ROW()-1&lt;=$L$2+$M$2+$N$2,IFERROR(INDEX(CLOZE_LIST!$A:$K,ROW()-1-$L$2-$M$2+1,5),""),IF(ROW()-1&lt;=$L$2+$M$2+$N$2+$O$2,IFERROR(INDEX(PROFORMA!$A:$K,ROW()-1-$L$2-$M$2-$N$2+1,5),""),"")))))</f>
        <v>cloze_list</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143</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t="str">
        <f>IF(ROW()-1&lt;=0,"",IF(ROW()-1&lt;=$L$2,IFERROR(INDEX(MCQ!$A:$K,ROW()-1+1,5),""),IF(ROW()-1&lt;=$L$2+$M$2,IFERROR(INDEX(CLOZE_AB!$A:$K,ROW()-1-$L$2+1,5),""),IF(ROW()-1&lt;=$L$2+$M$2+$N$2,IFERROR(INDEX(CLOZE_LIST!$A:$K,ROW()-1-$L$2-$M$2+1,5),""),IF(ROW()-1&lt;=$L$2+$M$2+$N$2+$O$2,IFERROR(INDEX(PROFORMA!$A:$K,ROW()-1-$L$2-$M$2-$N$2+1,5),""),"")))))</f>
        <v>cloze_list</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143</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t="str">
        <f>IF(ROW()-1&lt;=0,"",IF(ROW()-1&lt;=$L$2,IFERROR(INDEX(MCQ!$A:$K,ROW()-1+1,5),""),IF(ROW()-1&lt;=$L$2+$M$2,IFERROR(INDEX(CLOZE_AB!$A:$K,ROW()-1-$L$2+1,5),""),IF(ROW()-1&lt;=$L$2+$M$2+$N$2,IFERROR(INDEX(CLOZE_LIST!$A:$K,ROW()-1-$L$2-$M$2+1,5),""),IF(ROW()-1&lt;=$L$2+$M$2+$N$2+$O$2,IFERROR(INDEX(PROFORMA!$A:$K,ROW()-1-$L$2-$M$2-$N$2+1,5),""),"")))))</f>
        <v>cloze_list</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143</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t="str">
        <f>IF(ROW()-1&lt;=0,"",IF(ROW()-1&lt;=$L$2,IFERROR(INDEX(MCQ!$A:$K,ROW()-1+1,5),""),IF(ROW()-1&lt;=$L$2+$M$2,IFERROR(INDEX(CLOZE_AB!$A:$K,ROW()-1-$L$2+1,5),""),IF(ROW()-1&lt;=$L$2+$M$2+$N$2,IFERROR(INDEX(CLOZE_LIST!$A:$K,ROW()-1-$L$2-$M$2+1,5),""),IF(ROW()-1&lt;=$L$2+$M$2+$N$2+$O$2,IFERROR(INDEX(PROFORMA!$A:$K,ROW()-1-$L$2-$M$2-$N$2+1,5),""),"")))))</f>
        <v>cloze_list</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143</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t="str">
        <f>IF(ROW()-1&lt;=0,"",IF(ROW()-1&lt;=$L$2,IFERROR(INDEX(MCQ!$A:$K,ROW()-1+1,5),""),IF(ROW()-1&lt;=$L$2+$M$2,IFERROR(INDEX(CLOZE_AB!$A:$K,ROW()-1-$L$2+1,5),""),IF(ROW()-1&lt;=$L$2+$M$2+$N$2,IFERROR(INDEX(CLOZE_LIST!$A:$K,ROW()-1-$L$2-$M$2+1,5),""),IF(ROW()-1&lt;=$L$2+$M$2+$N$2+$O$2,IFERROR(INDEX(PROFORMA!$A:$K,ROW()-1-$L$2-$M$2-$N$2+1,5),""),"")))))</f>
        <v>cloze_list</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143</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t="str">
        <f>IF(ROW()-1&lt;=0,"",IF(ROW()-1&lt;=$L$2,IFERROR(INDEX(MCQ!$A:$K,ROW()-1+1,5),""),IF(ROW()-1&lt;=$L$2+$M$2,IFERROR(INDEX(CLOZE_AB!$A:$K,ROW()-1-$L$2+1,5),""),IF(ROW()-1&lt;=$L$2+$M$2+$N$2,IFERROR(INDEX(CLOZE_LIST!$A:$K,ROW()-1-$L$2-$M$2+1,5),""),IF(ROW()-1&lt;=$L$2+$M$2+$N$2+$O$2,IFERROR(INDEX(PROFORMA!$A:$K,ROW()-1-$L$2-$M$2-$N$2+1,5),""),"")))))</f>
        <v>cloze_list</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143</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t="str">
        <f>IF(ROW()-1&lt;=0,"",IF(ROW()-1&lt;=$L$2,IFERROR(INDEX(MCQ!$A:$K,ROW()-1+1,5),""),IF(ROW()-1&lt;=$L$2+$M$2,IFERROR(INDEX(CLOZE_AB!$A:$K,ROW()-1-$L$2+1,5),""),IF(ROW()-1&lt;=$L$2+$M$2+$N$2,IFERROR(INDEX(CLOZE_LIST!$A:$K,ROW()-1-$L$2-$M$2+1,5),""),IF(ROW()-1&lt;=$L$2+$M$2+$N$2+$O$2,IFERROR(INDEX(PROFORMA!$A:$K,ROW()-1-$L$2-$M$2-$N$2+1,5),""),"")))))</f>
        <v>cloze_list</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143</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t="str">
        <f>IF(ROW()-1&lt;=0,"",IF(ROW()-1&lt;=$L$2,IFERROR(INDEX(MCQ!$A:$K,ROW()-1+1,5),""),IF(ROW()-1&lt;=$L$2+$M$2,IFERROR(INDEX(CLOZE_AB!$A:$K,ROW()-1-$L$2+1,5),""),IF(ROW()-1&lt;=$L$2+$M$2+$N$2,IFERROR(INDEX(CLOZE_LIST!$A:$K,ROW()-1-$L$2-$M$2+1,5),""),IF(ROW()-1&lt;=$L$2+$M$2+$N$2+$O$2,IFERROR(INDEX(PROFORMA!$A:$K,ROW()-1-$L$2-$M$2-$N$2+1,5),""),"")))))</f>
        <v>cloze_list</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143</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t="str">
        <f>IF(ROW()-1&lt;=0,"",IF(ROW()-1&lt;=$L$2,IFERROR(INDEX(MCQ!$A:$K,ROW()-1+1,5),""),IF(ROW()-1&lt;=$L$2+$M$2,IFERROR(INDEX(CLOZE_AB!$A:$K,ROW()-1-$L$2+1,5),""),IF(ROW()-1&lt;=$L$2+$M$2+$N$2,IFERROR(INDEX(CLOZE_LIST!$A:$K,ROW()-1-$L$2-$M$2+1,5),""),IF(ROW()-1&lt;=$L$2+$M$2+$N$2+$O$2,IFERROR(INDEX(PROFORMA!$A:$K,ROW()-1-$L$2-$M$2-$N$2+1,5),""),"")))))</f>
        <v>cloze_list</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143</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t="str">
        <f>IF(ROW()-1&lt;=0,"",IF(ROW()-1&lt;=$L$2,IFERROR(INDEX(MCQ!$A:$K,ROW()-1+1,5),""),IF(ROW()-1&lt;=$L$2+$M$2,IFERROR(INDEX(CLOZE_AB!$A:$K,ROW()-1-$L$2+1,5),""),IF(ROW()-1&lt;=$L$2+$M$2+$N$2,IFERROR(INDEX(CLOZE_LIST!$A:$K,ROW()-1-$L$2-$M$2+1,5),""),IF(ROW()-1&lt;=$L$2+$M$2+$N$2+$O$2,IFERROR(INDEX(PROFORMA!$A:$K,ROW()-1-$L$2-$M$2-$N$2+1,5),""),"")))))</f>
        <v>cloze_list</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143</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t="str">
        <f>IF(ROW()-1&lt;=0,"",IF(ROW()-1&lt;=$L$2,IFERROR(INDEX(MCQ!$A:$K,ROW()-1+1,5),""),IF(ROW()-1&lt;=$L$2+$M$2,IFERROR(INDEX(CLOZE_AB!$A:$K,ROW()-1-$L$2+1,5),""),IF(ROW()-1&lt;=$L$2+$M$2+$N$2,IFERROR(INDEX(CLOZE_LIST!$A:$K,ROW()-1-$L$2-$M$2+1,5),""),IF(ROW()-1&lt;=$L$2+$M$2+$N$2+$O$2,IFERROR(INDEX(PROFORMA!$A:$K,ROW()-1-$L$2-$M$2-$N$2+1,5),""),"")))))</f>
        <v>cloze_list</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143</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t="str">
        <f>IF(ROW()-1&lt;=0,"",IF(ROW()-1&lt;=$L$2,IFERROR(INDEX(MCQ!$A:$K,ROW()-1+1,5),""),IF(ROW()-1&lt;=$L$2+$M$2,IFERROR(INDEX(CLOZE_AB!$A:$K,ROW()-1-$L$2+1,5),""),IF(ROW()-1&lt;=$L$2+$M$2+$N$2,IFERROR(INDEX(CLOZE_LIST!$A:$K,ROW()-1-$L$2-$M$2+1,5),""),IF(ROW()-1&lt;=$L$2+$M$2+$N$2+$O$2,IFERROR(INDEX(PROFORMA!$A:$K,ROW()-1-$L$2-$M$2-$N$2+1,5),""),"")))))</f>
        <v>cloze_list</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143</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t="str">
        <f>IF(ROW()-1&lt;=0,"",IF(ROW()-1&lt;=$L$2,IFERROR(INDEX(MCQ!$A:$K,ROW()-1+1,5),""),IF(ROW()-1&lt;=$L$2+$M$2,IFERROR(INDEX(CLOZE_AB!$A:$K,ROW()-1-$L$2+1,5),""),IF(ROW()-1&lt;=$L$2+$M$2+$N$2,IFERROR(INDEX(CLOZE_LIST!$A:$K,ROW()-1-$L$2-$M$2+1,5),""),IF(ROW()-1&lt;=$L$2+$M$2+$N$2+$O$2,IFERROR(INDEX(PROFORMA!$A:$K,ROW()-1-$L$2-$M$2-$N$2+1,5),""),"")))))</f>
        <v>cloze_list</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143</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t="str">
        <f>IF(ROW()-1&lt;=0,"",IF(ROW()-1&lt;=$L$2,IFERROR(INDEX(MCQ!$A:$K,ROW()-1+1,5),""),IF(ROW()-1&lt;=$L$2+$M$2,IFERROR(INDEX(CLOZE_AB!$A:$K,ROW()-1-$L$2+1,5),""),IF(ROW()-1&lt;=$L$2+$M$2+$N$2,IFERROR(INDEX(CLOZE_LIST!$A:$K,ROW()-1-$L$2-$M$2+1,5),""),IF(ROW()-1&lt;=$L$2+$M$2+$N$2+$O$2,IFERROR(INDEX(PROFORMA!$A:$K,ROW()-1-$L$2-$M$2-$N$2+1,5),""),"")))))</f>
        <v>cloze_list</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143</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t="str">
        <f>IF(ROW()-1&lt;=0,"",IF(ROW()-1&lt;=$L$2,IFERROR(INDEX(MCQ!$A:$K,ROW()-1+1,5),""),IF(ROW()-1&lt;=$L$2+$M$2,IFERROR(INDEX(CLOZE_AB!$A:$K,ROW()-1-$L$2+1,5),""),IF(ROW()-1&lt;=$L$2+$M$2+$N$2,IFERROR(INDEX(CLOZE_LIST!$A:$K,ROW()-1-$L$2-$M$2+1,5),""),IF(ROW()-1&lt;=$L$2+$M$2+$N$2+$O$2,IFERROR(INDEX(PROFORMA!$A:$K,ROW()-1-$L$2-$M$2-$N$2+1,5),""),"")))))</f>
        <v>cloze_list</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143</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t="str">
        <f>IF(ROW()-1&lt;=0,"",IF(ROW()-1&lt;=$L$2,IFERROR(INDEX(MCQ!$A:$K,ROW()-1+1,5),""),IF(ROW()-1&lt;=$L$2+$M$2,IFERROR(INDEX(CLOZE_AB!$A:$K,ROW()-1-$L$2+1,5),""),IF(ROW()-1&lt;=$L$2+$M$2+$N$2,IFERROR(INDEX(CLOZE_LIST!$A:$K,ROW()-1-$L$2-$M$2+1,5),""),IF(ROW()-1&lt;=$L$2+$M$2+$N$2+$O$2,IFERROR(INDEX(PROFORMA!$A:$K,ROW()-1-$L$2-$M$2-$N$2+1,5),""),"")))))</f>
        <v>cloze_list</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143</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t="str">
        <f>IF(ROW()-1&lt;=0,"",IF(ROW()-1&lt;=$L$2,IFERROR(INDEX(MCQ!$A:$K,ROW()-1+1,5),""),IF(ROW()-1&lt;=$L$2+$M$2,IFERROR(INDEX(CLOZE_AB!$A:$K,ROW()-1-$L$2+1,5),""),IF(ROW()-1&lt;=$L$2+$M$2+$N$2,IFERROR(INDEX(CLOZE_LIST!$A:$K,ROW()-1-$L$2-$M$2+1,5),""),IF(ROW()-1&lt;=$L$2+$M$2+$N$2+$O$2,IFERROR(INDEX(PROFORMA!$A:$K,ROW()-1-$L$2-$M$2-$N$2+1,5),""),"")))))</f>
        <v>cloze_list</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143</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t="str">
        <f>IF(ROW()-1&lt;=0,"",IF(ROW()-1&lt;=$L$2,IFERROR(INDEX(MCQ!$A:$K,ROW()-1+1,5),""),IF(ROW()-1&lt;=$L$2+$M$2,IFERROR(INDEX(CLOZE_AB!$A:$K,ROW()-1-$L$2+1,5),""),IF(ROW()-1&lt;=$L$2+$M$2+$N$2,IFERROR(INDEX(CLOZE_LIST!$A:$K,ROW()-1-$L$2-$M$2+1,5),""),IF(ROW()-1&lt;=$L$2+$M$2+$N$2+$O$2,IFERROR(INDEX(PROFORMA!$A:$K,ROW()-1-$L$2-$M$2-$N$2+1,5),""),"")))))</f>
        <v>cloze_list</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143</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t="str">
        <f>IF(ROW()-1&lt;=0,"",IF(ROW()-1&lt;=$L$2,IFERROR(INDEX(MCQ!$A:$K,ROW()-1+1,5),""),IF(ROW()-1&lt;=$L$2+$M$2,IFERROR(INDEX(CLOZE_AB!$A:$K,ROW()-1-$L$2+1,5),""),IF(ROW()-1&lt;=$L$2+$M$2+$N$2,IFERROR(INDEX(CLOZE_LIST!$A:$K,ROW()-1-$L$2-$M$2+1,5),""),IF(ROW()-1&lt;=$L$2+$M$2+$N$2+$O$2,IFERROR(INDEX(PROFORMA!$A:$K,ROW()-1-$L$2-$M$2-$N$2+1,5),""),"")))))</f>
        <v>cloze_list</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143</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t="str">
        <f>IF(ROW()-1&lt;=0,"",IF(ROW()-1&lt;=$L$2,IFERROR(INDEX(MCQ!$A:$K,ROW()-1+1,5),""),IF(ROW()-1&lt;=$L$2+$M$2,IFERROR(INDEX(CLOZE_AB!$A:$K,ROW()-1-$L$2+1,5),""),IF(ROW()-1&lt;=$L$2+$M$2+$N$2,IFERROR(INDEX(CLOZE_LIST!$A:$K,ROW()-1-$L$2-$M$2+1,5),""),IF(ROW()-1&lt;=$L$2+$M$2+$N$2+$O$2,IFERROR(INDEX(PROFORMA!$A:$K,ROW()-1-$L$2-$M$2-$N$2+1,5),""),"")))))</f>
        <v>cloze_list</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143</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t="str">
        <f>IF(ROW()-1&lt;=0,"",IF(ROW()-1&lt;=$L$2,IFERROR(INDEX(MCQ!$A:$K,ROW()-1+1,5),""),IF(ROW()-1&lt;=$L$2+$M$2,IFERROR(INDEX(CLOZE_AB!$A:$K,ROW()-1-$L$2+1,5),""),IF(ROW()-1&lt;=$L$2+$M$2+$N$2,IFERROR(INDEX(CLOZE_LIST!$A:$K,ROW()-1-$L$2-$M$2+1,5),""),IF(ROW()-1&lt;=$L$2+$M$2+$N$2+$O$2,IFERROR(INDEX(PROFORMA!$A:$K,ROW()-1-$L$2-$M$2-$N$2+1,5),""),"")))))</f>
        <v>cloze_list</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143</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t="str">
        <f>IF(ROW()-1&lt;=0,"",IF(ROW()-1&lt;=$L$2,IFERROR(INDEX(MCQ!$A:$K,ROW()-1+1,5),""),IF(ROW()-1&lt;=$L$2+$M$2,IFERROR(INDEX(CLOZE_AB!$A:$K,ROW()-1-$L$2+1,5),""),IF(ROW()-1&lt;=$L$2+$M$2+$N$2,IFERROR(INDEX(CLOZE_LIST!$A:$K,ROW()-1-$L$2-$M$2+1,5),""),IF(ROW()-1&lt;=$L$2+$M$2+$N$2+$O$2,IFERROR(INDEX(PROFORMA!$A:$K,ROW()-1-$L$2-$M$2-$N$2+1,5),""),"")))))</f>
        <v>cloze_list</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143</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t="str">
        <f>IF(ROW()-1&lt;=0,"",IF(ROW()-1&lt;=$L$2,IFERROR(INDEX(MCQ!$A:$K,ROW()-1+1,5),""),IF(ROW()-1&lt;=$L$2+$M$2,IFERROR(INDEX(CLOZE_AB!$A:$K,ROW()-1-$L$2+1,5),""),IF(ROW()-1&lt;=$L$2+$M$2+$N$2,IFERROR(INDEX(CLOZE_LIST!$A:$K,ROW()-1-$L$2-$M$2+1,5),""),IF(ROW()-1&lt;=$L$2+$M$2+$N$2+$O$2,IFERROR(INDEX(PROFORMA!$A:$K,ROW()-1-$L$2-$M$2-$N$2+1,5),""),"")))))</f>
        <v>cloze_list</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143</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t="str">
        <f>IF(ROW()-1&lt;=0,"",IF(ROW()-1&lt;=$L$2,IFERROR(INDEX(MCQ!$A:$K,ROW()-1+1,5),""),IF(ROW()-1&lt;=$L$2+$M$2,IFERROR(INDEX(CLOZE_AB!$A:$K,ROW()-1-$L$2+1,5),""),IF(ROW()-1&lt;=$L$2+$M$2+$N$2,IFERROR(INDEX(CLOZE_LIST!$A:$K,ROW()-1-$L$2-$M$2+1,5),""),IF(ROW()-1&lt;=$L$2+$M$2+$N$2+$O$2,IFERROR(INDEX(PROFORMA!$A:$K,ROW()-1-$L$2-$M$2-$N$2+1,5),""),"")))))</f>
        <v>cloze_list</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143</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t="str">
        <f>IF(ROW()-1&lt;=0,"",IF(ROW()-1&lt;=$L$2,IFERROR(INDEX(MCQ!$A:$K,ROW()-1+1,5),""),IF(ROW()-1&lt;=$L$2+$M$2,IFERROR(INDEX(CLOZE_AB!$A:$K,ROW()-1-$L$2+1,5),""),IF(ROW()-1&lt;=$L$2+$M$2+$N$2,IFERROR(INDEX(CLOZE_LIST!$A:$K,ROW()-1-$L$2-$M$2+1,5),""),IF(ROW()-1&lt;=$L$2+$M$2+$N$2+$O$2,IFERROR(INDEX(PROFORMA!$A:$K,ROW()-1-$L$2-$M$2-$N$2+1,5),""),"")))))</f>
        <v>cloze_list</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143</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t="str">
        <f>IF(ROW()-1&lt;=0,"",IF(ROW()-1&lt;=$L$2,IFERROR(INDEX(MCQ!$A:$K,ROW()-1+1,5),""),IF(ROW()-1&lt;=$L$2+$M$2,IFERROR(INDEX(CLOZE_AB!$A:$K,ROW()-1-$L$2+1,5),""),IF(ROW()-1&lt;=$L$2+$M$2+$N$2,IFERROR(INDEX(CLOZE_LIST!$A:$K,ROW()-1-$L$2-$M$2+1,5),""),IF(ROW()-1&lt;=$L$2+$M$2+$N$2+$O$2,IFERROR(INDEX(PROFORMA!$A:$K,ROW()-1-$L$2-$M$2-$N$2+1,5),""),"")))))</f>
        <v>cloze_list</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143</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t="str">
        <f>IF(ROW()-1&lt;=0,"",IF(ROW()-1&lt;=$L$2,IFERROR(INDEX(MCQ!$A:$K,ROW()-1+1,5),""),IF(ROW()-1&lt;=$L$2+$M$2,IFERROR(INDEX(CLOZE_AB!$A:$K,ROW()-1-$L$2+1,5),""),IF(ROW()-1&lt;=$L$2+$M$2+$N$2,IFERROR(INDEX(CLOZE_LIST!$A:$K,ROW()-1-$L$2-$M$2+1,5),""),IF(ROW()-1&lt;=$L$2+$M$2+$N$2+$O$2,IFERROR(INDEX(PROFORMA!$A:$K,ROW()-1-$L$2-$M$2-$N$2+1,5),""),"")))))</f>
        <v>cloze_list</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143</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t="str">
        <f>IF(ROW()-1&lt;=0,"",IF(ROW()-1&lt;=$L$2,IFERROR(INDEX(MCQ!$A:$K,ROW()-1+1,5),""),IF(ROW()-1&lt;=$L$2+$M$2,IFERROR(INDEX(CLOZE_AB!$A:$K,ROW()-1-$L$2+1,5),""),IF(ROW()-1&lt;=$L$2+$M$2+$N$2,IFERROR(INDEX(CLOZE_LIST!$A:$K,ROW()-1-$L$2-$M$2+1,5),""),IF(ROW()-1&lt;=$L$2+$M$2+$N$2+$O$2,IFERROR(INDEX(PROFORMA!$A:$K,ROW()-1-$L$2-$M$2-$N$2+1,5),""),"")))))</f>
        <v>cloze_list</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143</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t="str">
        <f>IF(ROW()-1&lt;=0,"",IF(ROW()-1&lt;=$L$2,IFERROR(INDEX(MCQ!$A:$K,ROW()-1+1,5),""),IF(ROW()-1&lt;=$L$2+$M$2,IFERROR(INDEX(CLOZE_AB!$A:$K,ROW()-1-$L$2+1,5),""),IF(ROW()-1&lt;=$L$2+$M$2+$N$2,IFERROR(INDEX(CLOZE_LIST!$A:$K,ROW()-1-$L$2-$M$2+1,5),""),IF(ROW()-1&lt;=$L$2+$M$2+$N$2+$O$2,IFERROR(INDEX(PROFORMA!$A:$K,ROW()-1-$L$2-$M$2-$N$2+1,5),""),"")))))</f>
        <v>cloze_list</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143</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t="str">
        <f>IF(ROW()-1&lt;=0,"",IF(ROW()-1&lt;=$L$2,IFERROR(INDEX(MCQ!$A:$K,ROW()-1+1,5),""),IF(ROW()-1&lt;=$L$2+$M$2,IFERROR(INDEX(CLOZE_AB!$A:$K,ROW()-1-$L$2+1,5),""),IF(ROW()-1&lt;=$L$2+$M$2+$N$2,IFERROR(INDEX(CLOZE_LIST!$A:$K,ROW()-1-$L$2-$M$2+1,5),""),IF(ROW()-1&lt;=$L$2+$M$2+$N$2+$O$2,IFERROR(INDEX(PROFORMA!$A:$K,ROW()-1-$L$2-$M$2-$N$2+1,5),""),"")))))</f>
        <v>cloze_list</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143</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t="str">
        <f>IF(ROW()-1&lt;=0,"",IF(ROW()-1&lt;=$L$2,IFERROR(INDEX(MCQ!$A:$K,ROW()-1+1,5),""),IF(ROW()-1&lt;=$L$2+$M$2,IFERROR(INDEX(CLOZE_AB!$A:$K,ROW()-1-$L$2+1,5),""),IF(ROW()-1&lt;=$L$2+$M$2+$N$2,IFERROR(INDEX(CLOZE_LIST!$A:$K,ROW()-1-$L$2-$M$2+1,5),""),IF(ROW()-1&lt;=$L$2+$M$2+$N$2+$O$2,IFERROR(INDEX(PROFORMA!$A:$K,ROW()-1-$L$2-$M$2-$N$2+1,5),""),"")))))</f>
        <v>cloze_list</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143</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t="str">
        <f>IF(ROW()-1&lt;=0,"",IF(ROW()-1&lt;=$L$2,IFERROR(INDEX(MCQ!$A:$K,ROW()-1+1,5),""),IF(ROW()-1&lt;=$L$2+$M$2,IFERROR(INDEX(CLOZE_AB!$A:$K,ROW()-1-$L$2+1,5),""),IF(ROW()-1&lt;=$L$2+$M$2+$N$2,IFERROR(INDEX(CLOZE_LIST!$A:$K,ROW()-1-$L$2-$M$2+1,5),""),IF(ROW()-1&lt;=$L$2+$M$2+$N$2+$O$2,IFERROR(INDEX(PROFORMA!$A:$K,ROW()-1-$L$2-$M$2-$N$2+1,5),""),"")))))</f>
        <v>cloze_list</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143</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t="str">
        <f>IF(ROW()-1&lt;=0,"",IF(ROW()-1&lt;=$L$2,IFERROR(INDEX(MCQ!$A:$K,ROW()-1+1,5),""),IF(ROW()-1&lt;=$L$2+$M$2,IFERROR(INDEX(CLOZE_AB!$A:$K,ROW()-1-$L$2+1,5),""),IF(ROW()-1&lt;=$L$2+$M$2+$N$2,IFERROR(INDEX(CLOZE_LIST!$A:$K,ROW()-1-$L$2-$M$2+1,5),""),IF(ROW()-1&lt;=$L$2+$M$2+$N$2+$O$2,IFERROR(INDEX(PROFORMA!$A:$K,ROW()-1-$L$2-$M$2-$N$2+1,5),""),"")))))</f>
        <v>cloze_list</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143</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t="str">
        <f>IF(ROW()-1&lt;=0,"",IF(ROW()-1&lt;=$L$2,IFERROR(INDEX(MCQ!$A:$K,ROW()-1+1,5),""),IF(ROW()-1&lt;=$L$2+$M$2,IFERROR(INDEX(CLOZE_AB!$A:$K,ROW()-1-$L$2+1,5),""),IF(ROW()-1&lt;=$L$2+$M$2+$N$2,IFERROR(INDEX(CLOZE_LIST!$A:$K,ROW()-1-$L$2-$M$2+1,5),""),IF(ROW()-1&lt;=$L$2+$M$2+$N$2+$O$2,IFERROR(INDEX(PROFORMA!$A:$K,ROW()-1-$L$2-$M$2-$N$2+1,5),""),"")))))</f>
        <v>cloze_list</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143</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t="str">
        <f>IF(ROW()-1&lt;=0,"",IF(ROW()-1&lt;=$L$2,IFERROR(INDEX(MCQ!$A:$K,ROW()-1+1,5),""),IF(ROW()-1&lt;=$L$2+$M$2,IFERROR(INDEX(CLOZE_AB!$A:$K,ROW()-1-$L$2+1,5),""),IF(ROW()-1&lt;=$L$2+$M$2+$N$2,IFERROR(INDEX(CLOZE_LIST!$A:$K,ROW()-1-$L$2-$M$2+1,5),""),IF(ROW()-1&lt;=$L$2+$M$2+$N$2+$O$2,IFERROR(INDEX(PROFORMA!$A:$K,ROW()-1-$L$2-$M$2-$N$2+1,5),""),"")))))</f>
        <v>cloze_list</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143</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t="str">
        <f>IF(ROW()-1&lt;=0,"",IF(ROW()-1&lt;=$L$2,IFERROR(INDEX(MCQ!$A:$K,ROW()-1+1,5),""),IF(ROW()-1&lt;=$L$2+$M$2,IFERROR(INDEX(CLOZE_AB!$A:$K,ROW()-1-$L$2+1,5),""),IF(ROW()-1&lt;=$L$2+$M$2+$N$2,IFERROR(INDEX(CLOZE_LIST!$A:$K,ROW()-1-$L$2-$M$2+1,5),""),IF(ROW()-1&lt;=$L$2+$M$2+$N$2+$O$2,IFERROR(INDEX(PROFORMA!$A:$K,ROW()-1-$L$2-$M$2-$N$2+1,5),""),"")))))</f>
        <v>cloze_list</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143</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t="str">
        <f>IF(ROW()-1&lt;=0,"",IF(ROW()-1&lt;=$L$2,IFERROR(INDEX(MCQ!$A:$K,ROW()-1+1,5),""),IF(ROW()-1&lt;=$L$2+$M$2,IFERROR(INDEX(CLOZE_AB!$A:$K,ROW()-1-$L$2+1,5),""),IF(ROW()-1&lt;=$L$2+$M$2+$N$2,IFERROR(INDEX(CLOZE_LIST!$A:$K,ROW()-1-$L$2-$M$2+1,5),""),IF(ROW()-1&lt;=$L$2+$M$2+$N$2+$O$2,IFERROR(INDEX(PROFORMA!$A:$K,ROW()-1-$L$2-$M$2-$N$2+1,5),""),"")))))</f>
        <v>cloze_list</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143</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t="str">
        <f>IF(ROW()-1&lt;=0,"",IF(ROW()-1&lt;=$L$2,IFERROR(INDEX(MCQ!$A:$K,ROW()-1+1,5),""),IF(ROW()-1&lt;=$L$2+$M$2,IFERROR(INDEX(CLOZE_AB!$A:$K,ROW()-1-$L$2+1,5),""),IF(ROW()-1&lt;=$L$2+$M$2+$N$2,IFERROR(INDEX(CLOZE_LIST!$A:$K,ROW()-1-$L$2-$M$2+1,5),""),IF(ROW()-1&lt;=$L$2+$M$2+$N$2+$O$2,IFERROR(INDEX(PROFORMA!$A:$K,ROW()-1-$L$2-$M$2-$N$2+1,5),""),"")))))</f>
        <v>cloze_list</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143</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t="str">
        <f>IF(ROW()-1&lt;=0,"",IF(ROW()-1&lt;=$L$2,IFERROR(INDEX(MCQ!$A:$K,ROW()-1+1,5),""),IF(ROW()-1&lt;=$L$2+$M$2,IFERROR(INDEX(CLOZE_AB!$A:$K,ROW()-1-$L$2+1,5),""),IF(ROW()-1&lt;=$L$2+$M$2+$N$2,IFERROR(INDEX(CLOZE_LIST!$A:$K,ROW()-1-$L$2-$M$2+1,5),""),IF(ROW()-1&lt;=$L$2+$M$2+$N$2+$O$2,IFERROR(INDEX(PROFORMA!$A:$K,ROW()-1-$L$2-$M$2-$N$2+1,5),""),"")))))</f>
        <v>cloze_list</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143</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t="str">
        <f>IF(ROW()-1&lt;=0,"",IF(ROW()-1&lt;=$L$2,IFERROR(INDEX(MCQ!$A:$K,ROW()-1+1,5),""),IF(ROW()-1&lt;=$L$2+$M$2,IFERROR(INDEX(CLOZE_AB!$A:$K,ROW()-1-$L$2+1,5),""),IF(ROW()-1&lt;=$L$2+$M$2+$N$2,IFERROR(INDEX(CLOZE_LIST!$A:$K,ROW()-1-$L$2-$M$2+1,5),""),IF(ROW()-1&lt;=$L$2+$M$2+$N$2+$O$2,IFERROR(INDEX(PROFORMA!$A:$K,ROW()-1-$L$2-$M$2-$N$2+1,5),""),"")))))</f>
        <v>cloze_list</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143</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t="str">
        <f>IF(ROW()-1&lt;=0,"",IF(ROW()-1&lt;=$L$2,IFERROR(INDEX(MCQ!$A:$K,ROW()-1+1,5),""),IF(ROW()-1&lt;=$L$2+$M$2,IFERROR(INDEX(CLOZE_AB!$A:$K,ROW()-1-$L$2+1,5),""),IF(ROW()-1&lt;=$L$2+$M$2+$N$2,IFERROR(INDEX(CLOZE_LIST!$A:$K,ROW()-1-$L$2-$M$2+1,5),""),IF(ROW()-1&lt;=$L$2+$M$2+$N$2+$O$2,IFERROR(INDEX(PROFORMA!$A:$K,ROW()-1-$L$2-$M$2-$N$2+1,5),""),"")))))</f>
        <v>cloze_list</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143</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t="str">
        <f>IF(ROW()-1&lt;=0,"",IF(ROW()-1&lt;=$L$2,IFERROR(INDEX(MCQ!$A:$K,ROW()-1+1,5),""),IF(ROW()-1&lt;=$L$2+$M$2,IFERROR(INDEX(CLOZE_AB!$A:$K,ROW()-1-$L$2+1,5),""),IF(ROW()-1&lt;=$L$2+$M$2+$N$2,IFERROR(INDEX(CLOZE_LIST!$A:$K,ROW()-1-$L$2-$M$2+1,5),""),IF(ROW()-1&lt;=$L$2+$M$2+$N$2+$O$2,IFERROR(INDEX(PROFORMA!$A:$K,ROW()-1-$L$2-$M$2-$N$2+1,5),""),"")))))</f>
        <v>cloze_list</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143</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t="str">
        <f>IF(ROW()-1&lt;=0,"",IF(ROW()-1&lt;=$L$2,IFERROR(INDEX(MCQ!$A:$K,ROW()-1+1,5),""),IF(ROW()-1&lt;=$L$2+$M$2,IFERROR(INDEX(CLOZE_AB!$A:$K,ROW()-1-$L$2+1,5),""),IF(ROW()-1&lt;=$L$2+$M$2+$N$2,IFERROR(INDEX(CLOZE_LIST!$A:$K,ROW()-1-$L$2-$M$2+1,5),""),IF(ROW()-1&lt;=$L$2+$M$2+$N$2+$O$2,IFERROR(INDEX(PROFORMA!$A:$K,ROW()-1-$L$2-$M$2-$N$2+1,5),""),"")))))</f>
        <v>cloze_list</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143</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t="str">
        <f>IF(ROW()-1&lt;=0,"",IF(ROW()-1&lt;=$L$2,IFERROR(INDEX(MCQ!$A:$K,ROW()-1+1,5),""),IF(ROW()-1&lt;=$L$2+$M$2,IFERROR(INDEX(CLOZE_AB!$A:$K,ROW()-1-$L$2+1,5),""),IF(ROW()-1&lt;=$L$2+$M$2+$N$2,IFERROR(INDEX(CLOZE_LIST!$A:$K,ROW()-1-$L$2-$M$2+1,5),""),IF(ROW()-1&lt;=$L$2+$M$2+$N$2+$O$2,IFERROR(INDEX(PROFORMA!$A:$K,ROW()-1-$L$2-$M$2-$N$2+1,5),""),"")))))</f>
        <v>cloze_list</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143</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t="str">
        <f>IF(ROW()-1&lt;=0,"",IF(ROW()-1&lt;=$L$2,IFERROR(INDEX(MCQ!$A:$K,ROW()-1+1,5),""),IF(ROW()-1&lt;=$L$2+$M$2,IFERROR(INDEX(CLOZE_AB!$A:$K,ROW()-1-$L$2+1,5),""),IF(ROW()-1&lt;=$L$2+$M$2+$N$2,IFERROR(INDEX(CLOZE_LIST!$A:$K,ROW()-1-$L$2-$M$2+1,5),""),IF(ROW()-1&lt;=$L$2+$M$2+$N$2+$O$2,IFERROR(INDEX(PROFORMA!$A:$K,ROW()-1-$L$2-$M$2-$N$2+1,5),""),"")))))</f>
        <v>cloze_list</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143</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t="str">
        <f>IF(ROW()-1&lt;=0,"",IF(ROW()-1&lt;=$L$2,IFERROR(INDEX(MCQ!$A:$K,ROW()-1+1,5),""),IF(ROW()-1&lt;=$L$2+$M$2,IFERROR(INDEX(CLOZE_AB!$A:$K,ROW()-1-$L$2+1,5),""),IF(ROW()-1&lt;=$L$2+$M$2+$N$2,IFERROR(INDEX(CLOZE_LIST!$A:$K,ROW()-1-$L$2-$M$2+1,5),""),IF(ROW()-1&lt;=$L$2+$M$2+$N$2+$O$2,IFERROR(INDEX(PROFORMA!$A:$K,ROW()-1-$L$2-$M$2-$N$2+1,5),""),"")))))</f>
        <v>cloze_list</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143</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t="str">
        <f>IF(ROW()-1&lt;=0,"",IF(ROW()-1&lt;=$L$2,IFERROR(INDEX(MCQ!$A:$K,ROW()-1+1,5),""),IF(ROW()-1&lt;=$L$2+$M$2,IFERROR(INDEX(CLOZE_AB!$A:$K,ROW()-1-$L$2+1,5),""),IF(ROW()-1&lt;=$L$2+$M$2+$N$2,IFERROR(INDEX(CLOZE_LIST!$A:$K,ROW()-1-$L$2-$M$2+1,5),""),IF(ROW()-1&lt;=$L$2+$M$2+$N$2+$O$2,IFERROR(INDEX(PROFORMA!$A:$K,ROW()-1-$L$2-$M$2-$N$2+1,5),""),"")))))</f>
        <v>cloze_list</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143</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t="str">
        <f>IF(ROW()-1&lt;=0,"",IF(ROW()-1&lt;=$L$2,IFERROR(INDEX(MCQ!$A:$K,ROW()-1+1,5),""),IF(ROW()-1&lt;=$L$2+$M$2,IFERROR(INDEX(CLOZE_AB!$A:$K,ROW()-1-$L$2+1,5),""),IF(ROW()-1&lt;=$L$2+$M$2+$N$2,IFERROR(INDEX(CLOZE_LIST!$A:$K,ROW()-1-$L$2-$M$2+1,5),""),IF(ROW()-1&lt;=$L$2+$M$2+$N$2+$O$2,IFERROR(INDEX(PROFORMA!$A:$K,ROW()-1-$L$2-$M$2-$N$2+1,5),""),"")))))</f>
        <v>cloze_list</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143</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t="str">
        <f>IF(ROW()-1&lt;=0,"",IF(ROW()-1&lt;=$L$2,IFERROR(INDEX(MCQ!$A:$K,ROW()-1+1,5),""),IF(ROW()-1&lt;=$L$2+$M$2,IFERROR(INDEX(CLOZE_AB!$A:$K,ROW()-1-$L$2+1,5),""),IF(ROW()-1&lt;=$L$2+$M$2+$N$2,IFERROR(INDEX(CLOZE_LIST!$A:$K,ROW()-1-$L$2-$M$2+1,5),""),IF(ROW()-1&lt;=$L$2+$M$2+$N$2+$O$2,IFERROR(INDEX(PROFORMA!$A:$K,ROW()-1-$L$2-$M$2-$N$2+1,5),""),"")))))</f>
        <v>cloze_list</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143</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t="str">
        <f>IF(ROW()-1&lt;=0,"",IF(ROW()-1&lt;=$L$2,IFERROR(INDEX(MCQ!$A:$K,ROW()-1+1,5),""),IF(ROW()-1&lt;=$L$2+$M$2,IFERROR(INDEX(CLOZE_AB!$A:$K,ROW()-1-$L$2+1,5),""),IF(ROW()-1&lt;=$L$2+$M$2+$N$2,IFERROR(INDEX(CLOZE_LIST!$A:$K,ROW()-1-$L$2-$M$2+1,5),""),IF(ROW()-1&lt;=$L$2+$M$2+$N$2+$O$2,IFERROR(INDEX(PROFORMA!$A:$K,ROW()-1-$L$2-$M$2-$N$2+1,5),""),"")))))</f>
        <v>cloze_list</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143</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t="str">
        <f>IF(ROW()-1&lt;=0,"",IF(ROW()-1&lt;=$L$2,IFERROR(INDEX(MCQ!$A:$K,ROW()-1+1,5),""),IF(ROW()-1&lt;=$L$2+$M$2,IFERROR(INDEX(CLOZE_AB!$A:$K,ROW()-1-$L$2+1,5),""),IF(ROW()-1&lt;=$L$2+$M$2+$N$2,IFERROR(INDEX(CLOZE_LIST!$A:$K,ROW()-1-$L$2-$M$2+1,5),""),IF(ROW()-1&lt;=$L$2+$M$2+$N$2+$O$2,IFERROR(INDEX(PROFORMA!$A:$K,ROW()-1-$L$2-$M$2-$N$2+1,5),""),"")))))</f>
        <v>cloze_list</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143</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t="str">
        <f>IF(ROW()-1&lt;=0,"",IF(ROW()-1&lt;=$L$2,IFERROR(INDEX(MCQ!$A:$K,ROW()-1+1,5),""),IF(ROW()-1&lt;=$L$2+$M$2,IFERROR(INDEX(CLOZE_AB!$A:$K,ROW()-1-$L$2+1,5),""),IF(ROW()-1&lt;=$L$2+$M$2+$N$2,IFERROR(INDEX(CLOZE_LIST!$A:$K,ROW()-1-$L$2-$M$2+1,5),""),IF(ROW()-1&lt;=$L$2+$M$2+$N$2+$O$2,IFERROR(INDEX(PROFORMA!$A:$K,ROW()-1-$L$2-$M$2-$N$2+1,5),""),"")))))</f>
        <v>cloze_list</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143</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t="str">
        <f>IF(ROW()-1&lt;=0,"",IF(ROW()-1&lt;=$L$2,IFERROR(INDEX(MCQ!$A:$K,ROW()-1+1,5),""),IF(ROW()-1&lt;=$L$2+$M$2,IFERROR(INDEX(CLOZE_AB!$A:$K,ROW()-1-$L$2+1,5),""),IF(ROW()-1&lt;=$L$2+$M$2+$N$2,IFERROR(INDEX(CLOZE_LIST!$A:$K,ROW()-1-$L$2-$M$2+1,5),""),IF(ROW()-1&lt;=$L$2+$M$2+$N$2+$O$2,IFERROR(INDEX(PROFORMA!$A:$K,ROW()-1-$L$2-$M$2-$N$2+1,5),""),"")))))</f>
        <v>cloze_list</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143</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t="str">
        <f>IF(ROW()-1&lt;=0,"",IF(ROW()-1&lt;=$L$2,IFERROR(INDEX(MCQ!$A:$K,ROW()-1+1,5),""),IF(ROW()-1&lt;=$L$2+$M$2,IFERROR(INDEX(CLOZE_AB!$A:$K,ROW()-1-$L$2+1,5),""),IF(ROW()-1&lt;=$L$2+$M$2+$N$2,IFERROR(INDEX(CLOZE_LIST!$A:$K,ROW()-1-$L$2-$M$2+1,5),""),IF(ROW()-1&lt;=$L$2+$M$2+$N$2+$O$2,IFERROR(INDEX(PROFORMA!$A:$K,ROW()-1-$L$2-$M$2-$N$2+1,5),""),"")))))</f>
        <v>cloze_list</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143</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t="str">
        <f>IF(ROW()-1&lt;=0,"",IF(ROW()-1&lt;=$L$2,IFERROR(INDEX(MCQ!$A:$K,ROW()-1+1,5),""),IF(ROW()-1&lt;=$L$2+$M$2,IFERROR(INDEX(CLOZE_AB!$A:$K,ROW()-1-$L$2+1,5),""),IF(ROW()-1&lt;=$L$2+$M$2+$N$2,IFERROR(INDEX(CLOZE_LIST!$A:$K,ROW()-1-$L$2-$M$2+1,5),""),IF(ROW()-1&lt;=$L$2+$M$2+$N$2+$O$2,IFERROR(INDEX(PROFORMA!$A:$K,ROW()-1-$L$2-$M$2-$N$2+1,5),""),"")))))</f>
        <v>cloze_list</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143</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t="str">
        <f>IF(ROW()-1&lt;=0,"",IF(ROW()-1&lt;=$L$2,IFERROR(INDEX(MCQ!$A:$K,ROW()-1+1,5),""),IF(ROW()-1&lt;=$L$2+$M$2,IFERROR(INDEX(CLOZE_AB!$A:$K,ROW()-1-$L$2+1,5),""),IF(ROW()-1&lt;=$L$2+$M$2+$N$2,IFERROR(INDEX(CLOZE_LIST!$A:$K,ROW()-1-$L$2-$M$2+1,5),""),IF(ROW()-1&lt;=$L$2+$M$2+$N$2+$O$2,IFERROR(INDEX(PROFORMA!$A:$K,ROW()-1-$L$2-$M$2-$N$2+1,5),""),"")))))</f>
        <v>cloze_list</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143</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t="str">
        <f>IF(ROW()-1&lt;=0,"",IF(ROW()-1&lt;=$L$2,IFERROR(INDEX(MCQ!$A:$K,ROW()-1+1,5),""),IF(ROW()-1&lt;=$L$2+$M$2,IFERROR(INDEX(CLOZE_AB!$A:$K,ROW()-1-$L$2+1,5),""),IF(ROW()-1&lt;=$L$2+$M$2+$N$2,IFERROR(INDEX(CLOZE_LIST!$A:$K,ROW()-1-$L$2-$M$2+1,5),""),IF(ROW()-1&lt;=$L$2+$M$2+$N$2+$O$2,IFERROR(INDEX(PROFORMA!$A:$K,ROW()-1-$L$2-$M$2-$N$2+1,5),""),"")))))</f>
        <v>cloze_list</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143</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t="str">
        <f>IF(ROW()-1&lt;=0,"",IF(ROW()-1&lt;=$L$2,IFERROR(INDEX(MCQ!$A:$K,ROW()-1+1,5),""),IF(ROW()-1&lt;=$L$2+$M$2,IFERROR(INDEX(CLOZE_AB!$A:$K,ROW()-1-$L$2+1,5),""),IF(ROW()-1&lt;=$L$2+$M$2+$N$2,IFERROR(INDEX(CLOZE_LIST!$A:$K,ROW()-1-$L$2-$M$2+1,5),""),IF(ROW()-1&lt;=$L$2+$M$2+$N$2+$O$2,IFERROR(INDEX(PROFORMA!$A:$K,ROW()-1-$L$2-$M$2-$N$2+1,5),""),"")))))</f>
        <v>cloze_list</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143</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t="str">
        <f>IF(ROW()-1&lt;=0,"",IF(ROW()-1&lt;=$L$2,IFERROR(INDEX(MCQ!$A:$K,ROW()-1+1,5),""),IF(ROW()-1&lt;=$L$2+$M$2,IFERROR(INDEX(CLOZE_AB!$A:$K,ROW()-1-$L$2+1,5),""),IF(ROW()-1&lt;=$L$2+$M$2+$N$2,IFERROR(INDEX(CLOZE_LIST!$A:$K,ROW()-1-$L$2-$M$2+1,5),""),IF(ROW()-1&lt;=$L$2+$M$2+$N$2+$O$2,IFERROR(INDEX(PROFORMA!$A:$K,ROW()-1-$L$2-$M$2-$N$2+1,5),""),"")))))</f>
        <v>cloze_list</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143</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t="str">
        <f>IF(ROW()-1&lt;=0,"",IF(ROW()-1&lt;=$L$2,IFERROR(INDEX(MCQ!$A:$K,ROW()-1+1,5),""),IF(ROW()-1&lt;=$L$2+$M$2,IFERROR(INDEX(CLOZE_AB!$A:$K,ROW()-1-$L$2+1,5),""),IF(ROW()-1&lt;=$L$2+$M$2+$N$2,IFERROR(INDEX(CLOZE_LIST!$A:$K,ROW()-1-$L$2-$M$2+1,5),""),IF(ROW()-1&lt;=$L$2+$M$2+$N$2+$O$2,IFERROR(INDEX(PROFORMA!$A:$K,ROW()-1-$L$2-$M$2-$N$2+1,5),""),"")))))</f>
        <v>cloze_list</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143</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t="str">
        <f>IF(ROW()-1&lt;=0,"",IF(ROW()-1&lt;=$L$2,IFERROR(INDEX(MCQ!$A:$K,ROW()-1+1,5),""),IF(ROW()-1&lt;=$L$2+$M$2,IFERROR(INDEX(CLOZE_AB!$A:$K,ROW()-1-$L$2+1,5),""),IF(ROW()-1&lt;=$L$2+$M$2+$N$2,IFERROR(INDEX(CLOZE_LIST!$A:$K,ROW()-1-$L$2-$M$2+1,5),""),IF(ROW()-1&lt;=$L$2+$M$2+$N$2+$O$2,IFERROR(INDEX(PROFORMA!$A:$K,ROW()-1-$L$2-$M$2-$N$2+1,5),""),"")))))</f>
        <v>cloze_list</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143</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t="str">
        <f>IF(ROW()-1&lt;=0,"",IF(ROW()-1&lt;=$L$2,IFERROR(INDEX(MCQ!$A:$K,ROW()-1+1,5),""),IF(ROW()-1&lt;=$L$2+$M$2,IFERROR(INDEX(CLOZE_AB!$A:$K,ROW()-1-$L$2+1,5),""),IF(ROW()-1&lt;=$L$2+$M$2+$N$2,IFERROR(INDEX(CLOZE_LIST!$A:$K,ROW()-1-$L$2-$M$2+1,5),""),IF(ROW()-1&lt;=$L$2+$M$2+$N$2+$O$2,IFERROR(INDEX(PROFORMA!$A:$K,ROW()-1-$L$2-$M$2-$N$2+1,5),""),"")))))</f>
        <v>cloze_list</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143</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t="str">
        <f>IF(ROW()-1&lt;=0,"",IF(ROW()-1&lt;=$L$2,IFERROR(INDEX(MCQ!$A:$K,ROW()-1+1,5),""),IF(ROW()-1&lt;=$L$2+$M$2,IFERROR(INDEX(CLOZE_AB!$A:$K,ROW()-1-$L$2+1,5),""),IF(ROW()-1&lt;=$L$2+$M$2+$N$2,IFERROR(INDEX(CLOZE_LIST!$A:$K,ROW()-1-$L$2-$M$2+1,5),""),IF(ROW()-1&lt;=$L$2+$M$2+$N$2+$O$2,IFERROR(INDEX(PROFORMA!$A:$K,ROW()-1-$L$2-$M$2-$N$2+1,5),""),"")))))</f>
        <v>cloze_list</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143</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t="str">
        <f>IF(ROW()-1&lt;=0,"",IF(ROW()-1&lt;=$L$2,IFERROR(INDEX(MCQ!$A:$K,ROW()-1+1,5),""),IF(ROW()-1&lt;=$L$2+$M$2,IFERROR(INDEX(CLOZE_AB!$A:$K,ROW()-1-$L$2+1,5),""),IF(ROW()-1&lt;=$L$2+$M$2+$N$2,IFERROR(INDEX(CLOZE_LIST!$A:$K,ROW()-1-$L$2-$M$2+1,5),""),IF(ROW()-1&lt;=$L$2+$M$2+$N$2+$O$2,IFERROR(INDEX(PROFORMA!$A:$K,ROW()-1-$L$2-$M$2-$N$2+1,5),""),"")))))</f>
        <v>cloze_list</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143</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t="str">
        <f>IF(ROW()-1&lt;=0,"",IF(ROW()-1&lt;=$L$2,IFERROR(INDEX(MCQ!$A:$K,ROW()-1+1,5),""),IF(ROW()-1&lt;=$L$2+$M$2,IFERROR(INDEX(CLOZE_AB!$A:$K,ROW()-1-$L$2+1,5),""),IF(ROW()-1&lt;=$L$2+$M$2+$N$2,IFERROR(INDEX(CLOZE_LIST!$A:$K,ROW()-1-$L$2-$M$2+1,5),""),IF(ROW()-1&lt;=$L$2+$M$2+$N$2+$O$2,IFERROR(INDEX(PROFORMA!$A:$K,ROW()-1-$L$2-$M$2-$N$2+1,5),""),"")))))</f>
        <v>cloze_list</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143</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t="str">
        <f>IF(ROW()-1&lt;=0,"",IF(ROW()-1&lt;=$L$2,IFERROR(INDEX(MCQ!$A:$K,ROW()-1+1,5),""),IF(ROW()-1&lt;=$L$2+$M$2,IFERROR(INDEX(CLOZE_AB!$A:$K,ROW()-1-$L$2+1,5),""),IF(ROW()-1&lt;=$L$2+$M$2+$N$2,IFERROR(INDEX(CLOZE_LIST!$A:$K,ROW()-1-$L$2-$M$2+1,5),""),IF(ROW()-1&lt;=$L$2+$M$2+$N$2+$O$2,IFERROR(INDEX(PROFORMA!$A:$K,ROW()-1-$L$2-$M$2-$N$2+1,5),""),"")))))</f>
        <v>cloze_list</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143</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t="str">
        <f>IF(ROW()-1&lt;=0,"",IF(ROW()-1&lt;=$L$2,IFERROR(INDEX(MCQ!$A:$K,ROW()-1+1,5),""),IF(ROW()-1&lt;=$L$2+$M$2,IFERROR(INDEX(CLOZE_AB!$A:$K,ROW()-1-$L$2+1,5),""),IF(ROW()-1&lt;=$L$2+$M$2+$N$2,IFERROR(INDEX(CLOZE_LIST!$A:$K,ROW()-1-$L$2-$M$2+1,5),""),IF(ROW()-1&lt;=$L$2+$M$2+$N$2+$O$2,IFERROR(INDEX(PROFORMA!$A:$K,ROW()-1-$L$2-$M$2-$N$2+1,5),""),"")))))</f>
        <v>cloze_list</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143</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t="str">
        <f>IF(ROW()-1&lt;=0,"",IF(ROW()-1&lt;=$L$2,IFERROR(INDEX(MCQ!$A:$K,ROW()-1+1,5),""),IF(ROW()-1&lt;=$L$2+$M$2,IFERROR(INDEX(CLOZE_AB!$A:$K,ROW()-1-$L$2+1,5),""),IF(ROW()-1&lt;=$L$2+$M$2+$N$2,IFERROR(INDEX(CLOZE_LIST!$A:$K,ROW()-1-$L$2-$M$2+1,5),""),IF(ROW()-1&lt;=$L$2+$M$2+$N$2+$O$2,IFERROR(INDEX(PROFORMA!$A:$K,ROW()-1-$L$2-$M$2-$N$2+1,5),""),"")))))</f>
        <v>cloze_list</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143</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t="str">
        <f>IF(ROW()-1&lt;=0,"",IF(ROW()-1&lt;=$L$2,IFERROR(INDEX(MCQ!$A:$K,ROW()-1+1,5),""),IF(ROW()-1&lt;=$L$2+$M$2,IFERROR(INDEX(CLOZE_AB!$A:$K,ROW()-1-$L$2+1,5),""),IF(ROW()-1&lt;=$L$2+$M$2+$N$2,IFERROR(INDEX(CLOZE_LIST!$A:$K,ROW()-1-$L$2-$M$2+1,5),""),IF(ROW()-1&lt;=$L$2+$M$2+$N$2+$O$2,IFERROR(INDEX(PROFORMA!$A:$K,ROW()-1-$L$2-$M$2-$N$2+1,5),""),"")))))</f>
        <v>cloze_list</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143</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t="str">
        <f>IF(ROW()-1&lt;=0,"",IF(ROW()-1&lt;=$L$2,IFERROR(INDEX(MCQ!$A:$K,ROW()-1+1,5),""),IF(ROW()-1&lt;=$L$2+$M$2,IFERROR(INDEX(CLOZE_AB!$A:$K,ROW()-1-$L$2+1,5),""),IF(ROW()-1&lt;=$L$2+$M$2+$N$2,IFERROR(INDEX(CLOZE_LIST!$A:$K,ROW()-1-$L$2-$M$2+1,5),""),IF(ROW()-1&lt;=$L$2+$M$2+$N$2+$O$2,IFERROR(INDEX(PROFORMA!$A:$K,ROW()-1-$L$2-$M$2-$N$2+1,5),""),"")))))</f>
        <v>cloze_list</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143</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t="str">
        <f>IF(ROW()-1&lt;=0,"",IF(ROW()-1&lt;=$L$2,IFERROR(INDEX(MCQ!$A:$K,ROW()-1+1,5),""),IF(ROW()-1&lt;=$L$2+$M$2,IFERROR(INDEX(CLOZE_AB!$A:$K,ROW()-1-$L$2+1,5),""),IF(ROW()-1&lt;=$L$2+$M$2+$N$2,IFERROR(INDEX(CLOZE_LIST!$A:$K,ROW()-1-$L$2-$M$2+1,5),""),IF(ROW()-1&lt;=$L$2+$M$2+$N$2+$O$2,IFERROR(INDEX(PROFORMA!$A:$K,ROW()-1-$L$2-$M$2-$N$2+1,5),""),"")))))</f>
        <v>cloze_list</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143</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t="str">
        <f>IF(ROW()-1&lt;=0,"",IF(ROW()-1&lt;=$L$2,IFERROR(INDEX(MCQ!$A:$K,ROW()-1+1,5),""),IF(ROW()-1&lt;=$L$2+$M$2,IFERROR(INDEX(CLOZE_AB!$A:$K,ROW()-1-$L$2+1,5),""),IF(ROW()-1&lt;=$L$2+$M$2+$N$2,IFERROR(INDEX(CLOZE_LIST!$A:$K,ROW()-1-$L$2-$M$2+1,5),""),IF(ROW()-1&lt;=$L$2+$M$2+$N$2+$O$2,IFERROR(INDEX(PROFORMA!$A:$K,ROW()-1-$L$2-$M$2-$N$2+1,5),""),"")))))</f>
        <v>cloze_list</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143</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t="str">
        <f>IF(ROW()-1&lt;=0,"",IF(ROW()-1&lt;=$L$2,IFERROR(INDEX(MCQ!$A:$K,ROW()-1+1,5),""),IF(ROW()-1&lt;=$L$2+$M$2,IFERROR(INDEX(CLOZE_AB!$A:$K,ROW()-1-$L$2+1,5),""),IF(ROW()-1&lt;=$L$2+$M$2+$N$2,IFERROR(INDEX(CLOZE_LIST!$A:$K,ROW()-1-$L$2-$M$2+1,5),""),IF(ROW()-1&lt;=$L$2+$M$2+$N$2+$O$2,IFERROR(INDEX(PROFORMA!$A:$K,ROW()-1-$L$2-$M$2-$N$2+1,5),""),"")))))</f>
        <v>cloze_list</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143</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t="str">
        <f>IF(ROW()-1&lt;=0,"",IF(ROW()-1&lt;=$L$2,IFERROR(INDEX(MCQ!$A:$K,ROW()-1+1,5),""),IF(ROW()-1&lt;=$L$2+$M$2,IFERROR(INDEX(CLOZE_AB!$A:$K,ROW()-1-$L$2+1,5),""),IF(ROW()-1&lt;=$L$2+$M$2+$N$2,IFERROR(INDEX(CLOZE_LIST!$A:$K,ROW()-1-$L$2-$M$2+1,5),""),IF(ROW()-1&lt;=$L$2+$M$2+$N$2+$O$2,IFERROR(INDEX(PROFORMA!$A:$K,ROW()-1-$L$2-$M$2-$N$2+1,5),""),"")))))</f>
        <v>cloze_list</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143</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t="str">
        <f>IF(ROW()-1&lt;=0,"",IF(ROW()-1&lt;=$L$2,IFERROR(INDEX(MCQ!$A:$K,ROW()-1+1,5),""),IF(ROW()-1&lt;=$L$2+$M$2,IFERROR(INDEX(CLOZE_AB!$A:$K,ROW()-1-$L$2+1,5),""),IF(ROW()-1&lt;=$L$2+$M$2+$N$2,IFERROR(INDEX(CLOZE_LIST!$A:$K,ROW()-1-$L$2-$M$2+1,5),""),IF(ROW()-1&lt;=$L$2+$M$2+$N$2+$O$2,IFERROR(INDEX(PROFORMA!$A:$K,ROW()-1-$L$2-$M$2-$N$2+1,5),""),"")))))</f>
        <v>cloze_list</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143</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t="str">
        <f>IF(ROW()-1&lt;=0,"",IF(ROW()-1&lt;=$L$2,IFERROR(INDEX(MCQ!$A:$K,ROW()-1+1,5),""),IF(ROW()-1&lt;=$L$2+$M$2,IFERROR(INDEX(CLOZE_AB!$A:$K,ROW()-1-$L$2+1,5),""),IF(ROW()-1&lt;=$L$2+$M$2+$N$2,IFERROR(INDEX(CLOZE_LIST!$A:$K,ROW()-1-$L$2-$M$2+1,5),""),IF(ROW()-1&lt;=$L$2+$M$2+$N$2+$O$2,IFERROR(INDEX(PROFORMA!$A:$K,ROW()-1-$L$2-$M$2-$N$2+1,5),""),"")))))</f>
        <v>cloze_list</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143</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t="str">
        <f>IF(ROW()-1&lt;=0,"",IF(ROW()-1&lt;=$L$2,IFERROR(INDEX(MCQ!$A:$K,ROW()-1+1,5),""),IF(ROW()-1&lt;=$L$2+$M$2,IFERROR(INDEX(CLOZE_AB!$A:$K,ROW()-1-$L$2+1,5),""),IF(ROW()-1&lt;=$L$2+$M$2+$N$2,IFERROR(INDEX(CLOZE_LIST!$A:$K,ROW()-1-$L$2-$M$2+1,5),""),IF(ROW()-1&lt;=$L$2+$M$2+$N$2+$O$2,IFERROR(INDEX(PROFORMA!$A:$K,ROW()-1-$L$2-$M$2-$N$2+1,5),""),"")))))</f>
        <v>cloze_list</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143</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t="str">
        <f>IF(ROW()-1&lt;=0,"",IF(ROW()-1&lt;=$L$2,IFERROR(INDEX(MCQ!$A:$K,ROW()-1+1,5),""),IF(ROW()-1&lt;=$L$2+$M$2,IFERROR(INDEX(CLOZE_AB!$A:$K,ROW()-1-$L$2+1,5),""),IF(ROW()-1&lt;=$L$2+$M$2+$N$2,IFERROR(INDEX(CLOZE_LIST!$A:$K,ROW()-1-$L$2-$M$2+1,5),""),IF(ROW()-1&lt;=$L$2+$M$2+$N$2+$O$2,IFERROR(INDEX(PROFORMA!$A:$K,ROW()-1-$L$2-$M$2-$N$2+1,5),""),"")))))</f>
        <v>cloze_list</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143</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t="str">
        <f>IF(ROW()-1&lt;=0,"",IF(ROW()-1&lt;=$L$2,IFERROR(INDEX(MCQ!$A:$K,ROW()-1+1,5),""),IF(ROW()-1&lt;=$L$2+$M$2,IFERROR(INDEX(CLOZE_AB!$A:$K,ROW()-1-$L$2+1,5),""),IF(ROW()-1&lt;=$L$2+$M$2+$N$2,IFERROR(INDEX(CLOZE_LIST!$A:$K,ROW()-1-$L$2-$M$2+1,5),""),IF(ROW()-1&lt;=$L$2+$M$2+$N$2+$O$2,IFERROR(INDEX(PROFORMA!$A:$K,ROW()-1-$L$2-$M$2-$N$2+1,5),""),"")))))</f>
        <v>cloze_list</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143</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t="str">
        <f>IF(ROW()-1&lt;=0,"",IF(ROW()-1&lt;=$L$2,IFERROR(INDEX(MCQ!$A:$K,ROW()-1+1,5),""),IF(ROW()-1&lt;=$L$2+$M$2,IFERROR(INDEX(CLOZE_AB!$A:$K,ROW()-1-$L$2+1,5),""),IF(ROW()-1&lt;=$L$2+$M$2+$N$2,IFERROR(INDEX(CLOZE_LIST!$A:$K,ROW()-1-$L$2-$M$2+1,5),""),IF(ROW()-1&lt;=$L$2+$M$2+$N$2+$O$2,IFERROR(INDEX(PROFORMA!$A:$K,ROW()-1-$L$2-$M$2-$N$2+1,5),""),"")))))</f>
        <v>cloze_list</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143</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t="str">
        <f>IF(ROW()-1&lt;=0,"",IF(ROW()-1&lt;=$L$2,IFERROR(INDEX(MCQ!$A:$K,ROW()-1+1,5),""),IF(ROW()-1&lt;=$L$2+$M$2,IFERROR(INDEX(CLOZE_AB!$A:$K,ROW()-1-$L$2+1,5),""),IF(ROW()-1&lt;=$L$2+$M$2+$N$2,IFERROR(INDEX(CLOZE_LIST!$A:$K,ROW()-1-$L$2-$M$2+1,5),""),IF(ROW()-1&lt;=$L$2+$M$2+$N$2+$O$2,IFERROR(INDEX(PROFORMA!$A:$K,ROW()-1-$L$2-$M$2-$N$2+1,5),""),"")))))</f>
        <v>cloze_list</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143</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t="str">
        <f>IF(ROW()-1&lt;=0,"",IF(ROW()-1&lt;=$L$2,IFERROR(INDEX(MCQ!$A:$K,ROW()-1+1,5),""),IF(ROW()-1&lt;=$L$2+$M$2,IFERROR(INDEX(CLOZE_AB!$A:$K,ROW()-1-$L$2+1,5),""),IF(ROW()-1&lt;=$L$2+$M$2+$N$2,IFERROR(INDEX(CLOZE_LIST!$A:$K,ROW()-1-$L$2-$M$2+1,5),""),IF(ROW()-1&lt;=$L$2+$M$2+$N$2+$O$2,IFERROR(INDEX(PROFORMA!$A:$K,ROW()-1-$L$2-$M$2-$N$2+1,5),""),"")))))</f>
        <v>cloze_list</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143</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t="str">
        <f>IF(ROW()-1&lt;=0,"",IF(ROW()-1&lt;=$L$2,IFERROR(INDEX(MCQ!$A:$K,ROW()-1+1,5),""),IF(ROW()-1&lt;=$L$2+$M$2,IFERROR(INDEX(CLOZE_AB!$A:$K,ROW()-1-$L$2+1,5),""),IF(ROW()-1&lt;=$L$2+$M$2+$N$2,IFERROR(INDEX(CLOZE_LIST!$A:$K,ROW()-1-$L$2-$M$2+1,5),""),IF(ROW()-1&lt;=$L$2+$M$2+$N$2+$O$2,IFERROR(INDEX(PROFORMA!$A:$K,ROW()-1-$L$2-$M$2-$N$2+1,5),""),"")))))</f>
        <v>cloze_list</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143</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t="str">
        <f>IF(ROW()-1&lt;=0,"",IF(ROW()-1&lt;=$L$2,IFERROR(INDEX(MCQ!$A:$K,ROW()-1+1,5),""),IF(ROW()-1&lt;=$L$2+$M$2,IFERROR(INDEX(CLOZE_AB!$A:$K,ROW()-1-$L$2+1,5),""),IF(ROW()-1&lt;=$L$2+$M$2+$N$2,IFERROR(INDEX(CLOZE_LIST!$A:$K,ROW()-1-$L$2-$M$2+1,5),""),IF(ROW()-1&lt;=$L$2+$M$2+$N$2+$O$2,IFERROR(INDEX(PROFORMA!$A:$K,ROW()-1-$L$2-$M$2-$N$2+1,5),""),"")))))</f>
        <v>cloze_list</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143</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t="str">
        <f>IF(ROW()-1&lt;=0,"",IF(ROW()-1&lt;=$L$2,IFERROR(INDEX(MCQ!$A:$K,ROW()-1+1,5),""),IF(ROW()-1&lt;=$L$2+$M$2,IFERROR(INDEX(CLOZE_AB!$A:$K,ROW()-1-$L$2+1,5),""),IF(ROW()-1&lt;=$L$2+$M$2+$N$2,IFERROR(INDEX(CLOZE_LIST!$A:$K,ROW()-1-$L$2-$M$2+1,5),""),IF(ROW()-1&lt;=$L$2+$M$2+$N$2+$O$2,IFERROR(INDEX(PROFORMA!$A:$K,ROW()-1-$L$2-$M$2-$N$2+1,5),""),"")))))</f>
        <v>cloze_list</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143</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t="str">
        <f>IF(ROW()-1&lt;=0,"",IF(ROW()-1&lt;=$L$2,IFERROR(INDEX(MCQ!$A:$K,ROW()-1+1,5),""),IF(ROW()-1&lt;=$L$2+$M$2,IFERROR(INDEX(CLOZE_AB!$A:$K,ROW()-1-$L$2+1,5),""),IF(ROW()-1&lt;=$L$2+$M$2+$N$2,IFERROR(INDEX(CLOZE_LIST!$A:$K,ROW()-1-$L$2-$M$2+1,5),""),IF(ROW()-1&lt;=$L$2+$M$2+$N$2+$O$2,IFERROR(INDEX(PROFORMA!$A:$K,ROW()-1-$L$2-$M$2-$N$2+1,5),""),"")))))</f>
        <v>cloze_list</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143</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t="str">
        <f>IF(ROW()-1&lt;=0,"",IF(ROW()-1&lt;=$L$2,IFERROR(INDEX(MCQ!$A:$K,ROW()-1+1,5),""),IF(ROW()-1&lt;=$L$2+$M$2,IFERROR(INDEX(CLOZE_AB!$A:$K,ROW()-1-$L$2+1,5),""),IF(ROW()-1&lt;=$L$2+$M$2+$N$2,IFERROR(INDEX(CLOZE_LIST!$A:$K,ROW()-1-$L$2-$M$2+1,5),""),IF(ROW()-1&lt;=$L$2+$M$2+$N$2+$O$2,IFERROR(INDEX(PROFORMA!$A:$K,ROW()-1-$L$2-$M$2-$N$2+1,5),""),"")))))</f>
        <v>cloze_list</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143</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t="str">
        <f>IF(ROW()-1&lt;=0,"",IF(ROW()-1&lt;=$L$2,IFERROR(INDEX(MCQ!$A:$K,ROW()-1+1,5),""),IF(ROW()-1&lt;=$L$2+$M$2,IFERROR(INDEX(CLOZE_AB!$A:$K,ROW()-1-$L$2+1,5),""),IF(ROW()-1&lt;=$L$2+$M$2+$N$2,IFERROR(INDEX(CLOZE_LIST!$A:$K,ROW()-1-$L$2-$M$2+1,5),""),IF(ROW()-1&lt;=$L$2+$M$2+$N$2+$O$2,IFERROR(INDEX(PROFORMA!$A:$K,ROW()-1-$L$2-$M$2-$N$2+1,5),""),"")))))</f>
        <v>cloze_list</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143</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t="str">
        <f>IF(ROW()-1&lt;=0,"",IF(ROW()-1&lt;=$L$2,IFERROR(INDEX(MCQ!$A:$K,ROW()-1+1,5),""),IF(ROW()-1&lt;=$L$2+$M$2,IFERROR(INDEX(CLOZE_AB!$A:$K,ROW()-1-$L$2+1,5),""),IF(ROW()-1&lt;=$L$2+$M$2+$N$2,IFERROR(INDEX(CLOZE_LIST!$A:$K,ROW()-1-$L$2-$M$2+1,5),""),IF(ROW()-1&lt;=$L$2+$M$2+$N$2+$O$2,IFERROR(INDEX(PROFORMA!$A:$K,ROW()-1-$L$2-$M$2-$N$2+1,5),""),"")))))</f>
        <v>cloze_list</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143</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t="str">
        <f>IF(ROW()-1&lt;=0,"",IF(ROW()-1&lt;=$L$2,IFERROR(INDEX(MCQ!$A:$K,ROW()-1+1,5),""),IF(ROW()-1&lt;=$L$2+$M$2,IFERROR(INDEX(CLOZE_AB!$A:$K,ROW()-1-$L$2+1,5),""),IF(ROW()-1&lt;=$L$2+$M$2+$N$2,IFERROR(INDEX(CLOZE_LIST!$A:$K,ROW()-1-$L$2-$M$2+1,5),""),IF(ROW()-1&lt;=$L$2+$M$2+$N$2+$O$2,IFERROR(INDEX(PROFORMA!$A:$K,ROW()-1-$L$2-$M$2-$N$2+1,5),""),"")))))</f>
        <v>cloze_list</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143</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t="str">
        <f>IF(ROW()-1&lt;=0,"",IF(ROW()-1&lt;=$L$2,IFERROR(INDEX(MCQ!$A:$K,ROW()-1+1,5),""),IF(ROW()-1&lt;=$L$2+$M$2,IFERROR(INDEX(CLOZE_AB!$A:$K,ROW()-1-$L$2+1,5),""),IF(ROW()-1&lt;=$L$2+$M$2+$N$2,IFERROR(INDEX(CLOZE_LIST!$A:$K,ROW()-1-$L$2-$M$2+1,5),""),IF(ROW()-1&lt;=$L$2+$M$2+$N$2+$O$2,IFERROR(INDEX(PROFORMA!$A:$K,ROW()-1-$L$2-$M$2-$N$2+1,5),""),"")))))</f>
        <v>cloze_list</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143</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t="str">
        <f>IF(ROW()-1&lt;=0,"",IF(ROW()-1&lt;=$L$2,IFERROR(INDEX(MCQ!$A:$K,ROW()-1+1,5),""),IF(ROW()-1&lt;=$L$2+$M$2,IFERROR(INDEX(CLOZE_AB!$A:$K,ROW()-1-$L$2+1,5),""),IF(ROW()-1&lt;=$L$2+$M$2+$N$2,IFERROR(INDEX(CLOZE_LIST!$A:$K,ROW()-1-$L$2-$M$2+1,5),""),IF(ROW()-1&lt;=$L$2+$M$2+$N$2+$O$2,IFERROR(INDEX(PROFORMA!$A:$K,ROW()-1-$L$2-$M$2-$N$2+1,5),""),"")))))</f>
        <v>cloze_list</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143</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t="str">
        <f>IF(ROW()-1&lt;=0,"",IF(ROW()-1&lt;=$L$2,IFERROR(INDEX(MCQ!$A:$K,ROW()-1+1,5),""),IF(ROW()-1&lt;=$L$2+$M$2,IFERROR(INDEX(CLOZE_AB!$A:$K,ROW()-1-$L$2+1,5),""),IF(ROW()-1&lt;=$L$2+$M$2+$N$2,IFERROR(INDEX(CLOZE_LIST!$A:$K,ROW()-1-$L$2-$M$2+1,5),""),IF(ROW()-1&lt;=$L$2+$M$2+$N$2+$O$2,IFERROR(INDEX(PROFORMA!$A:$K,ROW()-1-$L$2-$M$2-$N$2+1,5),""),"")))))</f>
        <v>cloze_list</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143</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t="str">
        <f>IF(ROW()-1&lt;=0,"",IF(ROW()-1&lt;=$L$2,IFERROR(INDEX(MCQ!$A:$K,ROW()-1+1,5),""),IF(ROW()-1&lt;=$L$2+$M$2,IFERROR(INDEX(CLOZE_AB!$A:$K,ROW()-1-$L$2+1,5),""),IF(ROW()-1&lt;=$L$2+$M$2+$N$2,IFERROR(INDEX(CLOZE_LIST!$A:$K,ROW()-1-$L$2-$M$2+1,5),""),IF(ROW()-1&lt;=$L$2+$M$2+$N$2+$O$2,IFERROR(INDEX(PROFORMA!$A:$K,ROW()-1-$L$2-$M$2-$N$2+1,5),""),"")))))</f>
        <v>cloze_list</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143</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t="str">
        <f>IF(ROW()-1&lt;=0,"",IF(ROW()-1&lt;=$L$2,IFERROR(INDEX(MCQ!$A:$K,ROW()-1+1,5),""),IF(ROW()-1&lt;=$L$2+$M$2,IFERROR(INDEX(CLOZE_AB!$A:$K,ROW()-1-$L$2+1,5),""),IF(ROW()-1&lt;=$L$2+$M$2+$N$2,IFERROR(INDEX(CLOZE_LIST!$A:$K,ROW()-1-$L$2-$M$2+1,5),""),IF(ROW()-1&lt;=$L$2+$M$2+$N$2+$O$2,IFERROR(INDEX(PROFORMA!$A:$K,ROW()-1-$L$2-$M$2-$N$2+1,5),""),"")))))</f>
        <v>cloze_list</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143</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t="str">
        <f>IF(ROW()-1&lt;=0,"",IF(ROW()-1&lt;=$L$2,IFERROR(INDEX(MCQ!$A:$K,ROW()-1+1,5),""),IF(ROW()-1&lt;=$L$2+$M$2,IFERROR(INDEX(CLOZE_AB!$A:$K,ROW()-1-$L$2+1,5),""),IF(ROW()-1&lt;=$L$2+$M$2+$N$2,IFERROR(INDEX(CLOZE_LIST!$A:$K,ROW()-1-$L$2-$M$2+1,5),""),IF(ROW()-1&lt;=$L$2+$M$2+$N$2+$O$2,IFERROR(INDEX(PROFORMA!$A:$K,ROW()-1-$L$2-$M$2-$N$2+1,5),""),"")))))</f>
        <v>cloze_list</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143</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t="str">
        <f>IF(ROW()-1&lt;=0,"",IF(ROW()-1&lt;=$L$2,IFERROR(INDEX(MCQ!$A:$K,ROW()-1+1,5),""),IF(ROW()-1&lt;=$L$2+$M$2,IFERROR(INDEX(CLOZE_AB!$A:$K,ROW()-1-$L$2+1,5),""),IF(ROW()-1&lt;=$L$2+$M$2+$N$2,IFERROR(INDEX(CLOZE_LIST!$A:$K,ROW()-1-$L$2-$M$2+1,5),""),IF(ROW()-1&lt;=$L$2+$M$2+$N$2+$O$2,IFERROR(INDEX(PROFORMA!$A:$K,ROW()-1-$L$2-$M$2-$N$2+1,5),""),"")))))</f>
        <v>cloze_list</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143</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t="str">
        <f>IF(ROW()-1&lt;=0,"",IF(ROW()-1&lt;=$L$2,IFERROR(INDEX(MCQ!$A:$K,ROW()-1+1,5),""),IF(ROW()-1&lt;=$L$2+$M$2,IFERROR(INDEX(CLOZE_AB!$A:$K,ROW()-1-$L$2+1,5),""),IF(ROW()-1&lt;=$L$2+$M$2+$N$2,IFERROR(INDEX(CLOZE_LIST!$A:$K,ROW()-1-$L$2-$M$2+1,5),""),IF(ROW()-1&lt;=$L$2+$M$2+$N$2+$O$2,IFERROR(INDEX(PROFORMA!$A:$K,ROW()-1-$L$2-$M$2-$N$2+1,5),""),"")))))</f>
        <v>cloze_list</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143</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t="str">
        <f>IF(ROW()-1&lt;=0,"",IF(ROW()-1&lt;=$L$2,IFERROR(INDEX(MCQ!$A:$K,ROW()-1+1,5),""),IF(ROW()-1&lt;=$L$2+$M$2,IFERROR(INDEX(CLOZE_AB!$A:$K,ROW()-1-$L$2+1,5),""),IF(ROW()-1&lt;=$L$2+$M$2+$N$2,IFERROR(INDEX(CLOZE_LIST!$A:$K,ROW()-1-$L$2-$M$2+1,5),""),IF(ROW()-1&lt;=$L$2+$M$2+$N$2+$O$2,IFERROR(INDEX(PROFORMA!$A:$K,ROW()-1-$L$2-$M$2-$N$2+1,5),""),"")))))</f>
        <v>cloze_list</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143</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t="str">
        <f>IF(ROW()-1&lt;=0,"",IF(ROW()-1&lt;=$L$2,IFERROR(INDEX(MCQ!$A:$K,ROW()-1+1,5),""),IF(ROW()-1&lt;=$L$2+$M$2,IFERROR(INDEX(CLOZE_AB!$A:$K,ROW()-1-$L$2+1,5),""),IF(ROW()-1&lt;=$L$2+$M$2+$N$2,IFERROR(INDEX(CLOZE_LIST!$A:$K,ROW()-1-$L$2-$M$2+1,5),""),IF(ROW()-1&lt;=$L$2+$M$2+$N$2+$O$2,IFERROR(INDEX(PROFORMA!$A:$K,ROW()-1-$L$2-$M$2-$N$2+1,5),""),"")))))</f>
        <v>cloze_list</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143</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t="str">
        <f>IF(ROW()-1&lt;=0,"",IF(ROW()-1&lt;=$L$2,IFERROR(INDEX(MCQ!$A:$K,ROW()-1+1,5),""),IF(ROW()-1&lt;=$L$2+$M$2,IFERROR(INDEX(CLOZE_AB!$A:$K,ROW()-1-$L$2+1,5),""),IF(ROW()-1&lt;=$L$2+$M$2+$N$2,IFERROR(INDEX(CLOZE_LIST!$A:$K,ROW()-1-$L$2-$M$2+1,5),""),IF(ROW()-1&lt;=$L$2+$M$2+$N$2+$O$2,IFERROR(INDEX(PROFORMA!$A:$K,ROW()-1-$L$2-$M$2-$N$2+1,5),""),"")))))</f>
        <v>cloze_list</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143</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t="str">
        <f>IF(ROW()-1&lt;=0,"",IF(ROW()-1&lt;=$L$2,IFERROR(INDEX(MCQ!$A:$K,ROW()-1+1,5),""),IF(ROW()-1&lt;=$L$2+$M$2,IFERROR(INDEX(CLOZE_AB!$A:$K,ROW()-1-$L$2+1,5),""),IF(ROW()-1&lt;=$L$2+$M$2+$N$2,IFERROR(INDEX(CLOZE_LIST!$A:$K,ROW()-1-$L$2-$M$2+1,5),""),IF(ROW()-1&lt;=$L$2+$M$2+$N$2+$O$2,IFERROR(INDEX(PROFORMA!$A:$K,ROW()-1-$L$2-$M$2-$N$2+1,5),""),"")))))</f>
        <v>cloze_list</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143</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t="str">
        <f>IF(ROW()-1&lt;=0,"",IF(ROW()-1&lt;=$L$2,IFERROR(INDEX(MCQ!$A:$K,ROW()-1+1,5),""),IF(ROW()-1&lt;=$L$2+$M$2,IFERROR(INDEX(CLOZE_AB!$A:$K,ROW()-1-$L$2+1,5),""),IF(ROW()-1&lt;=$L$2+$M$2+$N$2,IFERROR(INDEX(CLOZE_LIST!$A:$K,ROW()-1-$L$2-$M$2+1,5),""),IF(ROW()-1&lt;=$L$2+$M$2+$N$2+$O$2,IFERROR(INDEX(PROFORMA!$A:$K,ROW()-1-$L$2-$M$2-$N$2+1,5),""),"")))))</f>
        <v>cloze_list</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143</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t="str">
        <f>IF(ROW()-1&lt;=0,"",IF(ROW()-1&lt;=$L$2,IFERROR(INDEX(MCQ!$A:$K,ROW()-1+1,5),""),IF(ROW()-1&lt;=$L$2+$M$2,IFERROR(INDEX(CLOZE_AB!$A:$K,ROW()-1-$L$2+1,5),""),IF(ROW()-1&lt;=$L$2+$M$2+$N$2,IFERROR(INDEX(CLOZE_LIST!$A:$K,ROW()-1-$L$2-$M$2+1,5),""),IF(ROW()-1&lt;=$L$2+$M$2+$N$2+$O$2,IFERROR(INDEX(PROFORMA!$A:$K,ROW()-1-$L$2-$M$2-$N$2+1,5),""),"")))))</f>
        <v>cloze_list</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143</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t="str">
        <f>IF(ROW()-1&lt;=0,"",IF(ROW()-1&lt;=$L$2,IFERROR(INDEX(MCQ!$A:$K,ROW()-1+1,5),""),IF(ROW()-1&lt;=$L$2+$M$2,IFERROR(INDEX(CLOZE_AB!$A:$K,ROW()-1-$L$2+1,5),""),IF(ROW()-1&lt;=$L$2+$M$2+$N$2,IFERROR(INDEX(CLOZE_LIST!$A:$K,ROW()-1-$L$2-$M$2+1,5),""),IF(ROW()-1&lt;=$L$2+$M$2+$N$2+$O$2,IFERROR(INDEX(PROFORMA!$A:$K,ROW()-1-$L$2-$M$2-$N$2+1,5),""),"")))))</f>
        <v>cloze_list</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143</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t="str">
        <f>IF(ROW()-1&lt;=0,"",IF(ROW()-1&lt;=$L$2,IFERROR(INDEX(MCQ!$A:$K,ROW()-1+1,5),""),IF(ROW()-1&lt;=$L$2+$M$2,IFERROR(INDEX(CLOZE_AB!$A:$K,ROW()-1-$L$2+1,5),""),IF(ROW()-1&lt;=$L$2+$M$2+$N$2,IFERROR(INDEX(CLOZE_LIST!$A:$K,ROW()-1-$L$2-$M$2+1,5),""),IF(ROW()-1&lt;=$L$2+$M$2+$N$2+$O$2,IFERROR(INDEX(PROFORMA!$A:$K,ROW()-1-$L$2-$M$2-$N$2+1,5),""),"")))))</f>
        <v>cloze_list</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143</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t="str">
        <f>IF(ROW()-1&lt;=0,"",IF(ROW()-1&lt;=$L$2,IFERROR(INDEX(MCQ!$A:$K,ROW()-1+1,5),""),IF(ROW()-1&lt;=$L$2+$M$2,IFERROR(INDEX(CLOZE_AB!$A:$K,ROW()-1-$L$2+1,5),""),IF(ROW()-1&lt;=$L$2+$M$2+$N$2,IFERROR(INDEX(CLOZE_LIST!$A:$K,ROW()-1-$L$2-$M$2+1,5),""),IF(ROW()-1&lt;=$L$2+$M$2+$N$2+$O$2,IFERROR(INDEX(PROFORMA!$A:$K,ROW()-1-$L$2-$M$2-$N$2+1,5),""),"")))))</f>
        <v>cloze_list</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143</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t="str">
        <f>IF(ROW()-1&lt;=0,"",IF(ROW()-1&lt;=$L$2,IFERROR(INDEX(MCQ!$A:$K,ROW()-1+1,5),""),IF(ROW()-1&lt;=$L$2+$M$2,IFERROR(INDEX(CLOZE_AB!$A:$K,ROW()-1-$L$2+1,5),""),IF(ROW()-1&lt;=$L$2+$M$2+$N$2,IFERROR(INDEX(CLOZE_LIST!$A:$K,ROW()-1-$L$2-$M$2+1,5),""),IF(ROW()-1&lt;=$L$2+$M$2+$N$2+$O$2,IFERROR(INDEX(PROFORMA!$A:$K,ROW()-1-$L$2-$M$2-$N$2+1,5),""),"")))))</f>
        <v>cloze_list</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143</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t="str">
        <f>IF(ROW()-1&lt;=0,"",IF(ROW()-1&lt;=$L$2,IFERROR(INDEX(MCQ!$A:$K,ROW()-1+1,5),""),IF(ROW()-1&lt;=$L$2+$M$2,IFERROR(INDEX(CLOZE_AB!$A:$K,ROW()-1-$L$2+1,5),""),IF(ROW()-1&lt;=$L$2+$M$2+$N$2,IFERROR(INDEX(CLOZE_LIST!$A:$K,ROW()-1-$L$2-$M$2+1,5),""),IF(ROW()-1&lt;=$L$2+$M$2+$N$2+$O$2,IFERROR(INDEX(PROFORMA!$A:$K,ROW()-1-$L$2-$M$2-$N$2+1,5),""),"")))))</f>
        <v>cloze_list</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143</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t="str">
        <f>IF(ROW()-1&lt;=0,"",IF(ROW()-1&lt;=$L$2,IFERROR(INDEX(MCQ!$A:$K,ROW()-1+1,5),""),IF(ROW()-1&lt;=$L$2+$M$2,IFERROR(INDEX(CLOZE_AB!$A:$K,ROW()-1-$L$2+1,5),""),IF(ROW()-1&lt;=$L$2+$M$2+$N$2,IFERROR(INDEX(CLOZE_LIST!$A:$K,ROW()-1-$L$2-$M$2+1,5),""),IF(ROW()-1&lt;=$L$2+$M$2+$N$2+$O$2,IFERROR(INDEX(PROFORMA!$A:$K,ROW()-1-$L$2-$M$2-$N$2+1,5),""),"")))))</f>
        <v>cloze_list</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143</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t="str">
        <f>IF(ROW()-1&lt;=0,"",IF(ROW()-1&lt;=$L$2,IFERROR(INDEX(MCQ!$A:$K,ROW()-1+1,5),""),IF(ROW()-1&lt;=$L$2+$M$2,IFERROR(INDEX(CLOZE_AB!$A:$K,ROW()-1-$L$2+1,5),""),IF(ROW()-1&lt;=$L$2+$M$2+$N$2,IFERROR(INDEX(CLOZE_LIST!$A:$K,ROW()-1-$L$2-$M$2+1,5),""),IF(ROW()-1&lt;=$L$2+$M$2+$N$2+$O$2,IFERROR(INDEX(PROFORMA!$A:$K,ROW()-1-$L$2-$M$2-$N$2+1,5),""),"")))))</f>
        <v>cloze_list</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143</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t="str">
        <f>IF(ROW()-1&lt;=0,"",IF(ROW()-1&lt;=$L$2,IFERROR(INDEX(MCQ!$A:$K,ROW()-1+1,5),""),IF(ROW()-1&lt;=$L$2+$M$2,IFERROR(INDEX(CLOZE_AB!$A:$K,ROW()-1-$L$2+1,5),""),IF(ROW()-1&lt;=$L$2+$M$2+$N$2,IFERROR(INDEX(CLOZE_LIST!$A:$K,ROW()-1-$L$2-$M$2+1,5),""),IF(ROW()-1&lt;=$L$2+$M$2+$N$2+$O$2,IFERROR(INDEX(PROFORMA!$A:$K,ROW()-1-$L$2-$M$2-$N$2+1,5),""),"")))))</f>
        <v>cloze_list</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143</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t="str">
        <f>IF(ROW()-1&lt;=0,"",IF(ROW()-1&lt;=$L$2,IFERROR(INDEX(MCQ!$A:$K,ROW()-1+1,5),""),IF(ROW()-1&lt;=$L$2+$M$2,IFERROR(INDEX(CLOZE_AB!$A:$K,ROW()-1-$L$2+1,5),""),IF(ROW()-1&lt;=$L$2+$M$2+$N$2,IFERROR(INDEX(CLOZE_LIST!$A:$K,ROW()-1-$L$2-$M$2+1,5),""),IF(ROW()-1&lt;=$L$2+$M$2+$N$2+$O$2,IFERROR(INDEX(PROFORMA!$A:$K,ROW()-1-$L$2-$M$2-$N$2+1,5),""),"")))))</f>
        <v>cloze_list</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143</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t="str">
        <f>IF(ROW()-1&lt;=0,"",IF(ROW()-1&lt;=$L$2,IFERROR(INDEX(MCQ!$A:$K,ROW()-1+1,5),""),IF(ROW()-1&lt;=$L$2+$M$2,IFERROR(INDEX(CLOZE_AB!$A:$K,ROW()-1-$L$2+1,5),""),IF(ROW()-1&lt;=$L$2+$M$2+$N$2,IFERROR(INDEX(CLOZE_LIST!$A:$K,ROW()-1-$L$2-$M$2+1,5),""),IF(ROW()-1&lt;=$L$2+$M$2+$N$2+$O$2,IFERROR(INDEX(PROFORMA!$A:$K,ROW()-1-$L$2-$M$2-$N$2+1,5),""),"")))))</f>
        <v>cloze_list</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143</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t="str">
        <f>IF(ROW()-1&lt;=0,"",IF(ROW()-1&lt;=$L$2,IFERROR(INDEX(MCQ!$A:$K,ROW()-1+1,5),""),IF(ROW()-1&lt;=$L$2+$M$2,IFERROR(INDEX(CLOZE_AB!$A:$K,ROW()-1-$L$2+1,5),""),IF(ROW()-1&lt;=$L$2+$M$2+$N$2,IFERROR(INDEX(CLOZE_LIST!$A:$K,ROW()-1-$L$2-$M$2+1,5),""),IF(ROW()-1&lt;=$L$2+$M$2+$N$2+$O$2,IFERROR(INDEX(PROFORMA!$A:$K,ROW()-1-$L$2-$M$2-$N$2+1,5),""),"")))))</f>
        <v>cloze_list</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143</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t="str">
        <f>IF(ROW()-1&lt;=0,"",IF(ROW()-1&lt;=$L$2,IFERROR(INDEX(MCQ!$A:$K,ROW()-1+1,5),""),IF(ROW()-1&lt;=$L$2+$M$2,IFERROR(INDEX(CLOZE_AB!$A:$K,ROW()-1-$L$2+1,5),""),IF(ROW()-1&lt;=$L$2+$M$2+$N$2,IFERROR(INDEX(CLOZE_LIST!$A:$K,ROW()-1-$L$2-$M$2+1,5),""),IF(ROW()-1&lt;=$L$2+$M$2+$N$2+$O$2,IFERROR(INDEX(PROFORMA!$A:$K,ROW()-1-$L$2-$M$2-$N$2+1,5),""),"")))))</f>
        <v>cloze_list</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143</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t="str">
        <f>IF(ROW()-1&lt;=0,"",IF(ROW()-1&lt;=$L$2,IFERROR(INDEX(MCQ!$A:$K,ROW()-1+1,5),""),IF(ROW()-1&lt;=$L$2+$M$2,IFERROR(INDEX(CLOZE_AB!$A:$K,ROW()-1-$L$2+1,5),""),IF(ROW()-1&lt;=$L$2+$M$2+$N$2,IFERROR(INDEX(CLOZE_LIST!$A:$K,ROW()-1-$L$2-$M$2+1,5),""),IF(ROW()-1&lt;=$L$2+$M$2+$N$2+$O$2,IFERROR(INDEX(PROFORMA!$A:$K,ROW()-1-$L$2-$M$2-$N$2+1,5),""),"")))))</f>
        <v>cloze_list</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143</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t="str">
        <f>IF(ROW()-1&lt;=0,"",IF(ROW()-1&lt;=$L$2,IFERROR(INDEX(MCQ!$A:$K,ROW()-1+1,5),""),IF(ROW()-1&lt;=$L$2+$M$2,IFERROR(INDEX(CLOZE_AB!$A:$K,ROW()-1-$L$2+1,5),""),IF(ROW()-1&lt;=$L$2+$M$2+$N$2,IFERROR(INDEX(CLOZE_LIST!$A:$K,ROW()-1-$L$2-$M$2+1,5),""),IF(ROW()-1&lt;=$L$2+$M$2+$N$2+$O$2,IFERROR(INDEX(PROFORMA!$A:$K,ROW()-1-$L$2-$M$2-$N$2+1,5),""),"")))))</f>
        <v>cloze_list</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143</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t="str">
        <f>IF(ROW()-1&lt;=0,"",IF(ROW()-1&lt;=$L$2,IFERROR(INDEX(MCQ!$A:$K,ROW()-1+1,5),""),IF(ROW()-1&lt;=$L$2+$M$2,IFERROR(INDEX(CLOZE_AB!$A:$K,ROW()-1-$L$2+1,5),""),IF(ROW()-1&lt;=$L$2+$M$2+$N$2,IFERROR(INDEX(CLOZE_LIST!$A:$K,ROW()-1-$L$2-$M$2+1,5),""),IF(ROW()-1&lt;=$L$2+$M$2+$N$2+$O$2,IFERROR(INDEX(PROFORMA!$A:$K,ROW()-1-$L$2-$M$2-$N$2+1,5),""),"")))))</f>
        <v>cloze_list</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143</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t="str">
        <f>IF(ROW()-1&lt;=0,"",IF(ROW()-1&lt;=$L$2,IFERROR(INDEX(MCQ!$A:$K,ROW()-1+1,5),""),IF(ROW()-1&lt;=$L$2+$M$2,IFERROR(INDEX(CLOZE_AB!$A:$K,ROW()-1-$L$2+1,5),""),IF(ROW()-1&lt;=$L$2+$M$2+$N$2,IFERROR(INDEX(CLOZE_LIST!$A:$K,ROW()-1-$L$2-$M$2+1,5),""),IF(ROW()-1&lt;=$L$2+$M$2+$N$2+$O$2,IFERROR(INDEX(PROFORMA!$A:$K,ROW()-1-$L$2-$M$2-$N$2+1,5),""),"")))))</f>
        <v>cloze_list</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143</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t="str">
        <f>IF(ROW()-1&lt;=0,"",IF(ROW()-1&lt;=$L$2,IFERROR(INDEX(MCQ!$A:$K,ROW()-1+1,5),""),IF(ROW()-1&lt;=$L$2+$M$2,IFERROR(INDEX(CLOZE_AB!$A:$K,ROW()-1-$L$2+1,5),""),IF(ROW()-1&lt;=$L$2+$M$2+$N$2,IFERROR(INDEX(CLOZE_LIST!$A:$K,ROW()-1-$L$2-$M$2+1,5),""),IF(ROW()-1&lt;=$L$2+$M$2+$N$2+$O$2,IFERROR(INDEX(PROFORMA!$A:$K,ROW()-1-$L$2-$M$2-$N$2+1,5),""),"")))))</f>
        <v>cloze_list</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143</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t="str">
        <f>IF(ROW()-1&lt;=0,"",IF(ROW()-1&lt;=$L$2,IFERROR(INDEX(MCQ!$A:$K,ROW()-1+1,5),""),IF(ROW()-1&lt;=$L$2+$M$2,IFERROR(INDEX(CLOZE_AB!$A:$K,ROW()-1-$L$2+1,5),""),IF(ROW()-1&lt;=$L$2+$M$2+$N$2,IFERROR(INDEX(CLOZE_LIST!$A:$K,ROW()-1-$L$2-$M$2+1,5),""),IF(ROW()-1&lt;=$L$2+$M$2+$N$2+$O$2,IFERROR(INDEX(PROFORMA!$A:$K,ROW()-1-$L$2-$M$2-$N$2+1,5),""),"")))))</f>
        <v>cloze_list</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143</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t="str">
        <f>IF(ROW()-1&lt;=0,"",IF(ROW()-1&lt;=$L$2,IFERROR(INDEX(MCQ!$A:$K,ROW()-1+1,5),""),IF(ROW()-1&lt;=$L$2+$M$2,IFERROR(INDEX(CLOZE_AB!$A:$K,ROW()-1-$L$2+1,5),""),IF(ROW()-1&lt;=$L$2+$M$2+$N$2,IFERROR(INDEX(CLOZE_LIST!$A:$K,ROW()-1-$L$2-$M$2+1,5),""),IF(ROW()-1&lt;=$L$2+$M$2+$N$2+$O$2,IFERROR(INDEX(PROFORMA!$A:$K,ROW()-1-$L$2-$M$2-$N$2+1,5),""),"")))))</f>
        <v>cloze_list</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143</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PF_ETH_REQ__001</v>
      </c>
      <c r="B512" s="3" t="str">
        <f>IF(ROW()-1&lt;=0,"",IF(ROW()-1&lt;=$L$2,IFERROR(INDEX(MCQ!$A:$K,ROW()-1+1,2),""),IF(ROW()-1&lt;=$L$2+$M$2,IFERROR(INDEX(CLOZE_AB!$A:$K,ROW()-1-$L$2+1,2),""),IF(ROW()-1&lt;=$L$2+$M$2+$N$2,IFERROR(INDEX(CLOZE_LIST!$A:$K,ROW()-1-$L$2-$M$2+1,2),""),IF(ROW()-1&lt;=$L$2+$M$2+$N$2+$O$2,IFERROR(INDEX(PROFORMA!$A:$K,ROW()-1-$L$2-$M$2-$N$2+1,2),""),"")))))</f>
        <v>Ethics</v>
      </c>
      <c r="C512" s="3" t="str">
        <f>IF(ROW()-1&lt;=0,"",IF(ROW()-1&lt;=$L$2,IFERROR(INDEX(MCQ!$A:$K,ROW()-1+1,3),""),IF(ROW()-1&lt;=$L$2+$M$2,IFERROR(INDEX(CLOZE_AB!$A:$K,ROW()-1-$L$2+1,3),""),IF(ROW()-1&lt;=$L$2+$M$2+$N$2,IFERROR(INDEX(CLOZE_LIST!$A:$K,ROW()-1-$L$2-$M$2+1,3),""),IF(ROW()-1&lt;=$L$2+$M$2+$N$2+$O$2,IFERROR(INDEX(PROFORMA!$A:$K,ROW()-1-$L$2-$M$2-$N$2+1,3),""),"")))))</f>
        <v>requirements</v>
      </c>
      <c r="D512" s="3" t="str">
        <f>IF(ROW()-1&lt;=0,"",IF(ROW()-1&lt;=$L$2,IFERROR(INDEX(MCQ!$A:$K,ROW()-1+1,4),""),IF(ROW()-1&lt;=$L$2+$M$2,IFERROR(INDEX(CLOZE_AB!$A:$K,ROW()-1-$L$2+1,4),""),IF(ROW()-1&lt;=$L$2+$M$2+$N$2,IFERROR(INDEX(CLOZE_LIST!$A:$K,ROW()-1-$L$2-$M$2+1,4),""),IF(ROW()-1&lt;=$L$2+$M$2+$N$2+$O$2,IFERROR(INDEX(PROFORMA!$A:$K,ROW()-1-$L$2-$M$2-$N$2+1,4),""),"")))))</f>
        <v>Safeguards</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f>IF(ROW()-1&lt;=0,"",IF(ROW()-1&lt;=$L$2,IFERROR(INDEX(MCQ!$A:$K,ROW()-1+1,7),""),IF(ROW()-1&lt;=$L$2+$M$2,IFERROR(INDEX(CLOZE_AB!$A:$K,ROW()-1-$L$2+1,7),""),IF(ROW()-1&lt;=$L$2+$M$2+$N$2,IFERROR(INDEX(CLOZE_LIST!$A:$K,ROW()-1-$L$2-$M$2+1,7),""),IF(ROW()-1&lt;=$L$2+$M$2+$N$2+$O$2,IFERROR(INDEX(PROFORMA!$A:$K,ROW()-1-$L$2-$M$2-$N$2+1,7),""),"")))))</f>
        <v>0</v>
      </c>
      <c r="H512" s="3" t="str">
        <f>IF(ROW()-1&lt;=0,"",IF(ROW()-1&lt;=$L$2,IFERROR(INDEX(MCQ!$A:$K,ROW()-1+1,8),""),IF(ROW()-1&lt;=$L$2+$M$2,IFERROR(INDEX(CLOZE_AB!$A:$K,ROW()-1-$L$2+1,8),""),IF(ROW()-1&lt;=$L$2+$M$2+$N$2,IFERROR(INDEX(CLOZE_LIST!$A:$K,ROW()-1-$L$2-$M$2+1,8),""),IF(ROW()-1&lt;=$L$2+$M$2+$N$2+$O$2,IFERROR(INDEX(PROFORMA!$A:$K,ROW()-1-$L$2-$M$2-$N$2+1,8),""),"")))))</f>
        <v>Y</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143</v>
      </c>
      <c r="M512" s="3">
        <f>COUNTA(CLOZE_AB!$A:$A)-1</f>
        <v>168</v>
      </c>
      <c r="N512" s="3">
        <f>COUNTA(CLOZE_LIST!$A:$A)-1</f>
        <v>199</v>
      </c>
      <c r="O512" s="3">
        <f>COUNTA(PROFORMA!$A:$A)-1</f>
        <v>199</v>
      </c>
    </row>
    <row r="513" spans="1:15" ht="28.8" x14ac:dyDescent="0.3">
      <c r="A513" s="3" t="str">
        <f>IF(ROW()-1&lt;=0,"",IF(ROW()-1&lt;=$L$2,IFERROR(INDEX(MCQ!$A:$K,ROW()-1+1,1),""),IF(ROW()-1&lt;=$L$2+$M$2,IFERROR(INDEX(CLOZE_AB!$A:$K,ROW()-1-$L$2+1,1),""),IF(ROW()-1&lt;=$L$2+$M$2+$N$2,IFERROR(INDEX(CLOZE_LIST!$A:$K,ROW()-1-$L$2-$M$2+1,1),""),IF(ROW()-1&lt;=$L$2+$M$2+$N$2+$O$2,IFERROR(INDEX(PROFORMA!$A:$K,ROW()-1-$L$2-$M$2-$N$2+1,1),""),"")))))</f>
        <v>PF_ITNIC_PF_IR35_001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IR35 deemed payment calculation</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ir35;deemed_payment;nic</v>
      </c>
      <c r="J513" s="3" t="str">
        <f>IF(ROW()-1&lt;=0,"",IF(ROW()-1&lt;=$L$2,IFERROR(INDEX(MCQ!$A:$K,ROW()-1+1,10),""),IF(ROW()-1&lt;=$L$2+$M$2,IFERROR(INDEX(CLOZE_AB!$A:$K,ROW()-1-$L$2+1,10),""),IF(ROW()-1&lt;=$L$2+$M$2+$N$2,IFERROR(INDEX(CLOZE_LIST!$A:$K,ROW()-1-$L$2-$M$2+1,10),""),IF(ROW()-1&lt;=$L$2+$M$2+$N$2+$O$2,IFERROR(INDEX(PROFORMA!$A:$K,ROW()-1-$L$2-$M$2-$N$2+1,10),""),"")))))</f>
        <v>proforma</v>
      </c>
      <c r="K513" s="3">
        <f>IF(ROW()-1&lt;=0,"",IF(ROW()-1&lt;=$L$2,IFERROR(INDEX(MCQ!$A:$K,ROW()-1+1,11),""),IF(ROW()-1&lt;=$L$2+$M$2,IFERROR(INDEX(CLOZE_AB!$A:$K,ROW()-1-$L$2+1,11),""),IF(ROW()-1&lt;=$L$2+$M$2+$N$2,IFERROR(INDEX(CLOZE_LIST!$A:$K,ROW()-1-$L$2-$M$2+1,11),""),IF(ROW()-1&lt;=$L$2+$M$2+$N$2+$O$2,IFERROR(INDEX(PROFORMA!$A:$K,ROW()-1-$L$2-$M$2-$N$2+1,11),""),"")))))</f>
        <v>1</v>
      </c>
      <c r="L513" s="3">
        <f>COUNTA(MCQ!$A:$A)-1</f>
        <v>143</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PF_ITNIC_REQ_EIS_001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requirements</v>
      </c>
      <c r="D514" s="3" t="str">
        <f>IF(ROW()-1&lt;=0,"",IF(ROW()-1&lt;=$L$2,IFERROR(INDEX(MCQ!$A:$K,ROW()-1+1,4),""),IF(ROW()-1&lt;=$L$2+$M$2,IFERROR(INDEX(CLOZE_AB!$A:$K,ROW()-1-$L$2+1,4),""),IF(ROW()-1&lt;=$L$2+$M$2+$N$2,IFERROR(INDEX(CLOZE_LIST!$A:$K,ROW()-1-$L$2-$M$2+1,4),""),IF(ROW()-1&lt;=$L$2+$M$2+$N$2+$O$2,IFERROR(INDEX(PROFORMA!$A:$K,ROW()-1-$L$2-$M$2-$N$2+1,4),""),"")))))</f>
        <v>EIS / SEIS / VCT reliefs</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eis;seis;vct</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143</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PF_ITNIC_REQ_PSC_001</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requirements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143</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PF_ITNIC_REQ_PSC_002</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requirements</v>
      </c>
      <c r="D516" s="3" t="str">
        <f>IF(ROW()-1&lt;=0,"",IF(ROW()-1&lt;=$L$2,IFERROR(INDEX(MCQ!$A:$K,ROW()-1+1,4),""),IF(ROW()-1&lt;=$L$2+$M$2,IFERROR(INDEX(CLOZE_AB!$A:$K,ROW()-1-$L$2+1,4),""),IF(ROW()-1&lt;=$L$2+$M$2+$N$2,IFERROR(INDEX(CLOZE_LIST!$A:$K,ROW()-1-$L$2-$M$2+1,4),""),IF(ROW()-1&lt;=$L$2+$M$2+$N$2+$O$2,IFERROR(INDEX(PROFORMA!$A:$K,ROW()-1-$L$2-$M$2-$N$2+1,4),""),"")))))</f>
        <v>Personal service companies and IR35</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psc;ir35;sds;ddp</v>
      </c>
      <c r="J516" s="3" t="str">
        <f>IF(ROW()-1&lt;=0,"",IF(ROW()-1&lt;=$L$2,IFERROR(INDEX(MCQ!$A:$K,ROW()-1+1,10),""),IF(ROW()-1&lt;=$L$2+$M$2,IFERROR(INDEX(CLOZE_AB!$A:$K,ROW()-1-$L$2+1,10),""),IF(ROW()-1&lt;=$L$2+$M$2+$N$2,IFERROR(INDEX(CLOZE_LIST!$A:$K,ROW()-1-$L$2-$M$2+1,10),""),IF(ROW()-1&lt;=$L$2+$M$2+$N$2+$O$2,IFERROR(INDEX(PROFORMA!$A:$K,ROW()-1-$L$2-$M$2-$N$2+1,10),""),"")))))</f>
        <v>notes</v>
      </c>
      <c r="K516" s="3">
        <f>IF(ROW()-1&lt;=0,"",IF(ROW()-1&lt;=$L$2,IFERROR(INDEX(MCQ!$A:$K,ROW()-1+1,11),""),IF(ROW()-1&lt;=$L$2+$M$2,IFERROR(INDEX(CLOZE_AB!$A:$K,ROW()-1-$L$2+1,11),""),IF(ROW()-1&lt;=$L$2+$M$2+$N$2,IFERROR(INDEX(CLOZE_LIST!$A:$K,ROW()-1-$L$2-$M$2+1,11),""),IF(ROW()-1&lt;=$L$2+$M$2+$N$2+$O$2,IFERROR(INDEX(PROFORMA!$A:$K,ROW()-1-$L$2-$M$2-$N$2+1,11),""),"")))))</f>
        <v>1</v>
      </c>
      <c r="L516" s="3">
        <f>COUNTA(MCQ!$A:$A)-1</f>
        <v>143</v>
      </c>
      <c r="M516" s="3">
        <f>COUNTA(CLOZE_AB!$A:$A)-1</f>
        <v>168</v>
      </c>
      <c r="N516" s="3">
        <f>COUNTA(CLOZE_LIST!$A:$A)-1</f>
        <v>199</v>
      </c>
      <c r="O516" s="3">
        <f>COUNTA(PROFORMA!$A:$A)-1</f>
        <v>199</v>
      </c>
    </row>
    <row r="517" spans="1:15" ht="28.8" x14ac:dyDescent="0.3">
      <c r="A517" s="3" t="str">
        <f>IF(ROW()-1&lt;=0,"",IF(ROW()-1&lt;=$L$2,IFERROR(INDEX(MCQ!$A:$K,ROW()-1+1,1),""),IF(ROW()-1&lt;=$L$2+$M$2,IFERROR(INDEX(CLOZE_AB!$A:$K,ROW()-1-$L$2+1,1),""),IF(ROW()-1&lt;=$L$2+$M$2+$N$2,IFERROR(INDEX(CLOZE_LIST!$A:$K,ROW()-1-$L$2-$M$2+1,1),""),IF(ROW()-1&lt;=$L$2+$M$2+$N$2+$O$2,IFERROR(INDEX(PROFORMA!$A:$K,ROW()-1-$L$2-$M$2-$N$2+1,1),""),"")))))</f>
        <v>PF_ITNIC_PF_ITCOMP_001</v>
      </c>
      <c r="B517" s="3" t="str">
        <f>IF(ROW()-1&lt;=0,"",IF(ROW()-1&lt;=$L$2,IFERROR(INDEX(MCQ!$A:$K,ROW()-1+1,2),""),IF(ROW()-1&lt;=$L$2+$M$2,IFERROR(INDEX(CLOZE_AB!$A:$K,ROW()-1-$L$2+1,2),""),IF(ROW()-1&lt;=$L$2+$M$2+$N$2,IFERROR(INDEX(CLOZE_LIST!$A:$K,ROW()-1-$L$2-$M$2+1,2),""),IF(ROW()-1&lt;=$L$2+$M$2+$N$2+$O$2,IFERROR(INDEX(PROFORMA!$A:$K,ROW()-1-$L$2-$M$2-$N$2+1,2),""),"")))))</f>
        <v>Income tax &amp; NIC</v>
      </c>
      <c r="C517" s="3" t="str">
        <f>IF(ROW()-1&lt;=0,"",IF(ROW()-1&lt;=$L$2,IFERROR(INDEX(MCQ!$A:$K,ROW()-1+1,3),""),IF(ROW()-1&lt;=$L$2+$M$2,IFERROR(INDEX(CLOZE_AB!$A:$K,ROW()-1-$L$2+1,3),""),IF(ROW()-1&lt;=$L$2+$M$2+$N$2,IFERROR(INDEX(CLOZE_LIST!$A:$K,ROW()-1-$L$2-$M$2+1,3),""),IF(ROW()-1&lt;=$L$2+$M$2+$N$2+$O$2,IFERROR(INDEX(PROFORMA!$A:$K,ROW()-1-$L$2-$M$2-$N$2+1,3),""),"")))))</f>
        <v>proformas</v>
      </c>
      <c r="D517" s="3" t="str">
        <f>IF(ROW()-1&lt;=0,"",IF(ROW()-1&lt;=$L$2,IFERROR(INDEX(MCQ!$A:$K,ROW()-1+1,4),""),IF(ROW()-1&lt;=$L$2+$M$2,IFERROR(INDEX(CLOZE_AB!$A:$K,ROW()-1-$L$2+1,4),""),IF(ROW()-1&lt;=$L$2+$M$2+$N$2,IFERROR(INDEX(CLOZE_LIST!$A:$K,ROW()-1-$L$2-$M$2+1,4),""),IF(ROW()-1&lt;=$L$2+$M$2+$N$2+$O$2,IFERROR(INDEX(PROFORMA!$A:$K,ROW()-1-$L$2-$M$2-$N$2+1,4),""),"")))))</f>
        <v>Income tax payable computation (individual)</v>
      </c>
      <c r="E517" s="3" t="str">
        <f>IF(ROW()-1&lt;=0,"",IF(ROW()-1&lt;=$L$2,IFERROR(INDEX(MCQ!$A:$K,ROW()-1+1,5),""),IF(ROW()-1&lt;=$L$2+$M$2,IFERROR(INDEX(CLOZE_AB!$A:$K,ROW()-1-$L$2+1,5),""),IF(ROW()-1&lt;=$L$2+$M$2+$N$2,IFERROR(INDEX(CLOZE_LIST!$A:$K,ROW()-1-$L$2-$M$2+1,5),""),IF(ROW()-1&lt;=$L$2+$M$2+$N$2+$O$2,IFERROR(INDEX(PROFORMA!$A:$K,ROW()-1-$L$2-$M$2-$N$2+1,5),""),"")))))</f>
        <v>proforma_drag</v>
      </c>
      <c r="F517" s="3">
        <f>IF(ROW()-1&lt;=0,"",IF(ROW()-1&lt;=$L$2,IFERROR(INDEX(MCQ!$A:$K,ROW()-1+1,6),""),IF(ROW()-1&lt;=$L$2+$M$2,IFERROR(INDEX(CLOZE_AB!$A:$K,ROW()-1-$L$2+1,6),""),IF(ROW()-1&lt;=$L$2+$M$2+$N$2,IFERROR(INDEX(CLOZE_LIST!$A:$K,ROW()-1-$L$2-$M$2+1,6),""),IF(ROW()-1&lt;=$L$2+$M$2+$N$2+$O$2,IFERROR(INDEX(PROFORMA!$A:$K,ROW()-1-$L$2-$M$2-$N$2+1,6),""),"")))))</f>
        <v>3</v>
      </c>
      <c r="G517" s="3" t="str">
        <f>IF(ROW()-1&lt;=0,"",IF(ROW()-1&lt;=$L$2,IFERROR(INDEX(MCQ!$A:$K,ROW()-1+1,7),""),IF(ROW()-1&lt;=$L$2+$M$2,IFERROR(INDEX(CLOZE_AB!$A:$K,ROW()-1-$L$2+1,7),""),IF(ROW()-1&lt;=$L$2+$M$2+$N$2,IFERROR(INDEX(CLOZE_LIST!$A:$K,ROW()-1-$L$2-$M$2+1,7),""),IF(ROW()-1&lt;=$L$2+$M$2+$N$2+$O$2,IFERROR(INDEX(PROFORMA!$A:$K,ROW()-1-$L$2-$M$2-$N$2+1,7),""),"")))))</f>
        <v>core</v>
      </c>
      <c r="H517" s="3" t="str">
        <f>IF(ROW()-1&lt;=0,"",IF(ROW()-1&lt;=$L$2,IFERROR(INDEX(MCQ!$A:$K,ROW()-1+1,8),""),IF(ROW()-1&lt;=$L$2+$M$2,IFERROR(INDEX(CLOZE_AB!$A:$K,ROW()-1-$L$2+1,8),""),IF(ROW()-1&lt;=$L$2+$M$2+$N$2,IFERROR(INDEX(CLOZE_LIST!$A:$K,ROW()-1-$L$2-$M$2+1,8),""),IF(ROW()-1&lt;=$L$2+$M$2+$N$2+$O$2,IFERROR(INDEX(PROFORMA!$A:$K,ROW()-1-$L$2-$M$2-$N$2+1,8),""),"")))))</f>
        <v>Y</v>
      </c>
      <c r="I517" s="3" t="str">
        <f>IF(ROW()-1&lt;=0,"",IF(ROW()-1&lt;=$L$2,IFERROR(INDEX(MCQ!$A:$K,ROW()-1+1,9),""),IF(ROW()-1&lt;=$L$2+$M$2,IFERROR(INDEX(CLOZE_AB!$A:$K,ROW()-1-$L$2+1,9),""),IF(ROW()-1&lt;=$L$2+$M$2+$N$2,IFERROR(INDEX(CLOZE_LIST!$A:$K,ROW()-1-$L$2-$M$2+1,9),""),IF(ROW()-1&lt;=$L$2+$M$2+$N$2+$O$2,IFERROR(INDEX(PROFORMA!$A:$K,ROW()-1-$L$2-$M$2-$N$2+1,9),""),"")))))</f>
        <v>it-computation</v>
      </c>
      <c r="J517" s="3" t="str">
        <f>IF(ROW()-1&lt;=0,"",IF(ROW()-1&lt;=$L$2,IFERROR(INDEX(MCQ!$A:$K,ROW()-1+1,10),""),IF(ROW()-1&lt;=$L$2+$M$2,IFERROR(INDEX(CLOZE_AB!$A:$K,ROW()-1-$L$2+1,10),""),IF(ROW()-1&lt;=$L$2+$M$2+$N$2,IFERROR(INDEX(CLOZE_LIST!$A:$K,ROW()-1-$L$2-$M$2+1,10),""),IF(ROW()-1&lt;=$L$2+$M$2+$N$2+$O$2,IFERROR(INDEX(PROFORMA!$A:$K,ROW()-1-$L$2-$M$2-$N$2+1,10),""),"")))))</f>
        <v>image-proforma</v>
      </c>
      <c r="K517" s="3">
        <f>IF(ROW()-1&lt;=0,"",IF(ROW()-1&lt;=$L$2,IFERROR(INDEX(MCQ!$A:$K,ROW()-1+1,11),""),IF(ROW()-1&lt;=$L$2+$M$2,IFERROR(INDEX(CLOZE_AB!$A:$K,ROW()-1-$L$2+1,11),""),IF(ROW()-1&lt;=$L$2+$M$2+$N$2,IFERROR(INDEX(CLOZE_LIST!$A:$K,ROW()-1-$L$2-$M$2+1,11),""),IF(ROW()-1&lt;=$L$2+$M$2+$N$2+$O$2,IFERROR(INDEX(PROFORMA!$A:$K,ROW()-1-$L$2-$M$2-$N$2+1,11),""),"")))))</f>
        <v>1</v>
      </c>
      <c r="L517" s="3">
        <f>COUNTA(MCQ!$A:$A)-1</f>
        <v>143</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t="str">
        <f>IF(ROW()-1&lt;=0,"",IF(ROW()-1&lt;=$L$2,IFERROR(INDEX(MCQ!$A:$K,ROW()-1+1,5),""),IF(ROW()-1&lt;=$L$2+$M$2,IFERROR(INDEX(CLOZE_AB!$A:$K,ROW()-1-$L$2+1,5),""),IF(ROW()-1&lt;=$L$2+$M$2+$N$2,IFERROR(INDEX(CLOZE_LIST!$A:$K,ROW()-1-$L$2-$M$2+1,5),""),IF(ROW()-1&lt;=$L$2+$M$2+$N$2+$O$2,IFERROR(INDEX(PROFORMA!$A:$K,ROW()-1-$L$2-$M$2-$N$2+1,5),""),"")))))</f>
        <v>proforma_drag</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143</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t="str">
        <f>IF(ROW()-1&lt;=0,"",IF(ROW()-1&lt;=$L$2,IFERROR(INDEX(MCQ!$A:$K,ROW()-1+1,5),""),IF(ROW()-1&lt;=$L$2+$M$2,IFERROR(INDEX(CLOZE_AB!$A:$K,ROW()-1-$L$2+1,5),""),IF(ROW()-1&lt;=$L$2+$M$2+$N$2,IFERROR(INDEX(CLOZE_LIST!$A:$K,ROW()-1-$L$2-$M$2+1,5),""),IF(ROW()-1&lt;=$L$2+$M$2+$N$2+$O$2,IFERROR(INDEX(PROFORMA!$A:$K,ROW()-1-$L$2-$M$2-$N$2+1,5),""),"")))))</f>
        <v>proforma_drag</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143</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t="str">
        <f>IF(ROW()-1&lt;=0,"",IF(ROW()-1&lt;=$L$2,IFERROR(INDEX(MCQ!$A:$K,ROW()-1+1,5),""),IF(ROW()-1&lt;=$L$2+$M$2,IFERROR(INDEX(CLOZE_AB!$A:$K,ROW()-1-$L$2+1,5),""),IF(ROW()-1&lt;=$L$2+$M$2+$N$2,IFERROR(INDEX(CLOZE_LIST!$A:$K,ROW()-1-$L$2-$M$2+1,5),""),IF(ROW()-1&lt;=$L$2+$M$2+$N$2+$O$2,IFERROR(INDEX(PROFORMA!$A:$K,ROW()-1-$L$2-$M$2-$N$2+1,5),""),"")))))</f>
        <v>proforma_drag</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143</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t="str">
        <f>IF(ROW()-1&lt;=0,"",IF(ROW()-1&lt;=$L$2,IFERROR(INDEX(MCQ!$A:$K,ROW()-1+1,5),""),IF(ROW()-1&lt;=$L$2+$M$2,IFERROR(INDEX(CLOZE_AB!$A:$K,ROW()-1-$L$2+1,5),""),IF(ROW()-1&lt;=$L$2+$M$2+$N$2,IFERROR(INDEX(CLOZE_LIST!$A:$K,ROW()-1-$L$2-$M$2+1,5),""),IF(ROW()-1&lt;=$L$2+$M$2+$N$2+$O$2,IFERROR(INDEX(PROFORMA!$A:$K,ROW()-1-$L$2-$M$2-$N$2+1,5),""),"")))))</f>
        <v>proforma_drag</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143</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t="str">
        <f>IF(ROW()-1&lt;=0,"",IF(ROW()-1&lt;=$L$2,IFERROR(INDEX(MCQ!$A:$K,ROW()-1+1,5),""),IF(ROW()-1&lt;=$L$2+$M$2,IFERROR(INDEX(CLOZE_AB!$A:$K,ROW()-1-$L$2+1,5),""),IF(ROW()-1&lt;=$L$2+$M$2+$N$2,IFERROR(INDEX(CLOZE_LIST!$A:$K,ROW()-1-$L$2-$M$2+1,5),""),IF(ROW()-1&lt;=$L$2+$M$2+$N$2+$O$2,IFERROR(INDEX(PROFORMA!$A:$K,ROW()-1-$L$2-$M$2-$N$2+1,5),""),"")))))</f>
        <v>proforma_drag</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143</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t="str">
        <f>IF(ROW()-1&lt;=0,"",IF(ROW()-1&lt;=$L$2,IFERROR(INDEX(MCQ!$A:$K,ROW()-1+1,5),""),IF(ROW()-1&lt;=$L$2+$M$2,IFERROR(INDEX(CLOZE_AB!$A:$K,ROW()-1-$L$2+1,5),""),IF(ROW()-1&lt;=$L$2+$M$2+$N$2,IFERROR(INDEX(CLOZE_LIST!$A:$K,ROW()-1-$L$2-$M$2+1,5),""),IF(ROW()-1&lt;=$L$2+$M$2+$N$2+$O$2,IFERROR(INDEX(PROFORMA!$A:$K,ROW()-1-$L$2-$M$2-$N$2+1,5),""),"")))))</f>
        <v>proforma_drag</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143</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t="str">
        <f>IF(ROW()-1&lt;=0,"",IF(ROW()-1&lt;=$L$2,IFERROR(INDEX(MCQ!$A:$K,ROW()-1+1,5),""),IF(ROW()-1&lt;=$L$2+$M$2,IFERROR(INDEX(CLOZE_AB!$A:$K,ROW()-1-$L$2+1,5),""),IF(ROW()-1&lt;=$L$2+$M$2+$N$2,IFERROR(INDEX(CLOZE_LIST!$A:$K,ROW()-1-$L$2-$M$2+1,5),""),IF(ROW()-1&lt;=$L$2+$M$2+$N$2+$O$2,IFERROR(INDEX(PROFORMA!$A:$K,ROW()-1-$L$2-$M$2-$N$2+1,5),""),"")))))</f>
        <v>proforma_drag</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143</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t="str">
        <f>IF(ROW()-1&lt;=0,"",IF(ROW()-1&lt;=$L$2,IFERROR(INDEX(MCQ!$A:$K,ROW()-1+1,5),""),IF(ROW()-1&lt;=$L$2+$M$2,IFERROR(INDEX(CLOZE_AB!$A:$K,ROW()-1-$L$2+1,5),""),IF(ROW()-1&lt;=$L$2+$M$2+$N$2,IFERROR(INDEX(CLOZE_LIST!$A:$K,ROW()-1-$L$2-$M$2+1,5),""),IF(ROW()-1&lt;=$L$2+$M$2+$N$2+$O$2,IFERROR(INDEX(PROFORMA!$A:$K,ROW()-1-$L$2-$M$2-$N$2+1,5),""),"")))))</f>
        <v>proforma_drag</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143</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t="str">
        <f>IF(ROW()-1&lt;=0,"",IF(ROW()-1&lt;=$L$2,IFERROR(INDEX(MCQ!$A:$K,ROW()-1+1,5),""),IF(ROW()-1&lt;=$L$2+$M$2,IFERROR(INDEX(CLOZE_AB!$A:$K,ROW()-1-$L$2+1,5),""),IF(ROW()-1&lt;=$L$2+$M$2+$N$2,IFERROR(INDEX(CLOZE_LIST!$A:$K,ROW()-1-$L$2-$M$2+1,5),""),IF(ROW()-1&lt;=$L$2+$M$2+$N$2+$O$2,IFERROR(INDEX(PROFORMA!$A:$K,ROW()-1-$L$2-$M$2-$N$2+1,5),""),"")))))</f>
        <v>proforma_drag</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143</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t="str">
        <f>IF(ROW()-1&lt;=0,"",IF(ROW()-1&lt;=$L$2,IFERROR(INDEX(MCQ!$A:$K,ROW()-1+1,5),""),IF(ROW()-1&lt;=$L$2+$M$2,IFERROR(INDEX(CLOZE_AB!$A:$K,ROW()-1-$L$2+1,5),""),IF(ROW()-1&lt;=$L$2+$M$2+$N$2,IFERROR(INDEX(CLOZE_LIST!$A:$K,ROW()-1-$L$2-$M$2+1,5),""),IF(ROW()-1&lt;=$L$2+$M$2+$N$2+$O$2,IFERROR(INDEX(PROFORMA!$A:$K,ROW()-1-$L$2-$M$2-$N$2+1,5),""),"")))))</f>
        <v>proforma_drag</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143</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t="str">
        <f>IF(ROW()-1&lt;=0,"",IF(ROW()-1&lt;=$L$2,IFERROR(INDEX(MCQ!$A:$K,ROW()-1+1,5),""),IF(ROW()-1&lt;=$L$2+$M$2,IFERROR(INDEX(CLOZE_AB!$A:$K,ROW()-1-$L$2+1,5),""),IF(ROW()-1&lt;=$L$2+$M$2+$N$2,IFERROR(INDEX(CLOZE_LIST!$A:$K,ROW()-1-$L$2-$M$2+1,5),""),IF(ROW()-1&lt;=$L$2+$M$2+$N$2+$O$2,IFERROR(INDEX(PROFORMA!$A:$K,ROW()-1-$L$2-$M$2-$N$2+1,5),""),"")))))</f>
        <v>proforma_drag</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143</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t="str">
        <f>IF(ROW()-1&lt;=0,"",IF(ROW()-1&lt;=$L$2,IFERROR(INDEX(MCQ!$A:$K,ROW()-1+1,5),""),IF(ROW()-1&lt;=$L$2+$M$2,IFERROR(INDEX(CLOZE_AB!$A:$K,ROW()-1-$L$2+1,5),""),IF(ROW()-1&lt;=$L$2+$M$2+$N$2,IFERROR(INDEX(CLOZE_LIST!$A:$K,ROW()-1-$L$2-$M$2+1,5),""),IF(ROW()-1&lt;=$L$2+$M$2+$N$2+$O$2,IFERROR(INDEX(PROFORMA!$A:$K,ROW()-1-$L$2-$M$2-$N$2+1,5),""),"")))))</f>
        <v>proforma_drag</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143</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t="str">
        <f>IF(ROW()-1&lt;=0,"",IF(ROW()-1&lt;=$L$2,IFERROR(INDEX(MCQ!$A:$K,ROW()-1+1,5),""),IF(ROW()-1&lt;=$L$2+$M$2,IFERROR(INDEX(CLOZE_AB!$A:$K,ROW()-1-$L$2+1,5),""),IF(ROW()-1&lt;=$L$2+$M$2+$N$2,IFERROR(INDEX(CLOZE_LIST!$A:$K,ROW()-1-$L$2-$M$2+1,5),""),IF(ROW()-1&lt;=$L$2+$M$2+$N$2+$O$2,IFERROR(INDEX(PROFORMA!$A:$K,ROW()-1-$L$2-$M$2-$N$2+1,5),""),"")))))</f>
        <v>proforma_drag</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143</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t="str">
        <f>IF(ROW()-1&lt;=0,"",IF(ROW()-1&lt;=$L$2,IFERROR(INDEX(MCQ!$A:$K,ROW()-1+1,5),""),IF(ROW()-1&lt;=$L$2+$M$2,IFERROR(INDEX(CLOZE_AB!$A:$K,ROW()-1-$L$2+1,5),""),IF(ROW()-1&lt;=$L$2+$M$2+$N$2,IFERROR(INDEX(CLOZE_LIST!$A:$K,ROW()-1-$L$2-$M$2+1,5),""),IF(ROW()-1&lt;=$L$2+$M$2+$N$2+$O$2,IFERROR(INDEX(PROFORMA!$A:$K,ROW()-1-$L$2-$M$2-$N$2+1,5),""),"")))))</f>
        <v>proforma_drag</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143</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t="str">
        <f>IF(ROW()-1&lt;=0,"",IF(ROW()-1&lt;=$L$2,IFERROR(INDEX(MCQ!$A:$K,ROW()-1+1,5),""),IF(ROW()-1&lt;=$L$2+$M$2,IFERROR(INDEX(CLOZE_AB!$A:$K,ROW()-1-$L$2+1,5),""),IF(ROW()-1&lt;=$L$2+$M$2+$N$2,IFERROR(INDEX(CLOZE_LIST!$A:$K,ROW()-1-$L$2-$M$2+1,5),""),IF(ROW()-1&lt;=$L$2+$M$2+$N$2+$O$2,IFERROR(INDEX(PROFORMA!$A:$K,ROW()-1-$L$2-$M$2-$N$2+1,5),""),"")))))</f>
        <v>proforma_drag</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143</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t="str">
        <f>IF(ROW()-1&lt;=0,"",IF(ROW()-1&lt;=$L$2,IFERROR(INDEX(MCQ!$A:$K,ROW()-1+1,5),""),IF(ROW()-1&lt;=$L$2+$M$2,IFERROR(INDEX(CLOZE_AB!$A:$K,ROW()-1-$L$2+1,5),""),IF(ROW()-1&lt;=$L$2+$M$2+$N$2,IFERROR(INDEX(CLOZE_LIST!$A:$K,ROW()-1-$L$2-$M$2+1,5),""),IF(ROW()-1&lt;=$L$2+$M$2+$N$2+$O$2,IFERROR(INDEX(PROFORMA!$A:$K,ROW()-1-$L$2-$M$2-$N$2+1,5),""),"")))))</f>
        <v>proforma_drag</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143</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t="str">
        <f>IF(ROW()-1&lt;=0,"",IF(ROW()-1&lt;=$L$2,IFERROR(INDEX(MCQ!$A:$K,ROW()-1+1,5),""),IF(ROW()-1&lt;=$L$2+$M$2,IFERROR(INDEX(CLOZE_AB!$A:$K,ROW()-1-$L$2+1,5),""),IF(ROW()-1&lt;=$L$2+$M$2+$N$2,IFERROR(INDEX(CLOZE_LIST!$A:$K,ROW()-1-$L$2-$M$2+1,5),""),IF(ROW()-1&lt;=$L$2+$M$2+$N$2+$O$2,IFERROR(INDEX(PROFORMA!$A:$K,ROW()-1-$L$2-$M$2-$N$2+1,5),""),"")))))</f>
        <v>proforma_drag</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143</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t="str">
        <f>IF(ROW()-1&lt;=0,"",IF(ROW()-1&lt;=$L$2,IFERROR(INDEX(MCQ!$A:$K,ROW()-1+1,5),""),IF(ROW()-1&lt;=$L$2+$M$2,IFERROR(INDEX(CLOZE_AB!$A:$K,ROW()-1-$L$2+1,5),""),IF(ROW()-1&lt;=$L$2+$M$2+$N$2,IFERROR(INDEX(CLOZE_LIST!$A:$K,ROW()-1-$L$2-$M$2+1,5),""),IF(ROW()-1&lt;=$L$2+$M$2+$N$2+$O$2,IFERROR(INDEX(PROFORMA!$A:$K,ROW()-1-$L$2-$M$2-$N$2+1,5),""),"")))))</f>
        <v>proforma_drag</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143</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t="str">
        <f>IF(ROW()-1&lt;=0,"",IF(ROW()-1&lt;=$L$2,IFERROR(INDEX(MCQ!$A:$K,ROW()-1+1,5),""),IF(ROW()-1&lt;=$L$2+$M$2,IFERROR(INDEX(CLOZE_AB!$A:$K,ROW()-1-$L$2+1,5),""),IF(ROW()-1&lt;=$L$2+$M$2+$N$2,IFERROR(INDEX(CLOZE_LIST!$A:$K,ROW()-1-$L$2-$M$2+1,5),""),IF(ROW()-1&lt;=$L$2+$M$2+$N$2+$O$2,IFERROR(INDEX(PROFORMA!$A:$K,ROW()-1-$L$2-$M$2-$N$2+1,5),""),"")))))</f>
        <v>proforma_drag</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143</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t="str">
        <f>IF(ROW()-1&lt;=0,"",IF(ROW()-1&lt;=$L$2,IFERROR(INDEX(MCQ!$A:$K,ROW()-1+1,5),""),IF(ROW()-1&lt;=$L$2+$M$2,IFERROR(INDEX(CLOZE_AB!$A:$K,ROW()-1-$L$2+1,5),""),IF(ROW()-1&lt;=$L$2+$M$2+$N$2,IFERROR(INDEX(CLOZE_LIST!$A:$K,ROW()-1-$L$2-$M$2+1,5),""),IF(ROW()-1&lt;=$L$2+$M$2+$N$2+$O$2,IFERROR(INDEX(PROFORMA!$A:$K,ROW()-1-$L$2-$M$2-$N$2+1,5),""),"")))))</f>
        <v>proforma_drag</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143</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t="str">
        <f>IF(ROW()-1&lt;=0,"",IF(ROW()-1&lt;=$L$2,IFERROR(INDEX(MCQ!$A:$K,ROW()-1+1,5),""),IF(ROW()-1&lt;=$L$2+$M$2,IFERROR(INDEX(CLOZE_AB!$A:$K,ROW()-1-$L$2+1,5),""),IF(ROW()-1&lt;=$L$2+$M$2+$N$2,IFERROR(INDEX(CLOZE_LIST!$A:$K,ROW()-1-$L$2-$M$2+1,5),""),IF(ROW()-1&lt;=$L$2+$M$2+$N$2+$O$2,IFERROR(INDEX(PROFORMA!$A:$K,ROW()-1-$L$2-$M$2-$N$2+1,5),""),"")))))</f>
        <v>proforma_drag</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143</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t="str">
        <f>IF(ROW()-1&lt;=0,"",IF(ROW()-1&lt;=$L$2,IFERROR(INDEX(MCQ!$A:$K,ROW()-1+1,5),""),IF(ROW()-1&lt;=$L$2+$M$2,IFERROR(INDEX(CLOZE_AB!$A:$K,ROW()-1-$L$2+1,5),""),IF(ROW()-1&lt;=$L$2+$M$2+$N$2,IFERROR(INDEX(CLOZE_LIST!$A:$K,ROW()-1-$L$2-$M$2+1,5),""),IF(ROW()-1&lt;=$L$2+$M$2+$N$2+$O$2,IFERROR(INDEX(PROFORMA!$A:$K,ROW()-1-$L$2-$M$2-$N$2+1,5),""),"")))))</f>
        <v>proforma_drag</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143</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t="str">
        <f>IF(ROW()-1&lt;=0,"",IF(ROW()-1&lt;=$L$2,IFERROR(INDEX(MCQ!$A:$K,ROW()-1+1,5),""),IF(ROW()-1&lt;=$L$2+$M$2,IFERROR(INDEX(CLOZE_AB!$A:$K,ROW()-1-$L$2+1,5),""),IF(ROW()-1&lt;=$L$2+$M$2+$N$2,IFERROR(INDEX(CLOZE_LIST!$A:$K,ROW()-1-$L$2-$M$2+1,5),""),IF(ROW()-1&lt;=$L$2+$M$2+$N$2+$O$2,IFERROR(INDEX(PROFORMA!$A:$K,ROW()-1-$L$2-$M$2-$N$2+1,5),""),"")))))</f>
        <v>proforma_drag</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143</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t="str">
        <f>IF(ROW()-1&lt;=0,"",IF(ROW()-1&lt;=$L$2,IFERROR(INDEX(MCQ!$A:$K,ROW()-1+1,5),""),IF(ROW()-1&lt;=$L$2+$M$2,IFERROR(INDEX(CLOZE_AB!$A:$K,ROW()-1-$L$2+1,5),""),IF(ROW()-1&lt;=$L$2+$M$2+$N$2,IFERROR(INDEX(CLOZE_LIST!$A:$K,ROW()-1-$L$2-$M$2+1,5),""),IF(ROW()-1&lt;=$L$2+$M$2+$N$2+$O$2,IFERROR(INDEX(PROFORMA!$A:$K,ROW()-1-$L$2-$M$2-$N$2+1,5),""),"")))))</f>
        <v>proforma_drag</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143</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t="str">
        <f>IF(ROW()-1&lt;=0,"",IF(ROW()-1&lt;=$L$2,IFERROR(INDEX(MCQ!$A:$K,ROW()-1+1,5),""),IF(ROW()-1&lt;=$L$2+$M$2,IFERROR(INDEX(CLOZE_AB!$A:$K,ROW()-1-$L$2+1,5),""),IF(ROW()-1&lt;=$L$2+$M$2+$N$2,IFERROR(INDEX(CLOZE_LIST!$A:$K,ROW()-1-$L$2-$M$2+1,5),""),IF(ROW()-1&lt;=$L$2+$M$2+$N$2+$O$2,IFERROR(INDEX(PROFORMA!$A:$K,ROW()-1-$L$2-$M$2-$N$2+1,5),""),"")))))</f>
        <v>proforma_drag</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143</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t="str">
        <f>IF(ROW()-1&lt;=0,"",IF(ROW()-1&lt;=$L$2,IFERROR(INDEX(MCQ!$A:$K,ROW()-1+1,5),""),IF(ROW()-1&lt;=$L$2+$M$2,IFERROR(INDEX(CLOZE_AB!$A:$K,ROW()-1-$L$2+1,5),""),IF(ROW()-1&lt;=$L$2+$M$2+$N$2,IFERROR(INDEX(CLOZE_LIST!$A:$K,ROW()-1-$L$2-$M$2+1,5),""),IF(ROW()-1&lt;=$L$2+$M$2+$N$2+$O$2,IFERROR(INDEX(PROFORMA!$A:$K,ROW()-1-$L$2-$M$2-$N$2+1,5),""),"")))))</f>
        <v>proforma_drag</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143</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t="str">
        <f>IF(ROW()-1&lt;=0,"",IF(ROW()-1&lt;=$L$2,IFERROR(INDEX(MCQ!$A:$K,ROW()-1+1,5),""),IF(ROW()-1&lt;=$L$2+$M$2,IFERROR(INDEX(CLOZE_AB!$A:$K,ROW()-1-$L$2+1,5),""),IF(ROW()-1&lt;=$L$2+$M$2+$N$2,IFERROR(INDEX(CLOZE_LIST!$A:$K,ROW()-1-$L$2-$M$2+1,5),""),IF(ROW()-1&lt;=$L$2+$M$2+$N$2+$O$2,IFERROR(INDEX(PROFORMA!$A:$K,ROW()-1-$L$2-$M$2-$N$2+1,5),""),"")))))</f>
        <v>proforma_drag</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143</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t="str">
        <f>IF(ROW()-1&lt;=0,"",IF(ROW()-1&lt;=$L$2,IFERROR(INDEX(MCQ!$A:$K,ROW()-1+1,5),""),IF(ROW()-1&lt;=$L$2+$M$2,IFERROR(INDEX(CLOZE_AB!$A:$K,ROW()-1-$L$2+1,5),""),IF(ROW()-1&lt;=$L$2+$M$2+$N$2,IFERROR(INDEX(CLOZE_LIST!$A:$K,ROW()-1-$L$2-$M$2+1,5),""),IF(ROW()-1&lt;=$L$2+$M$2+$N$2+$O$2,IFERROR(INDEX(PROFORMA!$A:$K,ROW()-1-$L$2-$M$2-$N$2+1,5),""),"")))))</f>
        <v>proforma_drag</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143</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t="str">
        <f>IF(ROW()-1&lt;=0,"",IF(ROW()-1&lt;=$L$2,IFERROR(INDEX(MCQ!$A:$K,ROW()-1+1,5),""),IF(ROW()-1&lt;=$L$2+$M$2,IFERROR(INDEX(CLOZE_AB!$A:$K,ROW()-1-$L$2+1,5),""),IF(ROW()-1&lt;=$L$2+$M$2+$N$2,IFERROR(INDEX(CLOZE_LIST!$A:$K,ROW()-1-$L$2-$M$2+1,5),""),IF(ROW()-1&lt;=$L$2+$M$2+$N$2+$O$2,IFERROR(INDEX(PROFORMA!$A:$K,ROW()-1-$L$2-$M$2-$N$2+1,5),""),"")))))</f>
        <v>proforma_drag</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143</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t="str">
        <f>IF(ROW()-1&lt;=0,"",IF(ROW()-1&lt;=$L$2,IFERROR(INDEX(MCQ!$A:$K,ROW()-1+1,5),""),IF(ROW()-1&lt;=$L$2+$M$2,IFERROR(INDEX(CLOZE_AB!$A:$K,ROW()-1-$L$2+1,5),""),IF(ROW()-1&lt;=$L$2+$M$2+$N$2,IFERROR(INDEX(CLOZE_LIST!$A:$K,ROW()-1-$L$2-$M$2+1,5),""),IF(ROW()-1&lt;=$L$2+$M$2+$N$2+$O$2,IFERROR(INDEX(PROFORMA!$A:$K,ROW()-1-$L$2-$M$2-$N$2+1,5),""),"")))))</f>
        <v>proforma_drag</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143</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t="str">
        <f>IF(ROW()-1&lt;=0,"",IF(ROW()-1&lt;=$L$2,IFERROR(INDEX(MCQ!$A:$K,ROW()-1+1,5),""),IF(ROW()-1&lt;=$L$2+$M$2,IFERROR(INDEX(CLOZE_AB!$A:$K,ROW()-1-$L$2+1,5),""),IF(ROW()-1&lt;=$L$2+$M$2+$N$2,IFERROR(INDEX(CLOZE_LIST!$A:$K,ROW()-1-$L$2-$M$2+1,5),""),IF(ROW()-1&lt;=$L$2+$M$2+$N$2+$O$2,IFERROR(INDEX(PROFORMA!$A:$K,ROW()-1-$L$2-$M$2-$N$2+1,5),""),"")))))</f>
        <v>proforma_drag</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143</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t="str">
        <f>IF(ROW()-1&lt;=0,"",IF(ROW()-1&lt;=$L$2,IFERROR(INDEX(MCQ!$A:$K,ROW()-1+1,5),""),IF(ROW()-1&lt;=$L$2+$M$2,IFERROR(INDEX(CLOZE_AB!$A:$K,ROW()-1-$L$2+1,5),""),IF(ROW()-1&lt;=$L$2+$M$2+$N$2,IFERROR(INDEX(CLOZE_LIST!$A:$K,ROW()-1-$L$2-$M$2+1,5),""),IF(ROW()-1&lt;=$L$2+$M$2+$N$2+$O$2,IFERROR(INDEX(PROFORMA!$A:$K,ROW()-1-$L$2-$M$2-$N$2+1,5),""),"")))))</f>
        <v>proforma_drag</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143</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t="str">
        <f>IF(ROW()-1&lt;=0,"",IF(ROW()-1&lt;=$L$2,IFERROR(INDEX(MCQ!$A:$K,ROW()-1+1,5),""),IF(ROW()-1&lt;=$L$2+$M$2,IFERROR(INDEX(CLOZE_AB!$A:$K,ROW()-1-$L$2+1,5),""),IF(ROW()-1&lt;=$L$2+$M$2+$N$2,IFERROR(INDEX(CLOZE_LIST!$A:$K,ROW()-1-$L$2-$M$2+1,5),""),IF(ROW()-1&lt;=$L$2+$M$2+$N$2+$O$2,IFERROR(INDEX(PROFORMA!$A:$K,ROW()-1-$L$2-$M$2-$N$2+1,5),""),"")))))</f>
        <v>proforma_drag</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143</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t="str">
        <f>IF(ROW()-1&lt;=0,"",IF(ROW()-1&lt;=$L$2,IFERROR(INDEX(MCQ!$A:$K,ROW()-1+1,5),""),IF(ROW()-1&lt;=$L$2+$M$2,IFERROR(INDEX(CLOZE_AB!$A:$K,ROW()-1-$L$2+1,5),""),IF(ROW()-1&lt;=$L$2+$M$2+$N$2,IFERROR(INDEX(CLOZE_LIST!$A:$K,ROW()-1-$L$2-$M$2+1,5),""),IF(ROW()-1&lt;=$L$2+$M$2+$N$2+$O$2,IFERROR(INDEX(PROFORMA!$A:$K,ROW()-1-$L$2-$M$2-$N$2+1,5),""),"")))))</f>
        <v>proforma_drag</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143</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t="str">
        <f>IF(ROW()-1&lt;=0,"",IF(ROW()-1&lt;=$L$2,IFERROR(INDEX(MCQ!$A:$K,ROW()-1+1,5),""),IF(ROW()-1&lt;=$L$2+$M$2,IFERROR(INDEX(CLOZE_AB!$A:$K,ROW()-1-$L$2+1,5),""),IF(ROW()-1&lt;=$L$2+$M$2+$N$2,IFERROR(INDEX(CLOZE_LIST!$A:$K,ROW()-1-$L$2-$M$2+1,5),""),IF(ROW()-1&lt;=$L$2+$M$2+$N$2+$O$2,IFERROR(INDEX(PROFORMA!$A:$K,ROW()-1-$L$2-$M$2-$N$2+1,5),""),"")))))</f>
        <v>proforma_drag</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143</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t="str">
        <f>IF(ROW()-1&lt;=0,"",IF(ROW()-1&lt;=$L$2,IFERROR(INDEX(MCQ!$A:$K,ROW()-1+1,5),""),IF(ROW()-1&lt;=$L$2+$M$2,IFERROR(INDEX(CLOZE_AB!$A:$K,ROW()-1-$L$2+1,5),""),IF(ROW()-1&lt;=$L$2+$M$2+$N$2,IFERROR(INDEX(CLOZE_LIST!$A:$K,ROW()-1-$L$2-$M$2+1,5),""),IF(ROW()-1&lt;=$L$2+$M$2+$N$2+$O$2,IFERROR(INDEX(PROFORMA!$A:$K,ROW()-1-$L$2-$M$2-$N$2+1,5),""),"")))))</f>
        <v>proforma_drag</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143</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t="str">
        <f>IF(ROW()-1&lt;=0,"",IF(ROW()-1&lt;=$L$2,IFERROR(INDEX(MCQ!$A:$K,ROW()-1+1,5),""),IF(ROW()-1&lt;=$L$2+$M$2,IFERROR(INDEX(CLOZE_AB!$A:$K,ROW()-1-$L$2+1,5),""),IF(ROW()-1&lt;=$L$2+$M$2+$N$2,IFERROR(INDEX(CLOZE_LIST!$A:$K,ROW()-1-$L$2-$M$2+1,5),""),IF(ROW()-1&lt;=$L$2+$M$2+$N$2+$O$2,IFERROR(INDEX(PROFORMA!$A:$K,ROW()-1-$L$2-$M$2-$N$2+1,5),""),"")))))</f>
        <v>proforma_drag</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143</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t="str">
        <f>IF(ROW()-1&lt;=0,"",IF(ROW()-1&lt;=$L$2,IFERROR(INDEX(MCQ!$A:$K,ROW()-1+1,5),""),IF(ROW()-1&lt;=$L$2+$M$2,IFERROR(INDEX(CLOZE_AB!$A:$K,ROW()-1-$L$2+1,5),""),IF(ROW()-1&lt;=$L$2+$M$2+$N$2,IFERROR(INDEX(CLOZE_LIST!$A:$K,ROW()-1-$L$2-$M$2+1,5),""),IF(ROW()-1&lt;=$L$2+$M$2+$N$2+$O$2,IFERROR(INDEX(PROFORMA!$A:$K,ROW()-1-$L$2-$M$2-$N$2+1,5),""),"")))))</f>
        <v>proforma_drag</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143</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t="str">
        <f>IF(ROW()-1&lt;=0,"",IF(ROW()-1&lt;=$L$2,IFERROR(INDEX(MCQ!$A:$K,ROW()-1+1,5),""),IF(ROW()-1&lt;=$L$2+$M$2,IFERROR(INDEX(CLOZE_AB!$A:$K,ROW()-1-$L$2+1,5),""),IF(ROW()-1&lt;=$L$2+$M$2+$N$2,IFERROR(INDEX(CLOZE_LIST!$A:$K,ROW()-1-$L$2-$M$2+1,5),""),IF(ROW()-1&lt;=$L$2+$M$2+$N$2+$O$2,IFERROR(INDEX(PROFORMA!$A:$K,ROW()-1-$L$2-$M$2-$N$2+1,5),""),"")))))</f>
        <v>proforma_drag</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143</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t="str">
        <f>IF(ROW()-1&lt;=0,"",IF(ROW()-1&lt;=$L$2,IFERROR(INDEX(MCQ!$A:$K,ROW()-1+1,5),""),IF(ROW()-1&lt;=$L$2+$M$2,IFERROR(INDEX(CLOZE_AB!$A:$K,ROW()-1-$L$2+1,5),""),IF(ROW()-1&lt;=$L$2+$M$2+$N$2,IFERROR(INDEX(CLOZE_LIST!$A:$K,ROW()-1-$L$2-$M$2+1,5),""),IF(ROW()-1&lt;=$L$2+$M$2+$N$2+$O$2,IFERROR(INDEX(PROFORMA!$A:$K,ROW()-1-$L$2-$M$2-$N$2+1,5),""),"")))))</f>
        <v>proforma_drag</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143</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t="str">
        <f>IF(ROW()-1&lt;=0,"",IF(ROW()-1&lt;=$L$2,IFERROR(INDEX(MCQ!$A:$K,ROW()-1+1,5),""),IF(ROW()-1&lt;=$L$2+$M$2,IFERROR(INDEX(CLOZE_AB!$A:$K,ROW()-1-$L$2+1,5),""),IF(ROW()-1&lt;=$L$2+$M$2+$N$2,IFERROR(INDEX(CLOZE_LIST!$A:$K,ROW()-1-$L$2-$M$2+1,5),""),IF(ROW()-1&lt;=$L$2+$M$2+$N$2+$O$2,IFERROR(INDEX(PROFORMA!$A:$K,ROW()-1-$L$2-$M$2-$N$2+1,5),""),"")))))</f>
        <v>proforma_drag</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143</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t="str">
        <f>IF(ROW()-1&lt;=0,"",IF(ROW()-1&lt;=$L$2,IFERROR(INDEX(MCQ!$A:$K,ROW()-1+1,5),""),IF(ROW()-1&lt;=$L$2+$M$2,IFERROR(INDEX(CLOZE_AB!$A:$K,ROW()-1-$L$2+1,5),""),IF(ROW()-1&lt;=$L$2+$M$2+$N$2,IFERROR(INDEX(CLOZE_LIST!$A:$K,ROW()-1-$L$2-$M$2+1,5),""),IF(ROW()-1&lt;=$L$2+$M$2+$N$2+$O$2,IFERROR(INDEX(PROFORMA!$A:$K,ROW()-1-$L$2-$M$2-$N$2+1,5),""),"")))))</f>
        <v>proforma_drag</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143</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t="str">
        <f>IF(ROW()-1&lt;=0,"",IF(ROW()-1&lt;=$L$2,IFERROR(INDEX(MCQ!$A:$K,ROW()-1+1,5),""),IF(ROW()-1&lt;=$L$2+$M$2,IFERROR(INDEX(CLOZE_AB!$A:$K,ROW()-1-$L$2+1,5),""),IF(ROW()-1&lt;=$L$2+$M$2+$N$2,IFERROR(INDEX(CLOZE_LIST!$A:$K,ROW()-1-$L$2-$M$2+1,5),""),IF(ROW()-1&lt;=$L$2+$M$2+$N$2+$O$2,IFERROR(INDEX(PROFORMA!$A:$K,ROW()-1-$L$2-$M$2-$N$2+1,5),""),"")))))</f>
        <v>proforma_drag</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143</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t="str">
        <f>IF(ROW()-1&lt;=0,"",IF(ROW()-1&lt;=$L$2,IFERROR(INDEX(MCQ!$A:$K,ROW()-1+1,5),""),IF(ROW()-1&lt;=$L$2+$M$2,IFERROR(INDEX(CLOZE_AB!$A:$K,ROW()-1-$L$2+1,5),""),IF(ROW()-1&lt;=$L$2+$M$2+$N$2,IFERROR(INDEX(CLOZE_LIST!$A:$K,ROW()-1-$L$2-$M$2+1,5),""),IF(ROW()-1&lt;=$L$2+$M$2+$N$2+$O$2,IFERROR(INDEX(PROFORMA!$A:$K,ROW()-1-$L$2-$M$2-$N$2+1,5),""),"")))))</f>
        <v>proforma_drag</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143</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t="str">
        <f>IF(ROW()-1&lt;=0,"",IF(ROW()-1&lt;=$L$2,IFERROR(INDEX(MCQ!$A:$K,ROW()-1+1,5),""),IF(ROW()-1&lt;=$L$2+$M$2,IFERROR(INDEX(CLOZE_AB!$A:$K,ROW()-1-$L$2+1,5),""),IF(ROW()-1&lt;=$L$2+$M$2+$N$2,IFERROR(INDEX(CLOZE_LIST!$A:$K,ROW()-1-$L$2-$M$2+1,5),""),IF(ROW()-1&lt;=$L$2+$M$2+$N$2+$O$2,IFERROR(INDEX(PROFORMA!$A:$K,ROW()-1-$L$2-$M$2-$N$2+1,5),""),"")))))</f>
        <v>proforma_drag</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143</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t="str">
        <f>IF(ROW()-1&lt;=0,"",IF(ROW()-1&lt;=$L$2,IFERROR(INDEX(MCQ!$A:$K,ROW()-1+1,5),""),IF(ROW()-1&lt;=$L$2+$M$2,IFERROR(INDEX(CLOZE_AB!$A:$K,ROW()-1-$L$2+1,5),""),IF(ROW()-1&lt;=$L$2+$M$2+$N$2,IFERROR(INDEX(CLOZE_LIST!$A:$K,ROW()-1-$L$2-$M$2+1,5),""),IF(ROW()-1&lt;=$L$2+$M$2+$N$2+$O$2,IFERROR(INDEX(PROFORMA!$A:$K,ROW()-1-$L$2-$M$2-$N$2+1,5),""),"")))))</f>
        <v>proforma_drag</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143</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t="str">
        <f>IF(ROW()-1&lt;=0,"",IF(ROW()-1&lt;=$L$2,IFERROR(INDEX(MCQ!$A:$K,ROW()-1+1,5),""),IF(ROW()-1&lt;=$L$2+$M$2,IFERROR(INDEX(CLOZE_AB!$A:$K,ROW()-1-$L$2+1,5),""),IF(ROW()-1&lt;=$L$2+$M$2+$N$2,IFERROR(INDEX(CLOZE_LIST!$A:$K,ROW()-1-$L$2-$M$2+1,5),""),IF(ROW()-1&lt;=$L$2+$M$2+$N$2+$O$2,IFERROR(INDEX(PROFORMA!$A:$K,ROW()-1-$L$2-$M$2-$N$2+1,5),""),"")))))</f>
        <v>proforma_drag</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143</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t="str">
        <f>IF(ROW()-1&lt;=0,"",IF(ROW()-1&lt;=$L$2,IFERROR(INDEX(MCQ!$A:$K,ROW()-1+1,5),""),IF(ROW()-1&lt;=$L$2+$M$2,IFERROR(INDEX(CLOZE_AB!$A:$K,ROW()-1-$L$2+1,5),""),IF(ROW()-1&lt;=$L$2+$M$2+$N$2,IFERROR(INDEX(CLOZE_LIST!$A:$K,ROW()-1-$L$2-$M$2+1,5),""),IF(ROW()-1&lt;=$L$2+$M$2+$N$2+$O$2,IFERROR(INDEX(PROFORMA!$A:$K,ROW()-1-$L$2-$M$2-$N$2+1,5),""),"")))))</f>
        <v>proforma_drag</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143</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t="str">
        <f>IF(ROW()-1&lt;=0,"",IF(ROW()-1&lt;=$L$2,IFERROR(INDEX(MCQ!$A:$K,ROW()-1+1,5),""),IF(ROW()-1&lt;=$L$2+$M$2,IFERROR(INDEX(CLOZE_AB!$A:$K,ROW()-1-$L$2+1,5),""),IF(ROW()-1&lt;=$L$2+$M$2+$N$2,IFERROR(INDEX(CLOZE_LIST!$A:$K,ROW()-1-$L$2-$M$2+1,5),""),IF(ROW()-1&lt;=$L$2+$M$2+$N$2+$O$2,IFERROR(INDEX(PROFORMA!$A:$K,ROW()-1-$L$2-$M$2-$N$2+1,5),""),"")))))</f>
        <v>proforma_drag</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143</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t="str">
        <f>IF(ROW()-1&lt;=0,"",IF(ROW()-1&lt;=$L$2,IFERROR(INDEX(MCQ!$A:$K,ROW()-1+1,5),""),IF(ROW()-1&lt;=$L$2+$M$2,IFERROR(INDEX(CLOZE_AB!$A:$K,ROW()-1-$L$2+1,5),""),IF(ROW()-1&lt;=$L$2+$M$2+$N$2,IFERROR(INDEX(CLOZE_LIST!$A:$K,ROW()-1-$L$2-$M$2+1,5),""),IF(ROW()-1&lt;=$L$2+$M$2+$N$2+$O$2,IFERROR(INDEX(PROFORMA!$A:$K,ROW()-1-$L$2-$M$2-$N$2+1,5),""),"")))))</f>
        <v>proforma_drag</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143</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t="str">
        <f>IF(ROW()-1&lt;=0,"",IF(ROW()-1&lt;=$L$2,IFERROR(INDEX(MCQ!$A:$K,ROW()-1+1,5),""),IF(ROW()-1&lt;=$L$2+$M$2,IFERROR(INDEX(CLOZE_AB!$A:$K,ROW()-1-$L$2+1,5),""),IF(ROW()-1&lt;=$L$2+$M$2+$N$2,IFERROR(INDEX(CLOZE_LIST!$A:$K,ROW()-1-$L$2-$M$2+1,5),""),IF(ROW()-1&lt;=$L$2+$M$2+$N$2+$O$2,IFERROR(INDEX(PROFORMA!$A:$K,ROW()-1-$L$2-$M$2-$N$2+1,5),""),"")))))</f>
        <v>proforma_drag</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143</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t="str">
        <f>IF(ROW()-1&lt;=0,"",IF(ROW()-1&lt;=$L$2,IFERROR(INDEX(MCQ!$A:$K,ROW()-1+1,5),""),IF(ROW()-1&lt;=$L$2+$M$2,IFERROR(INDEX(CLOZE_AB!$A:$K,ROW()-1-$L$2+1,5),""),IF(ROW()-1&lt;=$L$2+$M$2+$N$2,IFERROR(INDEX(CLOZE_LIST!$A:$K,ROW()-1-$L$2-$M$2+1,5),""),IF(ROW()-1&lt;=$L$2+$M$2+$N$2+$O$2,IFERROR(INDEX(PROFORMA!$A:$K,ROW()-1-$L$2-$M$2-$N$2+1,5),""),"")))))</f>
        <v>proforma_drag</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143</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t="str">
        <f>IF(ROW()-1&lt;=0,"",IF(ROW()-1&lt;=$L$2,IFERROR(INDEX(MCQ!$A:$K,ROW()-1+1,5),""),IF(ROW()-1&lt;=$L$2+$M$2,IFERROR(INDEX(CLOZE_AB!$A:$K,ROW()-1-$L$2+1,5),""),IF(ROW()-1&lt;=$L$2+$M$2+$N$2,IFERROR(INDEX(CLOZE_LIST!$A:$K,ROW()-1-$L$2-$M$2+1,5),""),IF(ROW()-1&lt;=$L$2+$M$2+$N$2+$O$2,IFERROR(INDEX(PROFORMA!$A:$K,ROW()-1-$L$2-$M$2-$N$2+1,5),""),"")))))</f>
        <v>proforma_drag</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143</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t="str">
        <f>IF(ROW()-1&lt;=0,"",IF(ROW()-1&lt;=$L$2,IFERROR(INDEX(MCQ!$A:$K,ROW()-1+1,5),""),IF(ROW()-1&lt;=$L$2+$M$2,IFERROR(INDEX(CLOZE_AB!$A:$K,ROW()-1-$L$2+1,5),""),IF(ROW()-1&lt;=$L$2+$M$2+$N$2,IFERROR(INDEX(CLOZE_LIST!$A:$K,ROW()-1-$L$2-$M$2+1,5),""),IF(ROW()-1&lt;=$L$2+$M$2+$N$2+$O$2,IFERROR(INDEX(PROFORMA!$A:$K,ROW()-1-$L$2-$M$2-$N$2+1,5),""),"")))))</f>
        <v>proforma_drag</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143</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t="str">
        <f>IF(ROW()-1&lt;=0,"",IF(ROW()-1&lt;=$L$2,IFERROR(INDEX(MCQ!$A:$K,ROW()-1+1,5),""),IF(ROW()-1&lt;=$L$2+$M$2,IFERROR(INDEX(CLOZE_AB!$A:$K,ROW()-1-$L$2+1,5),""),IF(ROW()-1&lt;=$L$2+$M$2+$N$2,IFERROR(INDEX(CLOZE_LIST!$A:$K,ROW()-1-$L$2-$M$2+1,5),""),IF(ROW()-1&lt;=$L$2+$M$2+$N$2+$O$2,IFERROR(INDEX(PROFORMA!$A:$K,ROW()-1-$L$2-$M$2-$N$2+1,5),""),"")))))</f>
        <v>proforma_drag</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143</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t="str">
        <f>IF(ROW()-1&lt;=0,"",IF(ROW()-1&lt;=$L$2,IFERROR(INDEX(MCQ!$A:$K,ROW()-1+1,5),""),IF(ROW()-1&lt;=$L$2+$M$2,IFERROR(INDEX(CLOZE_AB!$A:$K,ROW()-1-$L$2+1,5),""),IF(ROW()-1&lt;=$L$2+$M$2+$N$2,IFERROR(INDEX(CLOZE_LIST!$A:$K,ROW()-1-$L$2-$M$2+1,5),""),IF(ROW()-1&lt;=$L$2+$M$2+$N$2+$O$2,IFERROR(INDEX(PROFORMA!$A:$K,ROW()-1-$L$2-$M$2-$N$2+1,5),""),"")))))</f>
        <v>proforma_drag</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143</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t="str">
        <f>IF(ROW()-1&lt;=0,"",IF(ROW()-1&lt;=$L$2,IFERROR(INDEX(MCQ!$A:$K,ROW()-1+1,5),""),IF(ROW()-1&lt;=$L$2+$M$2,IFERROR(INDEX(CLOZE_AB!$A:$K,ROW()-1-$L$2+1,5),""),IF(ROW()-1&lt;=$L$2+$M$2+$N$2,IFERROR(INDEX(CLOZE_LIST!$A:$K,ROW()-1-$L$2-$M$2+1,5),""),IF(ROW()-1&lt;=$L$2+$M$2+$N$2+$O$2,IFERROR(INDEX(PROFORMA!$A:$K,ROW()-1-$L$2-$M$2-$N$2+1,5),""),"")))))</f>
        <v>proforma_drag</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143</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t="str">
        <f>IF(ROW()-1&lt;=0,"",IF(ROW()-1&lt;=$L$2,IFERROR(INDEX(MCQ!$A:$K,ROW()-1+1,5),""),IF(ROW()-1&lt;=$L$2+$M$2,IFERROR(INDEX(CLOZE_AB!$A:$K,ROW()-1-$L$2+1,5),""),IF(ROW()-1&lt;=$L$2+$M$2+$N$2,IFERROR(INDEX(CLOZE_LIST!$A:$K,ROW()-1-$L$2-$M$2+1,5),""),IF(ROW()-1&lt;=$L$2+$M$2+$N$2+$O$2,IFERROR(INDEX(PROFORMA!$A:$K,ROW()-1-$L$2-$M$2-$N$2+1,5),""),"")))))</f>
        <v>proforma_drag</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143</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t="str">
        <f>IF(ROW()-1&lt;=0,"",IF(ROW()-1&lt;=$L$2,IFERROR(INDEX(MCQ!$A:$K,ROW()-1+1,5),""),IF(ROW()-1&lt;=$L$2+$M$2,IFERROR(INDEX(CLOZE_AB!$A:$K,ROW()-1-$L$2+1,5),""),IF(ROW()-1&lt;=$L$2+$M$2+$N$2,IFERROR(INDEX(CLOZE_LIST!$A:$K,ROW()-1-$L$2-$M$2+1,5),""),IF(ROW()-1&lt;=$L$2+$M$2+$N$2+$O$2,IFERROR(INDEX(PROFORMA!$A:$K,ROW()-1-$L$2-$M$2-$N$2+1,5),""),"")))))</f>
        <v>proforma_drag</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143</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t="str">
        <f>IF(ROW()-1&lt;=0,"",IF(ROW()-1&lt;=$L$2,IFERROR(INDEX(MCQ!$A:$K,ROW()-1+1,5),""),IF(ROW()-1&lt;=$L$2+$M$2,IFERROR(INDEX(CLOZE_AB!$A:$K,ROW()-1-$L$2+1,5),""),IF(ROW()-1&lt;=$L$2+$M$2+$N$2,IFERROR(INDEX(CLOZE_LIST!$A:$K,ROW()-1-$L$2-$M$2+1,5),""),IF(ROW()-1&lt;=$L$2+$M$2+$N$2+$O$2,IFERROR(INDEX(PROFORMA!$A:$K,ROW()-1-$L$2-$M$2-$N$2+1,5),""),"")))))</f>
        <v>proforma_drag</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143</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t="str">
        <f>IF(ROW()-1&lt;=0,"",IF(ROW()-1&lt;=$L$2,IFERROR(INDEX(MCQ!$A:$K,ROW()-1+1,5),""),IF(ROW()-1&lt;=$L$2+$M$2,IFERROR(INDEX(CLOZE_AB!$A:$K,ROW()-1-$L$2+1,5),""),IF(ROW()-1&lt;=$L$2+$M$2+$N$2,IFERROR(INDEX(CLOZE_LIST!$A:$K,ROW()-1-$L$2-$M$2+1,5),""),IF(ROW()-1&lt;=$L$2+$M$2+$N$2+$O$2,IFERROR(INDEX(PROFORMA!$A:$K,ROW()-1-$L$2-$M$2-$N$2+1,5),""),"")))))</f>
        <v>proforma_drag</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143</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t="str">
        <f>IF(ROW()-1&lt;=0,"",IF(ROW()-1&lt;=$L$2,IFERROR(INDEX(MCQ!$A:$K,ROW()-1+1,5),""),IF(ROW()-1&lt;=$L$2+$M$2,IFERROR(INDEX(CLOZE_AB!$A:$K,ROW()-1-$L$2+1,5),""),IF(ROW()-1&lt;=$L$2+$M$2+$N$2,IFERROR(INDEX(CLOZE_LIST!$A:$K,ROW()-1-$L$2-$M$2+1,5),""),IF(ROW()-1&lt;=$L$2+$M$2+$N$2+$O$2,IFERROR(INDEX(PROFORMA!$A:$K,ROW()-1-$L$2-$M$2-$N$2+1,5),""),"")))))</f>
        <v>proforma_drag</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143</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t="str">
        <f>IF(ROW()-1&lt;=0,"",IF(ROW()-1&lt;=$L$2,IFERROR(INDEX(MCQ!$A:$K,ROW()-1+1,5),""),IF(ROW()-1&lt;=$L$2+$M$2,IFERROR(INDEX(CLOZE_AB!$A:$K,ROW()-1-$L$2+1,5),""),IF(ROW()-1&lt;=$L$2+$M$2+$N$2,IFERROR(INDEX(CLOZE_LIST!$A:$K,ROW()-1-$L$2-$M$2+1,5),""),IF(ROW()-1&lt;=$L$2+$M$2+$N$2+$O$2,IFERROR(INDEX(PROFORMA!$A:$K,ROW()-1-$L$2-$M$2-$N$2+1,5),""),"")))))</f>
        <v>proforma_drag</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143</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t="str">
        <f>IF(ROW()-1&lt;=0,"",IF(ROW()-1&lt;=$L$2,IFERROR(INDEX(MCQ!$A:$K,ROW()-1+1,5),""),IF(ROW()-1&lt;=$L$2+$M$2,IFERROR(INDEX(CLOZE_AB!$A:$K,ROW()-1-$L$2+1,5),""),IF(ROW()-1&lt;=$L$2+$M$2+$N$2,IFERROR(INDEX(CLOZE_LIST!$A:$K,ROW()-1-$L$2-$M$2+1,5),""),IF(ROW()-1&lt;=$L$2+$M$2+$N$2+$O$2,IFERROR(INDEX(PROFORMA!$A:$K,ROW()-1-$L$2-$M$2-$N$2+1,5),""),"")))))</f>
        <v>proforma_drag</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143</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t="str">
        <f>IF(ROW()-1&lt;=0,"",IF(ROW()-1&lt;=$L$2,IFERROR(INDEX(MCQ!$A:$K,ROW()-1+1,5),""),IF(ROW()-1&lt;=$L$2+$M$2,IFERROR(INDEX(CLOZE_AB!$A:$K,ROW()-1-$L$2+1,5),""),IF(ROW()-1&lt;=$L$2+$M$2+$N$2,IFERROR(INDEX(CLOZE_LIST!$A:$K,ROW()-1-$L$2-$M$2+1,5),""),IF(ROW()-1&lt;=$L$2+$M$2+$N$2+$O$2,IFERROR(INDEX(PROFORMA!$A:$K,ROW()-1-$L$2-$M$2-$N$2+1,5),""),"")))))</f>
        <v>proforma_drag</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143</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t="str">
        <f>IF(ROW()-1&lt;=0,"",IF(ROW()-1&lt;=$L$2,IFERROR(INDEX(MCQ!$A:$K,ROW()-1+1,5),""),IF(ROW()-1&lt;=$L$2+$M$2,IFERROR(INDEX(CLOZE_AB!$A:$K,ROW()-1-$L$2+1,5),""),IF(ROW()-1&lt;=$L$2+$M$2+$N$2,IFERROR(INDEX(CLOZE_LIST!$A:$K,ROW()-1-$L$2-$M$2+1,5),""),IF(ROW()-1&lt;=$L$2+$M$2+$N$2+$O$2,IFERROR(INDEX(PROFORMA!$A:$K,ROW()-1-$L$2-$M$2-$N$2+1,5),""),"")))))</f>
        <v>proforma_drag</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143</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t="str">
        <f>IF(ROW()-1&lt;=0,"",IF(ROW()-1&lt;=$L$2,IFERROR(INDEX(MCQ!$A:$K,ROW()-1+1,5),""),IF(ROW()-1&lt;=$L$2+$M$2,IFERROR(INDEX(CLOZE_AB!$A:$K,ROW()-1-$L$2+1,5),""),IF(ROW()-1&lt;=$L$2+$M$2+$N$2,IFERROR(INDEX(CLOZE_LIST!$A:$K,ROW()-1-$L$2-$M$2+1,5),""),IF(ROW()-1&lt;=$L$2+$M$2+$N$2+$O$2,IFERROR(INDEX(PROFORMA!$A:$K,ROW()-1-$L$2-$M$2-$N$2+1,5),""),"")))))</f>
        <v>proforma_drag</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143</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t="str">
        <f>IF(ROW()-1&lt;=0,"",IF(ROW()-1&lt;=$L$2,IFERROR(INDEX(MCQ!$A:$K,ROW()-1+1,5),""),IF(ROW()-1&lt;=$L$2+$M$2,IFERROR(INDEX(CLOZE_AB!$A:$K,ROW()-1-$L$2+1,5),""),IF(ROW()-1&lt;=$L$2+$M$2+$N$2,IFERROR(INDEX(CLOZE_LIST!$A:$K,ROW()-1-$L$2-$M$2+1,5),""),IF(ROW()-1&lt;=$L$2+$M$2+$N$2+$O$2,IFERROR(INDEX(PROFORMA!$A:$K,ROW()-1-$L$2-$M$2-$N$2+1,5),""),"")))))</f>
        <v>proforma_drag</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143</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t="str">
        <f>IF(ROW()-1&lt;=0,"",IF(ROW()-1&lt;=$L$2,IFERROR(INDEX(MCQ!$A:$K,ROW()-1+1,5),""),IF(ROW()-1&lt;=$L$2+$M$2,IFERROR(INDEX(CLOZE_AB!$A:$K,ROW()-1-$L$2+1,5),""),IF(ROW()-1&lt;=$L$2+$M$2+$N$2,IFERROR(INDEX(CLOZE_LIST!$A:$K,ROW()-1-$L$2-$M$2+1,5),""),IF(ROW()-1&lt;=$L$2+$M$2+$N$2+$O$2,IFERROR(INDEX(PROFORMA!$A:$K,ROW()-1-$L$2-$M$2-$N$2+1,5),""),"")))))</f>
        <v>proforma_drag</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143</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t="str">
        <f>IF(ROW()-1&lt;=0,"",IF(ROW()-1&lt;=$L$2,IFERROR(INDEX(MCQ!$A:$K,ROW()-1+1,5),""),IF(ROW()-1&lt;=$L$2+$M$2,IFERROR(INDEX(CLOZE_AB!$A:$K,ROW()-1-$L$2+1,5),""),IF(ROW()-1&lt;=$L$2+$M$2+$N$2,IFERROR(INDEX(CLOZE_LIST!$A:$K,ROW()-1-$L$2-$M$2+1,5),""),IF(ROW()-1&lt;=$L$2+$M$2+$N$2+$O$2,IFERROR(INDEX(PROFORMA!$A:$K,ROW()-1-$L$2-$M$2-$N$2+1,5),""),"")))))</f>
        <v>proforma_drag</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143</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t="str">
        <f>IF(ROW()-1&lt;=0,"",IF(ROW()-1&lt;=$L$2,IFERROR(INDEX(MCQ!$A:$K,ROW()-1+1,5),""),IF(ROW()-1&lt;=$L$2+$M$2,IFERROR(INDEX(CLOZE_AB!$A:$K,ROW()-1-$L$2+1,5),""),IF(ROW()-1&lt;=$L$2+$M$2+$N$2,IFERROR(INDEX(CLOZE_LIST!$A:$K,ROW()-1-$L$2-$M$2+1,5),""),IF(ROW()-1&lt;=$L$2+$M$2+$N$2+$O$2,IFERROR(INDEX(PROFORMA!$A:$K,ROW()-1-$L$2-$M$2-$N$2+1,5),""),"")))))</f>
        <v>proforma_drag</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143</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t="str">
        <f>IF(ROW()-1&lt;=0,"",IF(ROW()-1&lt;=$L$2,IFERROR(INDEX(MCQ!$A:$K,ROW()-1+1,5),""),IF(ROW()-1&lt;=$L$2+$M$2,IFERROR(INDEX(CLOZE_AB!$A:$K,ROW()-1-$L$2+1,5),""),IF(ROW()-1&lt;=$L$2+$M$2+$N$2,IFERROR(INDEX(CLOZE_LIST!$A:$K,ROW()-1-$L$2-$M$2+1,5),""),IF(ROW()-1&lt;=$L$2+$M$2+$N$2+$O$2,IFERROR(INDEX(PROFORMA!$A:$K,ROW()-1-$L$2-$M$2-$N$2+1,5),""),"")))))</f>
        <v>proforma_drag</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143</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t="str">
        <f>IF(ROW()-1&lt;=0,"",IF(ROW()-1&lt;=$L$2,IFERROR(INDEX(MCQ!$A:$K,ROW()-1+1,5),""),IF(ROW()-1&lt;=$L$2+$M$2,IFERROR(INDEX(CLOZE_AB!$A:$K,ROW()-1-$L$2+1,5),""),IF(ROW()-1&lt;=$L$2+$M$2+$N$2,IFERROR(INDEX(CLOZE_LIST!$A:$K,ROW()-1-$L$2-$M$2+1,5),""),IF(ROW()-1&lt;=$L$2+$M$2+$N$2+$O$2,IFERROR(INDEX(PROFORMA!$A:$K,ROW()-1-$L$2-$M$2-$N$2+1,5),""),"")))))</f>
        <v>proforma_drag</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143</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t="str">
        <f>IF(ROW()-1&lt;=0,"",IF(ROW()-1&lt;=$L$2,IFERROR(INDEX(MCQ!$A:$K,ROW()-1+1,5),""),IF(ROW()-1&lt;=$L$2+$M$2,IFERROR(INDEX(CLOZE_AB!$A:$K,ROW()-1-$L$2+1,5),""),IF(ROW()-1&lt;=$L$2+$M$2+$N$2,IFERROR(INDEX(CLOZE_LIST!$A:$K,ROW()-1-$L$2-$M$2+1,5),""),IF(ROW()-1&lt;=$L$2+$M$2+$N$2+$O$2,IFERROR(INDEX(PROFORMA!$A:$K,ROW()-1-$L$2-$M$2-$N$2+1,5),""),"")))))</f>
        <v>proforma_drag</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143</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t="str">
        <f>IF(ROW()-1&lt;=0,"",IF(ROW()-1&lt;=$L$2,IFERROR(INDEX(MCQ!$A:$K,ROW()-1+1,5),""),IF(ROW()-1&lt;=$L$2+$M$2,IFERROR(INDEX(CLOZE_AB!$A:$K,ROW()-1-$L$2+1,5),""),IF(ROW()-1&lt;=$L$2+$M$2+$N$2,IFERROR(INDEX(CLOZE_LIST!$A:$K,ROW()-1-$L$2-$M$2+1,5),""),IF(ROW()-1&lt;=$L$2+$M$2+$N$2+$O$2,IFERROR(INDEX(PROFORMA!$A:$K,ROW()-1-$L$2-$M$2-$N$2+1,5),""),"")))))</f>
        <v>proforma_drag</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143</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t="str">
        <f>IF(ROW()-1&lt;=0,"",IF(ROW()-1&lt;=$L$2,IFERROR(INDEX(MCQ!$A:$K,ROW()-1+1,5),""),IF(ROW()-1&lt;=$L$2+$M$2,IFERROR(INDEX(CLOZE_AB!$A:$K,ROW()-1-$L$2+1,5),""),IF(ROW()-1&lt;=$L$2+$M$2+$N$2,IFERROR(INDEX(CLOZE_LIST!$A:$K,ROW()-1-$L$2-$M$2+1,5),""),IF(ROW()-1&lt;=$L$2+$M$2+$N$2+$O$2,IFERROR(INDEX(PROFORMA!$A:$K,ROW()-1-$L$2-$M$2-$N$2+1,5),""),"")))))</f>
        <v>proforma_drag</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143</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t="str">
        <f>IF(ROW()-1&lt;=0,"",IF(ROW()-1&lt;=$L$2,IFERROR(INDEX(MCQ!$A:$K,ROW()-1+1,5),""),IF(ROW()-1&lt;=$L$2+$M$2,IFERROR(INDEX(CLOZE_AB!$A:$K,ROW()-1-$L$2+1,5),""),IF(ROW()-1&lt;=$L$2+$M$2+$N$2,IFERROR(INDEX(CLOZE_LIST!$A:$K,ROW()-1-$L$2-$M$2+1,5),""),IF(ROW()-1&lt;=$L$2+$M$2+$N$2+$O$2,IFERROR(INDEX(PROFORMA!$A:$K,ROW()-1-$L$2-$M$2-$N$2+1,5),""),"")))))</f>
        <v>proforma_drag</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143</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t="str">
        <f>IF(ROW()-1&lt;=0,"",IF(ROW()-1&lt;=$L$2,IFERROR(INDEX(MCQ!$A:$K,ROW()-1+1,5),""),IF(ROW()-1&lt;=$L$2+$M$2,IFERROR(INDEX(CLOZE_AB!$A:$K,ROW()-1-$L$2+1,5),""),IF(ROW()-1&lt;=$L$2+$M$2+$N$2,IFERROR(INDEX(CLOZE_LIST!$A:$K,ROW()-1-$L$2-$M$2+1,5),""),IF(ROW()-1&lt;=$L$2+$M$2+$N$2+$O$2,IFERROR(INDEX(PROFORMA!$A:$K,ROW()-1-$L$2-$M$2-$N$2+1,5),""),"")))))</f>
        <v>proforma_drag</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143</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t="str">
        <f>IF(ROW()-1&lt;=0,"",IF(ROW()-1&lt;=$L$2,IFERROR(INDEX(MCQ!$A:$K,ROW()-1+1,5),""),IF(ROW()-1&lt;=$L$2+$M$2,IFERROR(INDEX(CLOZE_AB!$A:$K,ROW()-1-$L$2+1,5),""),IF(ROW()-1&lt;=$L$2+$M$2+$N$2,IFERROR(INDEX(CLOZE_LIST!$A:$K,ROW()-1-$L$2-$M$2+1,5),""),IF(ROW()-1&lt;=$L$2+$M$2+$N$2+$O$2,IFERROR(INDEX(PROFORMA!$A:$K,ROW()-1-$L$2-$M$2-$N$2+1,5),""),"")))))</f>
        <v>proforma_drag</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143</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t="str">
        <f>IF(ROW()-1&lt;=0,"",IF(ROW()-1&lt;=$L$2,IFERROR(INDEX(MCQ!$A:$K,ROW()-1+1,5),""),IF(ROW()-1&lt;=$L$2+$M$2,IFERROR(INDEX(CLOZE_AB!$A:$K,ROW()-1-$L$2+1,5),""),IF(ROW()-1&lt;=$L$2+$M$2+$N$2,IFERROR(INDEX(CLOZE_LIST!$A:$K,ROW()-1-$L$2-$M$2+1,5),""),IF(ROW()-1&lt;=$L$2+$M$2+$N$2+$O$2,IFERROR(INDEX(PROFORMA!$A:$K,ROW()-1-$L$2-$M$2-$N$2+1,5),""),"")))))</f>
        <v>proforma_drag</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143</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t="str">
        <f>IF(ROW()-1&lt;=0,"",IF(ROW()-1&lt;=$L$2,IFERROR(INDEX(MCQ!$A:$K,ROW()-1+1,5),""),IF(ROW()-1&lt;=$L$2+$M$2,IFERROR(INDEX(CLOZE_AB!$A:$K,ROW()-1-$L$2+1,5),""),IF(ROW()-1&lt;=$L$2+$M$2+$N$2,IFERROR(INDEX(CLOZE_LIST!$A:$K,ROW()-1-$L$2-$M$2+1,5),""),IF(ROW()-1&lt;=$L$2+$M$2+$N$2+$O$2,IFERROR(INDEX(PROFORMA!$A:$K,ROW()-1-$L$2-$M$2-$N$2+1,5),""),"")))))</f>
        <v>proforma_drag</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143</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t="str">
        <f>IF(ROW()-1&lt;=0,"",IF(ROW()-1&lt;=$L$2,IFERROR(INDEX(MCQ!$A:$K,ROW()-1+1,5),""),IF(ROW()-1&lt;=$L$2+$M$2,IFERROR(INDEX(CLOZE_AB!$A:$K,ROW()-1-$L$2+1,5),""),IF(ROW()-1&lt;=$L$2+$M$2+$N$2,IFERROR(INDEX(CLOZE_LIST!$A:$K,ROW()-1-$L$2-$M$2+1,5),""),IF(ROW()-1&lt;=$L$2+$M$2+$N$2+$O$2,IFERROR(INDEX(PROFORMA!$A:$K,ROW()-1-$L$2-$M$2-$N$2+1,5),""),"")))))</f>
        <v>proforma_drag</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143</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t="str">
        <f>IF(ROW()-1&lt;=0,"",IF(ROW()-1&lt;=$L$2,IFERROR(INDEX(MCQ!$A:$K,ROW()-1+1,5),""),IF(ROW()-1&lt;=$L$2+$M$2,IFERROR(INDEX(CLOZE_AB!$A:$K,ROW()-1-$L$2+1,5),""),IF(ROW()-1&lt;=$L$2+$M$2+$N$2,IFERROR(INDEX(CLOZE_LIST!$A:$K,ROW()-1-$L$2-$M$2+1,5),""),IF(ROW()-1&lt;=$L$2+$M$2+$N$2+$O$2,IFERROR(INDEX(PROFORMA!$A:$K,ROW()-1-$L$2-$M$2-$N$2+1,5),""),"")))))</f>
        <v>proforma_drag</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143</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t="str">
        <f>IF(ROW()-1&lt;=0,"",IF(ROW()-1&lt;=$L$2,IFERROR(INDEX(MCQ!$A:$K,ROW()-1+1,5),""),IF(ROW()-1&lt;=$L$2+$M$2,IFERROR(INDEX(CLOZE_AB!$A:$K,ROW()-1-$L$2+1,5),""),IF(ROW()-1&lt;=$L$2+$M$2+$N$2,IFERROR(INDEX(CLOZE_LIST!$A:$K,ROW()-1-$L$2-$M$2+1,5),""),IF(ROW()-1&lt;=$L$2+$M$2+$N$2+$O$2,IFERROR(INDEX(PROFORMA!$A:$K,ROW()-1-$L$2-$M$2-$N$2+1,5),""),"")))))</f>
        <v>proforma_drag</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143</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t="str">
        <f>IF(ROW()-1&lt;=0,"",IF(ROW()-1&lt;=$L$2,IFERROR(INDEX(MCQ!$A:$K,ROW()-1+1,5),""),IF(ROW()-1&lt;=$L$2+$M$2,IFERROR(INDEX(CLOZE_AB!$A:$K,ROW()-1-$L$2+1,5),""),IF(ROW()-1&lt;=$L$2+$M$2+$N$2,IFERROR(INDEX(CLOZE_LIST!$A:$K,ROW()-1-$L$2-$M$2+1,5),""),IF(ROW()-1&lt;=$L$2+$M$2+$N$2+$O$2,IFERROR(INDEX(PROFORMA!$A:$K,ROW()-1-$L$2-$M$2-$N$2+1,5),""),"")))))</f>
        <v>proforma_drag</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143</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t="str">
        <f>IF(ROW()-1&lt;=0,"",IF(ROW()-1&lt;=$L$2,IFERROR(INDEX(MCQ!$A:$K,ROW()-1+1,5),""),IF(ROW()-1&lt;=$L$2+$M$2,IFERROR(INDEX(CLOZE_AB!$A:$K,ROW()-1-$L$2+1,5),""),IF(ROW()-1&lt;=$L$2+$M$2+$N$2,IFERROR(INDEX(CLOZE_LIST!$A:$K,ROW()-1-$L$2-$M$2+1,5),""),IF(ROW()-1&lt;=$L$2+$M$2+$N$2+$O$2,IFERROR(INDEX(PROFORMA!$A:$K,ROW()-1-$L$2-$M$2-$N$2+1,5),""),"")))))</f>
        <v>proforma_drag</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143</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t="str">
        <f>IF(ROW()-1&lt;=0,"",IF(ROW()-1&lt;=$L$2,IFERROR(INDEX(MCQ!$A:$K,ROW()-1+1,5),""),IF(ROW()-1&lt;=$L$2+$M$2,IFERROR(INDEX(CLOZE_AB!$A:$K,ROW()-1-$L$2+1,5),""),IF(ROW()-1&lt;=$L$2+$M$2+$N$2,IFERROR(INDEX(CLOZE_LIST!$A:$K,ROW()-1-$L$2-$M$2+1,5),""),IF(ROW()-1&lt;=$L$2+$M$2+$N$2+$O$2,IFERROR(INDEX(PROFORMA!$A:$K,ROW()-1-$L$2-$M$2-$N$2+1,5),""),"")))))</f>
        <v>proforma_drag</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143</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t="str">
        <f>IF(ROW()-1&lt;=0,"",IF(ROW()-1&lt;=$L$2,IFERROR(INDEX(MCQ!$A:$K,ROW()-1+1,5),""),IF(ROW()-1&lt;=$L$2+$M$2,IFERROR(INDEX(CLOZE_AB!$A:$K,ROW()-1-$L$2+1,5),""),IF(ROW()-1&lt;=$L$2+$M$2+$N$2,IFERROR(INDEX(CLOZE_LIST!$A:$K,ROW()-1-$L$2-$M$2+1,5),""),IF(ROW()-1&lt;=$L$2+$M$2+$N$2+$O$2,IFERROR(INDEX(PROFORMA!$A:$K,ROW()-1-$L$2-$M$2-$N$2+1,5),""),"")))))</f>
        <v>proforma_drag</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143</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t="str">
        <f>IF(ROW()-1&lt;=0,"",IF(ROW()-1&lt;=$L$2,IFERROR(INDEX(MCQ!$A:$K,ROW()-1+1,5),""),IF(ROW()-1&lt;=$L$2+$M$2,IFERROR(INDEX(CLOZE_AB!$A:$K,ROW()-1-$L$2+1,5),""),IF(ROW()-1&lt;=$L$2+$M$2+$N$2,IFERROR(INDEX(CLOZE_LIST!$A:$K,ROW()-1-$L$2-$M$2+1,5),""),IF(ROW()-1&lt;=$L$2+$M$2+$N$2+$O$2,IFERROR(INDEX(PROFORMA!$A:$K,ROW()-1-$L$2-$M$2-$N$2+1,5),""),"")))))</f>
        <v>proforma_drag</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143</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t="str">
        <f>IF(ROW()-1&lt;=0,"",IF(ROW()-1&lt;=$L$2,IFERROR(INDEX(MCQ!$A:$K,ROW()-1+1,5),""),IF(ROW()-1&lt;=$L$2+$M$2,IFERROR(INDEX(CLOZE_AB!$A:$K,ROW()-1-$L$2+1,5),""),IF(ROW()-1&lt;=$L$2+$M$2+$N$2,IFERROR(INDEX(CLOZE_LIST!$A:$K,ROW()-1-$L$2-$M$2+1,5),""),IF(ROW()-1&lt;=$L$2+$M$2+$N$2+$O$2,IFERROR(INDEX(PROFORMA!$A:$K,ROW()-1-$L$2-$M$2-$N$2+1,5),""),"")))))</f>
        <v>proforma_drag</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143</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t="str">
        <f>IF(ROW()-1&lt;=0,"",IF(ROW()-1&lt;=$L$2,IFERROR(INDEX(MCQ!$A:$K,ROW()-1+1,5),""),IF(ROW()-1&lt;=$L$2+$M$2,IFERROR(INDEX(CLOZE_AB!$A:$K,ROW()-1-$L$2+1,5),""),IF(ROW()-1&lt;=$L$2+$M$2+$N$2,IFERROR(INDEX(CLOZE_LIST!$A:$K,ROW()-1-$L$2-$M$2+1,5),""),IF(ROW()-1&lt;=$L$2+$M$2+$N$2+$O$2,IFERROR(INDEX(PROFORMA!$A:$K,ROW()-1-$L$2-$M$2-$N$2+1,5),""),"")))))</f>
        <v>proforma_drag</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143</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t="str">
        <f>IF(ROW()-1&lt;=0,"",IF(ROW()-1&lt;=$L$2,IFERROR(INDEX(MCQ!$A:$K,ROW()-1+1,5),""),IF(ROW()-1&lt;=$L$2+$M$2,IFERROR(INDEX(CLOZE_AB!$A:$K,ROW()-1-$L$2+1,5),""),IF(ROW()-1&lt;=$L$2+$M$2+$N$2,IFERROR(INDEX(CLOZE_LIST!$A:$K,ROW()-1-$L$2-$M$2+1,5),""),IF(ROW()-1&lt;=$L$2+$M$2+$N$2+$O$2,IFERROR(INDEX(PROFORMA!$A:$K,ROW()-1-$L$2-$M$2-$N$2+1,5),""),"")))))</f>
        <v>proforma_drag</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143</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t="str">
        <f>IF(ROW()-1&lt;=0,"",IF(ROW()-1&lt;=$L$2,IFERROR(INDEX(MCQ!$A:$K,ROW()-1+1,5),""),IF(ROW()-1&lt;=$L$2+$M$2,IFERROR(INDEX(CLOZE_AB!$A:$K,ROW()-1-$L$2+1,5),""),IF(ROW()-1&lt;=$L$2+$M$2+$N$2,IFERROR(INDEX(CLOZE_LIST!$A:$K,ROW()-1-$L$2-$M$2+1,5),""),IF(ROW()-1&lt;=$L$2+$M$2+$N$2+$O$2,IFERROR(INDEX(PROFORMA!$A:$K,ROW()-1-$L$2-$M$2-$N$2+1,5),""),"")))))</f>
        <v>proforma_drag</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143</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t="str">
        <f>IF(ROW()-1&lt;=0,"",IF(ROW()-1&lt;=$L$2,IFERROR(INDEX(MCQ!$A:$K,ROW()-1+1,5),""),IF(ROW()-1&lt;=$L$2+$M$2,IFERROR(INDEX(CLOZE_AB!$A:$K,ROW()-1-$L$2+1,5),""),IF(ROW()-1&lt;=$L$2+$M$2+$N$2,IFERROR(INDEX(CLOZE_LIST!$A:$K,ROW()-1-$L$2-$M$2+1,5),""),IF(ROW()-1&lt;=$L$2+$M$2+$N$2+$O$2,IFERROR(INDEX(PROFORMA!$A:$K,ROW()-1-$L$2-$M$2-$N$2+1,5),""),"")))))</f>
        <v>proforma_drag</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143</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t="str">
        <f>IF(ROW()-1&lt;=0,"",IF(ROW()-1&lt;=$L$2,IFERROR(INDEX(MCQ!$A:$K,ROW()-1+1,5),""),IF(ROW()-1&lt;=$L$2+$M$2,IFERROR(INDEX(CLOZE_AB!$A:$K,ROW()-1-$L$2+1,5),""),IF(ROW()-1&lt;=$L$2+$M$2+$N$2,IFERROR(INDEX(CLOZE_LIST!$A:$K,ROW()-1-$L$2-$M$2+1,5),""),IF(ROW()-1&lt;=$L$2+$M$2+$N$2+$O$2,IFERROR(INDEX(PROFORMA!$A:$K,ROW()-1-$L$2-$M$2-$N$2+1,5),""),"")))))</f>
        <v>proforma_drag</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143</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t="str">
        <f>IF(ROW()-1&lt;=0,"",IF(ROW()-1&lt;=$L$2,IFERROR(INDEX(MCQ!$A:$K,ROW()-1+1,5),""),IF(ROW()-1&lt;=$L$2+$M$2,IFERROR(INDEX(CLOZE_AB!$A:$K,ROW()-1-$L$2+1,5),""),IF(ROW()-1&lt;=$L$2+$M$2+$N$2,IFERROR(INDEX(CLOZE_LIST!$A:$K,ROW()-1-$L$2-$M$2+1,5),""),IF(ROW()-1&lt;=$L$2+$M$2+$N$2+$O$2,IFERROR(INDEX(PROFORMA!$A:$K,ROW()-1-$L$2-$M$2-$N$2+1,5),""),"")))))</f>
        <v>proforma_drag</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143</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t="str">
        <f>IF(ROW()-1&lt;=0,"",IF(ROW()-1&lt;=$L$2,IFERROR(INDEX(MCQ!$A:$K,ROW()-1+1,5),""),IF(ROW()-1&lt;=$L$2+$M$2,IFERROR(INDEX(CLOZE_AB!$A:$K,ROW()-1-$L$2+1,5),""),IF(ROW()-1&lt;=$L$2+$M$2+$N$2,IFERROR(INDEX(CLOZE_LIST!$A:$K,ROW()-1-$L$2-$M$2+1,5),""),IF(ROW()-1&lt;=$L$2+$M$2+$N$2+$O$2,IFERROR(INDEX(PROFORMA!$A:$K,ROW()-1-$L$2-$M$2-$N$2+1,5),""),"")))))</f>
        <v>proforma_drag</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143</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t="str">
        <f>IF(ROW()-1&lt;=0,"",IF(ROW()-1&lt;=$L$2,IFERROR(INDEX(MCQ!$A:$K,ROW()-1+1,5),""),IF(ROW()-1&lt;=$L$2+$M$2,IFERROR(INDEX(CLOZE_AB!$A:$K,ROW()-1-$L$2+1,5),""),IF(ROW()-1&lt;=$L$2+$M$2+$N$2,IFERROR(INDEX(CLOZE_LIST!$A:$K,ROW()-1-$L$2-$M$2+1,5),""),IF(ROW()-1&lt;=$L$2+$M$2+$N$2+$O$2,IFERROR(INDEX(PROFORMA!$A:$K,ROW()-1-$L$2-$M$2-$N$2+1,5),""),"")))))</f>
        <v>proforma_drag</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143</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t="str">
        <f>IF(ROW()-1&lt;=0,"",IF(ROW()-1&lt;=$L$2,IFERROR(INDEX(MCQ!$A:$K,ROW()-1+1,5),""),IF(ROW()-1&lt;=$L$2+$M$2,IFERROR(INDEX(CLOZE_AB!$A:$K,ROW()-1-$L$2+1,5),""),IF(ROW()-1&lt;=$L$2+$M$2+$N$2,IFERROR(INDEX(CLOZE_LIST!$A:$K,ROW()-1-$L$2-$M$2+1,5),""),IF(ROW()-1&lt;=$L$2+$M$2+$N$2+$O$2,IFERROR(INDEX(PROFORMA!$A:$K,ROW()-1-$L$2-$M$2-$N$2+1,5),""),"")))))</f>
        <v>proforma_drag</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143</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t="str">
        <f>IF(ROW()-1&lt;=0,"",IF(ROW()-1&lt;=$L$2,IFERROR(INDEX(MCQ!$A:$K,ROW()-1+1,5),""),IF(ROW()-1&lt;=$L$2+$M$2,IFERROR(INDEX(CLOZE_AB!$A:$K,ROW()-1-$L$2+1,5),""),IF(ROW()-1&lt;=$L$2+$M$2+$N$2,IFERROR(INDEX(CLOZE_LIST!$A:$K,ROW()-1-$L$2-$M$2+1,5),""),IF(ROW()-1&lt;=$L$2+$M$2+$N$2+$O$2,IFERROR(INDEX(PROFORMA!$A:$K,ROW()-1-$L$2-$M$2-$N$2+1,5),""),"")))))</f>
        <v>proforma_drag</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143</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t="str">
        <f>IF(ROW()-1&lt;=0,"",IF(ROW()-1&lt;=$L$2,IFERROR(INDEX(MCQ!$A:$K,ROW()-1+1,5),""),IF(ROW()-1&lt;=$L$2+$M$2,IFERROR(INDEX(CLOZE_AB!$A:$K,ROW()-1-$L$2+1,5),""),IF(ROW()-1&lt;=$L$2+$M$2+$N$2,IFERROR(INDEX(CLOZE_LIST!$A:$K,ROW()-1-$L$2-$M$2+1,5),""),IF(ROW()-1&lt;=$L$2+$M$2+$N$2+$O$2,IFERROR(INDEX(PROFORMA!$A:$K,ROW()-1-$L$2-$M$2-$N$2+1,5),""),"")))))</f>
        <v>proforma_drag</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143</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t="str">
        <f>IF(ROW()-1&lt;=0,"",IF(ROW()-1&lt;=$L$2,IFERROR(INDEX(MCQ!$A:$K,ROW()-1+1,5),""),IF(ROW()-1&lt;=$L$2+$M$2,IFERROR(INDEX(CLOZE_AB!$A:$K,ROW()-1-$L$2+1,5),""),IF(ROW()-1&lt;=$L$2+$M$2+$N$2,IFERROR(INDEX(CLOZE_LIST!$A:$K,ROW()-1-$L$2-$M$2+1,5),""),IF(ROW()-1&lt;=$L$2+$M$2+$N$2+$O$2,IFERROR(INDEX(PROFORMA!$A:$K,ROW()-1-$L$2-$M$2-$N$2+1,5),""),"")))))</f>
        <v>proforma_drag</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143</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t="str">
        <f>IF(ROW()-1&lt;=0,"",IF(ROW()-1&lt;=$L$2,IFERROR(INDEX(MCQ!$A:$K,ROW()-1+1,5),""),IF(ROW()-1&lt;=$L$2+$M$2,IFERROR(INDEX(CLOZE_AB!$A:$K,ROW()-1-$L$2+1,5),""),IF(ROW()-1&lt;=$L$2+$M$2+$N$2,IFERROR(INDEX(CLOZE_LIST!$A:$K,ROW()-1-$L$2-$M$2+1,5),""),IF(ROW()-1&lt;=$L$2+$M$2+$N$2+$O$2,IFERROR(INDEX(PROFORMA!$A:$K,ROW()-1-$L$2-$M$2-$N$2+1,5),""),"")))))</f>
        <v>proforma_drag</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143</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t="str">
        <f>IF(ROW()-1&lt;=0,"",IF(ROW()-1&lt;=$L$2,IFERROR(INDEX(MCQ!$A:$K,ROW()-1+1,5),""),IF(ROW()-1&lt;=$L$2+$M$2,IFERROR(INDEX(CLOZE_AB!$A:$K,ROW()-1-$L$2+1,5),""),IF(ROW()-1&lt;=$L$2+$M$2+$N$2,IFERROR(INDEX(CLOZE_LIST!$A:$K,ROW()-1-$L$2-$M$2+1,5),""),IF(ROW()-1&lt;=$L$2+$M$2+$N$2+$O$2,IFERROR(INDEX(PROFORMA!$A:$K,ROW()-1-$L$2-$M$2-$N$2+1,5),""),"")))))</f>
        <v>proforma_drag</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143</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t="str">
        <f>IF(ROW()-1&lt;=0,"",IF(ROW()-1&lt;=$L$2,IFERROR(INDEX(MCQ!$A:$K,ROW()-1+1,5),""),IF(ROW()-1&lt;=$L$2+$M$2,IFERROR(INDEX(CLOZE_AB!$A:$K,ROW()-1-$L$2+1,5),""),IF(ROW()-1&lt;=$L$2+$M$2+$N$2,IFERROR(INDEX(CLOZE_LIST!$A:$K,ROW()-1-$L$2-$M$2+1,5),""),IF(ROW()-1&lt;=$L$2+$M$2+$N$2+$O$2,IFERROR(INDEX(PROFORMA!$A:$K,ROW()-1-$L$2-$M$2-$N$2+1,5),""),"")))))</f>
        <v>proforma_drag</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143</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t="str">
        <f>IF(ROW()-1&lt;=0,"",IF(ROW()-1&lt;=$L$2,IFERROR(INDEX(MCQ!$A:$K,ROW()-1+1,5),""),IF(ROW()-1&lt;=$L$2+$M$2,IFERROR(INDEX(CLOZE_AB!$A:$K,ROW()-1-$L$2+1,5),""),IF(ROW()-1&lt;=$L$2+$M$2+$N$2,IFERROR(INDEX(CLOZE_LIST!$A:$K,ROW()-1-$L$2-$M$2+1,5),""),IF(ROW()-1&lt;=$L$2+$M$2+$N$2+$O$2,IFERROR(INDEX(PROFORMA!$A:$K,ROW()-1-$L$2-$M$2-$N$2+1,5),""),"")))))</f>
        <v>proforma_drag</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143</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t="str">
        <f>IF(ROW()-1&lt;=0,"",IF(ROW()-1&lt;=$L$2,IFERROR(INDEX(MCQ!$A:$K,ROW()-1+1,5),""),IF(ROW()-1&lt;=$L$2+$M$2,IFERROR(INDEX(CLOZE_AB!$A:$K,ROW()-1-$L$2+1,5),""),IF(ROW()-1&lt;=$L$2+$M$2+$N$2,IFERROR(INDEX(CLOZE_LIST!$A:$K,ROW()-1-$L$2-$M$2+1,5),""),IF(ROW()-1&lt;=$L$2+$M$2+$N$2+$O$2,IFERROR(INDEX(PROFORMA!$A:$K,ROW()-1-$L$2-$M$2-$N$2+1,5),""),"")))))</f>
        <v>proforma_drag</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143</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t="str">
        <f>IF(ROW()-1&lt;=0,"",IF(ROW()-1&lt;=$L$2,IFERROR(INDEX(MCQ!$A:$K,ROW()-1+1,5),""),IF(ROW()-1&lt;=$L$2+$M$2,IFERROR(INDEX(CLOZE_AB!$A:$K,ROW()-1-$L$2+1,5),""),IF(ROW()-1&lt;=$L$2+$M$2+$N$2,IFERROR(INDEX(CLOZE_LIST!$A:$K,ROW()-1-$L$2-$M$2+1,5),""),IF(ROW()-1&lt;=$L$2+$M$2+$N$2+$O$2,IFERROR(INDEX(PROFORMA!$A:$K,ROW()-1-$L$2-$M$2-$N$2+1,5),""),"")))))</f>
        <v>proforma_drag</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143</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t="str">
        <f>IF(ROW()-1&lt;=0,"",IF(ROW()-1&lt;=$L$2,IFERROR(INDEX(MCQ!$A:$K,ROW()-1+1,5),""),IF(ROW()-1&lt;=$L$2+$M$2,IFERROR(INDEX(CLOZE_AB!$A:$K,ROW()-1-$L$2+1,5),""),IF(ROW()-1&lt;=$L$2+$M$2+$N$2,IFERROR(INDEX(CLOZE_LIST!$A:$K,ROW()-1-$L$2-$M$2+1,5),""),IF(ROW()-1&lt;=$L$2+$M$2+$N$2+$O$2,IFERROR(INDEX(PROFORMA!$A:$K,ROW()-1-$L$2-$M$2-$N$2+1,5),""),"")))))</f>
        <v>proforma_drag</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143</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t="str">
        <f>IF(ROW()-1&lt;=0,"",IF(ROW()-1&lt;=$L$2,IFERROR(INDEX(MCQ!$A:$K,ROW()-1+1,5),""),IF(ROW()-1&lt;=$L$2+$M$2,IFERROR(INDEX(CLOZE_AB!$A:$K,ROW()-1-$L$2+1,5),""),IF(ROW()-1&lt;=$L$2+$M$2+$N$2,IFERROR(INDEX(CLOZE_LIST!$A:$K,ROW()-1-$L$2-$M$2+1,5),""),IF(ROW()-1&lt;=$L$2+$M$2+$N$2+$O$2,IFERROR(INDEX(PROFORMA!$A:$K,ROW()-1-$L$2-$M$2-$N$2+1,5),""),"")))))</f>
        <v>proforma_drag</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143</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t="str">
        <f>IF(ROW()-1&lt;=0,"",IF(ROW()-1&lt;=$L$2,IFERROR(INDEX(MCQ!$A:$K,ROW()-1+1,5),""),IF(ROW()-1&lt;=$L$2+$M$2,IFERROR(INDEX(CLOZE_AB!$A:$K,ROW()-1-$L$2+1,5),""),IF(ROW()-1&lt;=$L$2+$M$2+$N$2,IFERROR(INDEX(CLOZE_LIST!$A:$K,ROW()-1-$L$2-$M$2+1,5),""),IF(ROW()-1&lt;=$L$2+$M$2+$N$2+$O$2,IFERROR(INDEX(PROFORMA!$A:$K,ROW()-1-$L$2-$M$2-$N$2+1,5),""),"")))))</f>
        <v>proforma_drag</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143</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t="str">
        <f>IF(ROW()-1&lt;=0,"",IF(ROW()-1&lt;=$L$2,IFERROR(INDEX(MCQ!$A:$K,ROW()-1+1,5),""),IF(ROW()-1&lt;=$L$2+$M$2,IFERROR(INDEX(CLOZE_AB!$A:$K,ROW()-1-$L$2+1,5),""),IF(ROW()-1&lt;=$L$2+$M$2+$N$2,IFERROR(INDEX(CLOZE_LIST!$A:$K,ROW()-1-$L$2-$M$2+1,5),""),IF(ROW()-1&lt;=$L$2+$M$2+$N$2+$O$2,IFERROR(INDEX(PROFORMA!$A:$K,ROW()-1-$L$2-$M$2-$N$2+1,5),""),"")))))</f>
        <v>proforma_drag</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143</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t="str">
        <f>IF(ROW()-1&lt;=0,"",IF(ROW()-1&lt;=$L$2,IFERROR(INDEX(MCQ!$A:$K,ROW()-1+1,5),""),IF(ROW()-1&lt;=$L$2+$M$2,IFERROR(INDEX(CLOZE_AB!$A:$K,ROW()-1-$L$2+1,5),""),IF(ROW()-1&lt;=$L$2+$M$2+$N$2,IFERROR(INDEX(CLOZE_LIST!$A:$K,ROW()-1-$L$2-$M$2+1,5),""),IF(ROW()-1&lt;=$L$2+$M$2+$N$2+$O$2,IFERROR(INDEX(PROFORMA!$A:$K,ROW()-1-$L$2-$M$2-$N$2+1,5),""),"")))))</f>
        <v>proforma_drag</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143</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t="str">
        <f>IF(ROW()-1&lt;=0,"",IF(ROW()-1&lt;=$L$2,IFERROR(INDEX(MCQ!$A:$K,ROW()-1+1,5),""),IF(ROW()-1&lt;=$L$2+$M$2,IFERROR(INDEX(CLOZE_AB!$A:$K,ROW()-1-$L$2+1,5),""),IF(ROW()-1&lt;=$L$2+$M$2+$N$2,IFERROR(INDEX(CLOZE_LIST!$A:$K,ROW()-1-$L$2-$M$2+1,5),""),IF(ROW()-1&lt;=$L$2+$M$2+$N$2+$O$2,IFERROR(INDEX(PROFORMA!$A:$K,ROW()-1-$L$2-$M$2-$N$2+1,5),""),"")))))</f>
        <v>proforma_drag</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143</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t="str">
        <f>IF(ROW()-1&lt;=0,"",IF(ROW()-1&lt;=$L$2,IFERROR(INDEX(MCQ!$A:$K,ROW()-1+1,5),""),IF(ROW()-1&lt;=$L$2+$M$2,IFERROR(INDEX(CLOZE_AB!$A:$K,ROW()-1-$L$2+1,5),""),IF(ROW()-1&lt;=$L$2+$M$2+$N$2,IFERROR(INDEX(CLOZE_LIST!$A:$K,ROW()-1-$L$2-$M$2+1,5),""),IF(ROW()-1&lt;=$L$2+$M$2+$N$2+$O$2,IFERROR(INDEX(PROFORMA!$A:$K,ROW()-1-$L$2-$M$2-$N$2+1,5),""),"")))))</f>
        <v>proforma_drag</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143</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t="str">
        <f>IF(ROW()-1&lt;=0,"",IF(ROW()-1&lt;=$L$2,IFERROR(INDEX(MCQ!$A:$K,ROW()-1+1,5),""),IF(ROW()-1&lt;=$L$2+$M$2,IFERROR(INDEX(CLOZE_AB!$A:$K,ROW()-1-$L$2+1,5),""),IF(ROW()-1&lt;=$L$2+$M$2+$N$2,IFERROR(INDEX(CLOZE_LIST!$A:$K,ROW()-1-$L$2-$M$2+1,5),""),IF(ROW()-1&lt;=$L$2+$M$2+$N$2+$O$2,IFERROR(INDEX(PROFORMA!$A:$K,ROW()-1-$L$2-$M$2-$N$2+1,5),""),"")))))</f>
        <v>proforma_drag</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143</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t="str">
        <f>IF(ROW()-1&lt;=0,"",IF(ROW()-1&lt;=$L$2,IFERROR(INDEX(MCQ!$A:$K,ROW()-1+1,5),""),IF(ROW()-1&lt;=$L$2+$M$2,IFERROR(INDEX(CLOZE_AB!$A:$K,ROW()-1-$L$2+1,5),""),IF(ROW()-1&lt;=$L$2+$M$2+$N$2,IFERROR(INDEX(CLOZE_LIST!$A:$K,ROW()-1-$L$2-$M$2+1,5),""),IF(ROW()-1&lt;=$L$2+$M$2+$N$2+$O$2,IFERROR(INDEX(PROFORMA!$A:$K,ROW()-1-$L$2-$M$2-$N$2+1,5),""),"")))))</f>
        <v>proforma_drag</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143</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t="str">
        <f>IF(ROW()-1&lt;=0,"",IF(ROW()-1&lt;=$L$2,IFERROR(INDEX(MCQ!$A:$K,ROW()-1+1,5),""),IF(ROW()-1&lt;=$L$2+$M$2,IFERROR(INDEX(CLOZE_AB!$A:$K,ROW()-1-$L$2+1,5),""),IF(ROW()-1&lt;=$L$2+$M$2+$N$2,IFERROR(INDEX(CLOZE_LIST!$A:$K,ROW()-1-$L$2-$M$2+1,5),""),IF(ROW()-1&lt;=$L$2+$M$2+$N$2+$O$2,IFERROR(INDEX(PROFORMA!$A:$K,ROW()-1-$L$2-$M$2-$N$2+1,5),""),"")))))</f>
        <v>proforma_drag</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143</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t="str">
        <f>IF(ROW()-1&lt;=0,"",IF(ROW()-1&lt;=$L$2,IFERROR(INDEX(MCQ!$A:$K,ROW()-1+1,5),""),IF(ROW()-1&lt;=$L$2+$M$2,IFERROR(INDEX(CLOZE_AB!$A:$K,ROW()-1-$L$2+1,5),""),IF(ROW()-1&lt;=$L$2+$M$2+$N$2,IFERROR(INDEX(CLOZE_LIST!$A:$K,ROW()-1-$L$2-$M$2+1,5),""),IF(ROW()-1&lt;=$L$2+$M$2+$N$2+$O$2,IFERROR(INDEX(PROFORMA!$A:$K,ROW()-1-$L$2-$M$2-$N$2+1,5),""),"")))))</f>
        <v>proforma_drag</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143</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t="str">
        <f>IF(ROW()-1&lt;=0,"",IF(ROW()-1&lt;=$L$2,IFERROR(INDEX(MCQ!$A:$K,ROW()-1+1,5),""),IF(ROW()-1&lt;=$L$2+$M$2,IFERROR(INDEX(CLOZE_AB!$A:$K,ROW()-1-$L$2+1,5),""),IF(ROW()-1&lt;=$L$2+$M$2+$N$2,IFERROR(INDEX(CLOZE_LIST!$A:$K,ROW()-1-$L$2-$M$2+1,5),""),IF(ROW()-1&lt;=$L$2+$M$2+$N$2+$O$2,IFERROR(INDEX(PROFORMA!$A:$K,ROW()-1-$L$2-$M$2-$N$2+1,5),""),"")))))</f>
        <v>proforma_drag</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143</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t="str">
        <f>IF(ROW()-1&lt;=0,"",IF(ROW()-1&lt;=$L$2,IFERROR(INDEX(MCQ!$A:$K,ROW()-1+1,5),""),IF(ROW()-1&lt;=$L$2+$M$2,IFERROR(INDEX(CLOZE_AB!$A:$K,ROW()-1-$L$2+1,5),""),IF(ROW()-1&lt;=$L$2+$M$2+$N$2,IFERROR(INDEX(CLOZE_LIST!$A:$K,ROW()-1-$L$2-$M$2+1,5),""),IF(ROW()-1&lt;=$L$2+$M$2+$N$2+$O$2,IFERROR(INDEX(PROFORMA!$A:$K,ROW()-1-$L$2-$M$2-$N$2+1,5),""),"")))))</f>
        <v>proforma_drag</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143</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t="str">
        <f>IF(ROW()-1&lt;=0,"",IF(ROW()-1&lt;=$L$2,IFERROR(INDEX(MCQ!$A:$K,ROW()-1+1,5),""),IF(ROW()-1&lt;=$L$2+$M$2,IFERROR(INDEX(CLOZE_AB!$A:$K,ROW()-1-$L$2+1,5),""),IF(ROW()-1&lt;=$L$2+$M$2+$N$2,IFERROR(INDEX(CLOZE_LIST!$A:$K,ROW()-1-$L$2-$M$2+1,5),""),IF(ROW()-1&lt;=$L$2+$M$2+$N$2+$O$2,IFERROR(INDEX(PROFORMA!$A:$K,ROW()-1-$L$2-$M$2-$N$2+1,5),""),"")))))</f>
        <v>proforma_drag</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143</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t="str">
        <f>IF(ROW()-1&lt;=0,"",IF(ROW()-1&lt;=$L$2,IFERROR(INDEX(MCQ!$A:$K,ROW()-1+1,5),""),IF(ROW()-1&lt;=$L$2+$M$2,IFERROR(INDEX(CLOZE_AB!$A:$K,ROW()-1-$L$2+1,5),""),IF(ROW()-1&lt;=$L$2+$M$2+$N$2,IFERROR(INDEX(CLOZE_LIST!$A:$K,ROW()-1-$L$2-$M$2+1,5),""),IF(ROW()-1&lt;=$L$2+$M$2+$N$2+$O$2,IFERROR(INDEX(PROFORMA!$A:$K,ROW()-1-$L$2-$M$2-$N$2+1,5),""),"")))))</f>
        <v>proforma_drag</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143</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t="str">
        <f>IF(ROW()-1&lt;=0,"",IF(ROW()-1&lt;=$L$2,IFERROR(INDEX(MCQ!$A:$K,ROW()-1+1,5),""),IF(ROW()-1&lt;=$L$2+$M$2,IFERROR(INDEX(CLOZE_AB!$A:$K,ROW()-1-$L$2+1,5),""),IF(ROW()-1&lt;=$L$2+$M$2+$N$2,IFERROR(INDEX(CLOZE_LIST!$A:$K,ROW()-1-$L$2-$M$2+1,5),""),IF(ROW()-1&lt;=$L$2+$M$2+$N$2+$O$2,IFERROR(INDEX(PROFORMA!$A:$K,ROW()-1-$L$2-$M$2-$N$2+1,5),""),"")))))</f>
        <v>proforma_drag</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143</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t="str">
        <f>IF(ROW()-1&lt;=0,"",IF(ROW()-1&lt;=$L$2,IFERROR(INDEX(MCQ!$A:$K,ROW()-1+1,5),""),IF(ROW()-1&lt;=$L$2+$M$2,IFERROR(INDEX(CLOZE_AB!$A:$K,ROW()-1-$L$2+1,5),""),IF(ROW()-1&lt;=$L$2+$M$2+$N$2,IFERROR(INDEX(CLOZE_LIST!$A:$K,ROW()-1-$L$2-$M$2+1,5),""),IF(ROW()-1&lt;=$L$2+$M$2+$N$2+$O$2,IFERROR(INDEX(PROFORMA!$A:$K,ROW()-1-$L$2-$M$2-$N$2+1,5),""),"")))))</f>
        <v>proforma_drag</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143</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t="str">
        <f>IF(ROW()-1&lt;=0,"",IF(ROW()-1&lt;=$L$2,IFERROR(INDEX(MCQ!$A:$K,ROW()-1+1,5),""),IF(ROW()-1&lt;=$L$2+$M$2,IFERROR(INDEX(CLOZE_AB!$A:$K,ROW()-1-$L$2+1,5),""),IF(ROW()-1&lt;=$L$2+$M$2+$N$2,IFERROR(INDEX(CLOZE_LIST!$A:$K,ROW()-1-$L$2-$M$2+1,5),""),IF(ROW()-1&lt;=$L$2+$M$2+$N$2+$O$2,IFERROR(INDEX(PROFORMA!$A:$K,ROW()-1-$L$2-$M$2-$N$2+1,5),""),"")))))</f>
        <v>proforma_drag</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143</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t="str">
        <f>IF(ROW()-1&lt;=0,"",IF(ROW()-1&lt;=$L$2,IFERROR(INDEX(MCQ!$A:$K,ROW()-1+1,5),""),IF(ROW()-1&lt;=$L$2+$M$2,IFERROR(INDEX(CLOZE_AB!$A:$K,ROW()-1-$L$2+1,5),""),IF(ROW()-1&lt;=$L$2+$M$2+$N$2,IFERROR(INDEX(CLOZE_LIST!$A:$K,ROW()-1-$L$2-$M$2+1,5),""),IF(ROW()-1&lt;=$L$2+$M$2+$N$2+$O$2,IFERROR(INDEX(PROFORMA!$A:$K,ROW()-1-$L$2-$M$2-$N$2+1,5),""),"")))))</f>
        <v>proforma_drag</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143</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t="str">
        <f>IF(ROW()-1&lt;=0,"",IF(ROW()-1&lt;=$L$2,IFERROR(INDEX(MCQ!$A:$K,ROW()-1+1,5),""),IF(ROW()-1&lt;=$L$2+$M$2,IFERROR(INDEX(CLOZE_AB!$A:$K,ROW()-1-$L$2+1,5),""),IF(ROW()-1&lt;=$L$2+$M$2+$N$2,IFERROR(INDEX(CLOZE_LIST!$A:$K,ROW()-1-$L$2-$M$2+1,5),""),IF(ROW()-1&lt;=$L$2+$M$2+$N$2+$O$2,IFERROR(INDEX(PROFORMA!$A:$K,ROW()-1-$L$2-$M$2-$N$2+1,5),""),"")))))</f>
        <v>proforma_drag</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143</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t="str">
        <f>IF(ROW()-1&lt;=0,"",IF(ROW()-1&lt;=$L$2,IFERROR(INDEX(MCQ!$A:$K,ROW()-1+1,5),""),IF(ROW()-1&lt;=$L$2+$M$2,IFERROR(INDEX(CLOZE_AB!$A:$K,ROW()-1-$L$2+1,5),""),IF(ROW()-1&lt;=$L$2+$M$2+$N$2,IFERROR(INDEX(CLOZE_LIST!$A:$K,ROW()-1-$L$2-$M$2+1,5),""),IF(ROW()-1&lt;=$L$2+$M$2+$N$2+$O$2,IFERROR(INDEX(PROFORMA!$A:$K,ROW()-1-$L$2-$M$2-$N$2+1,5),""),"")))))</f>
        <v>proforma_drag</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143</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t="str">
        <f>IF(ROW()-1&lt;=0,"",IF(ROW()-1&lt;=$L$2,IFERROR(INDEX(MCQ!$A:$K,ROW()-1+1,5),""),IF(ROW()-1&lt;=$L$2+$M$2,IFERROR(INDEX(CLOZE_AB!$A:$K,ROW()-1-$L$2+1,5),""),IF(ROW()-1&lt;=$L$2+$M$2+$N$2,IFERROR(INDEX(CLOZE_LIST!$A:$K,ROW()-1-$L$2-$M$2+1,5),""),IF(ROW()-1&lt;=$L$2+$M$2+$N$2+$O$2,IFERROR(INDEX(PROFORMA!$A:$K,ROW()-1-$L$2-$M$2-$N$2+1,5),""),"")))))</f>
        <v>proforma_drag</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143</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t="str">
        <f>IF(ROW()-1&lt;=0,"",IF(ROW()-1&lt;=$L$2,IFERROR(INDEX(MCQ!$A:$K,ROW()-1+1,5),""),IF(ROW()-1&lt;=$L$2+$M$2,IFERROR(INDEX(CLOZE_AB!$A:$K,ROW()-1-$L$2+1,5),""),IF(ROW()-1&lt;=$L$2+$M$2+$N$2,IFERROR(INDEX(CLOZE_LIST!$A:$K,ROW()-1-$L$2-$M$2+1,5),""),IF(ROW()-1&lt;=$L$2+$M$2+$N$2+$O$2,IFERROR(INDEX(PROFORMA!$A:$K,ROW()-1-$L$2-$M$2-$N$2+1,5),""),"")))))</f>
        <v>proforma_drag</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143</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t="str">
        <f>IF(ROW()-1&lt;=0,"",IF(ROW()-1&lt;=$L$2,IFERROR(INDEX(MCQ!$A:$K,ROW()-1+1,5),""),IF(ROW()-1&lt;=$L$2+$M$2,IFERROR(INDEX(CLOZE_AB!$A:$K,ROW()-1-$L$2+1,5),""),IF(ROW()-1&lt;=$L$2+$M$2+$N$2,IFERROR(INDEX(CLOZE_LIST!$A:$K,ROW()-1-$L$2-$M$2+1,5),""),IF(ROW()-1&lt;=$L$2+$M$2+$N$2+$O$2,IFERROR(INDEX(PROFORMA!$A:$K,ROW()-1-$L$2-$M$2-$N$2+1,5),""),"")))))</f>
        <v>proforma_drag</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143</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t="str">
        <f>IF(ROW()-1&lt;=0,"",IF(ROW()-1&lt;=$L$2,IFERROR(INDEX(MCQ!$A:$K,ROW()-1+1,5),""),IF(ROW()-1&lt;=$L$2+$M$2,IFERROR(INDEX(CLOZE_AB!$A:$K,ROW()-1-$L$2+1,5),""),IF(ROW()-1&lt;=$L$2+$M$2+$N$2,IFERROR(INDEX(CLOZE_LIST!$A:$K,ROW()-1-$L$2-$M$2+1,5),""),IF(ROW()-1&lt;=$L$2+$M$2+$N$2+$O$2,IFERROR(INDEX(PROFORMA!$A:$K,ROW()-1-$L$2-$M$2-$N$2+1,5),""),"")))))</f>
        <v>proforma_drag</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143</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t="str">
        <f>IF(ROW()-1&lt;=0,"",IF(ROW()-1&lt;=$L$2,IFERROR(INDEX(MCQ!$A:$K,ROW()-1+1,5),""),IF(ROW()-1&lt;=$L$2+$M$2,IFERROR(INDEX(CLOZE_AB!$A:$K,ROW()-1-$L$2+1,5),""),IF(ROW()-1&lt;=$L$2+$M$2+$N$2,IFERROR(INDEX(CLOZE_LIST!$A:$K,ROW()-1-$L$2-$M$2+1,5),""),IF(ROW()-1&lt;=$L$2+$M$2+$N$2+$O$2,IFERROR(INDEX(PROFORMA!$A:$K,ROW()-1-$L$2-$M$2-$N$2+1,5),""),"")))))</f>
        <v>proforma_drag</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143</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t="str">
        <f>IF(ROW()-1&lt;=0,"",IF(ROW()-1&lt;=$L$2,IFERROR(INDEX(MCQ!$A:$K,ROW()-1+1,5),""),IF(ROW()-1&lt;=$L$2+$M$2,IFERROR(INDEX(CLOZE_AB!$A:$K,ROW()-1-$L$2+1,5),""),IF(ROW()-1&lt;=$L$2+$M$2+$N$2,IFERROR(INDEX(CLOZE_LIST!$A:$K,ROW()-1-$L$2-$M$2+1,5),""),IF(ROW()-1&lt;=$L$2+$M$2+$N$2+$O$2,IFERROR(INDEX(PROFORMA!$A:$K,ROW()-1-$L$2-$M$2-$N$2+1,5),""),"")))))</f>
        <v>proforma_drag</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143</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t="str">
        <f>IF(ROW()-1&lt;=0,"",IF(ROW()-1&lt;=$L$2,IFERROR(INDEX(MCQ!$A:$K,ROW()-1+1,5),""),IF(ROW()-1&lt;=$L$2+$M$2,IFERROR(INDEX(CLOZE_AB!$A:$K,ROW()-1-$L$2+1,5),""),IF(ROW()-1&lt;=$L$2+$M$2+$N$2,IFERROR(INDEX(CLOZE_LIST!$A:$K,ROW()-1-$L$2-$M$2+1,5),""),IF(ROW()-1&lt;=$L$2+$M$2+$N$2+$O$2,IFERROR(INDEX(PROFORMA!$A:$K,ROW()-1-$L$2-$M$2-$N$2+1,5),""),"")))))</f>
        <v>proforma_drag</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143</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t="str">
        <f>IF(ROW()-1&lt;=0,"",IF(ROW()-1&lt;=$L$2,IFERROR(INDEX(MCQ!$A:$K,ROW()-1+1,5),""),IF(ROW()-1&lt;=$L$2+$M$2,IFERROR(INDEX(CLOZE_AB!$A:$K,ROW()-1-$L$2+1,5),""),IF(ROW()-1&lt;=$L$2+$M$2+$N$2,IFERROR(INDEX(CLOZE_LIST!$A:$K,ROW()-1-$L$2-$M$2+1,5),""),IF(ROW()-1&lt;=$L$2+$M$2+$N$2+$O$2,IFERROR(INDEX(PROFORMA!$A:$K,ROW()-1-$L$2-$M$2-$N$2+1,5),""),"")))))</f>
        <v>proforma_drag</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143</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t="str">
        <f>IF(ROW()-1&lt;=0,"",IF(ROW()-1&lt;=$L$2,IFERROR(INDEX(MCQ!$A:$K,ROW()-1+1,5),""),IF(ROW()-1&lt;=$L$2+$M$2,IFERROR(INDEX(CLOZE_AB!$A:$K,ROW()-1-$L$2+1,5),""),IF(ROW()-1&lt;=$L$2+$M$2+$N$2,IFERROR(INDEX(CLOZE_LIST!$A:$K,ROW()-1-$L$2-$M$2+1,5),""),IF(ROW()-1&lt;=$L$2+$M$2+$N$2+$O$2,IFERROR(INDEX(PROFORMA!$A:$K,ROW()-1-$L$2-$M$2-$N$2+1,5),""),"")))))</f>
        <v>proforma_drag</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143</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t="str">
        <f>IF(ROW()-1&lt;=0,"",IF(ROW()-1&lt;=$L$2,IFERROR(INDEX(MCQ!$A:$K,ROW()-1+1,5),""),IF(ROW()-1&lt;=$L$2+$M$2,IFERROR(INDEX(CLOZE_AB!$A:$K,ROW()-1-$L$2+1,5),""),IF(ROW()-1&lt;=$L$2+$M$2+$N$2,IFERROR(INDEX(CLOZE_LIST!$A:$K,ROW()-1-$L$2-$M$2+1,5),""),IF(ROW()-1&lt;=$L$2+$M$2+$N$2+$O$2,IFERROR(INDEX(PROFORMA!$A:$K,ROW()-1-$L$2-$M$2-$N$2+1,5),""),"")))))</f>
        <v>proforma_drag</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143</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t="str">
        <f>IF(ROW()-1&lt;=0,"",IF(ROW()-1&lt;=$L$2,IFERROR(INDEX(MCQ!$A:$K,ROW()-1+1,5),""),IF(ROW()-1&lt;=$L$2+$M$2,IFERROR(INDEX(CLOZE_AB!$A:$K,ROW()-1-$L$2+1,5),""),IF(ROW()-1&lt;=$L$2+$M$2+$N$2,IFERROR(INDEX(CLOZE_LIST!$A:$K,ROW()-1-$L$2-$M$2+1,5),""),IF(ROW()-1&lt;=$L$2+$M$2+$N$2+$O$2,IFERROR(INDEX(PROFORMA!$A:$K,ROW()-1-$L$2-$M$2-$N$2+1,5),""),"")))))</f>
        <v>proforma_drag</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143</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t="str">
        <f>IF(ROW()-1&lt;=0,"",IF(ROW()-1&lt;=$L$2,IFERROR(INDEX(MCQ!$A:$K,ROW()-1+1,5),""),IF(ROW()-1&lt;=$L$2+$M$2,IFERROR(INDEX(CLOZE_AB!$A:$K,ROW()-1-$L$2+1,5),""),IF(ROW()-1&lt;=$L$2+$M$2+$N$2,IFERROR(INDEX(CLOZE_LIST!$A:$K,ROW()-1-$L$2-$M$2+1,5),""),IF(ROW()-1&lt;=$L$2+$M$2+$N$2+$O$2,IFERROR(INDEX(PROFORMA!$A:$K,ROW()-1-$L$2-$M$2-$N$2+1,5),""),"")))))</f>
        <v>proforma_drag</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143</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t="str">
        <f>IF(ROW()-1&lt;=0,"",IF(ROW()-1&lt;=$L$2,IFERROR(INDEX(MCQ!$A:$K,ROW()-1+1,5),""),IF(ROW()-1&lt;=$L$2+$M$2,IFERROR(INDEX(CLOZE_AB!$A:$K,ROW()-1-$L$2+1,5),""),IF(ROW()-1&lt;=$L$2+$M$2+$N$2,IFERROR(INDEX(CLOZE_LIST!$A:$K,ROW()-1-$L$2-$M$2+1,5),""),IF(ROW()-1&lt;=$L$2+$M$2+$N$2+$O$2,IFERROR(INDEX(PROFORMA!$A:$K,ROW()-1-$L$2-$M$2-$N$2+1,5),""),"")))))</f>
        <v>proforma_drag</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143</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t="str">
        <f>IF(ROW()-1&lt;=0,"",IF(ROW()-1&lt;=$L$2,IFERROR(INDEX(MCQ!$A:$K,ROW()-1+1,5),""),IF(ROW()-1&lt;=$L$2+$M$2,IFERROR(INDEX(CLOZE_AB!$A:$K,ROW()-1-$L$2+1,5),""),IF(ROW()-1&lt;=$L$2+$M$2+$N$2,IFERROR(INDEX(CLOZE_LIST!$A:$K,ROW()-1-$L$2-$M$2+1,5),""),IF(ROW()-1&lt;=$L$2+$M$2+$N$2+$O$2,IFERROR(INDEX(PROFORMA!$A:$K,ROW()-1-$L$2-$M$2-$N$2+1,5),""),"")))))</f>
        <v>proforma_drag</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143</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t="str">
        <f>IF(ROW()-1&lt;=0,"",IF(ROW()-1&lt;=$L$2,IFERROR(INDEX(MCQ!$A:$K,ROW()-1+1,5),""),IF(ROW()-1&lt;=$L$2+$M$2,IFERROR(INDEX(CLOZE_AB!$A:$K,ROW()-1-$L$2+1,5),""),IF(ROW()-1&lt;=$L$2+$M$2+$N$2,IFERROR(INDEX(CLOZE_LIST!$A:$K,ROW()-1-$L$2-$M$2+1,5),""),IF(ROW()-1&lt;=$L$2+$M$2+$N$2+$O$2,IFERROR(INDEX(PROFORMA!$A:$K,ROW()-1-$L$2-$M$2-$N$2+1,5),""),"")))))</f>
        <v>proforma_drag</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143</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t="str">
        <f>IF(ROW()-1&lt;=0,"",IF(ROW()-1&lt;=$L$2,IFERROR(INDEX(MCQ!$A:$K,ROW()-1+1,5),""),IF(ROW()-1&lt;=$L$2+$M$2,IFERROR(INDEX(CLOZE_AB!$A:$K,ROW()-1-$L$2+1,5),""),IF(ROW()-1&lt;=$L$2+$M$2+$N$2,IFERROR(INDEX(CLOZE_LIST!$A:$K,ROW()-1-$L$2-$M$2+1,5),""),IF(ROW()-1&lt;=$L$2+$M$2+$N$2+$O$2,IFERROR(INDEX(PROFORMA!$A:$K,ROW()-1-$L$2-$M$2-$N$2+1,5),""),"")))))</f>
        <v>proforma_drag</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143</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t="str">
        <f>IF(ROW()-1&lt;=0,"",IF(ROW()-1&lt;=$L$2,IFERROR(INDEX(MCQ!$A:$K,ROW()-1+1,5),""),IF(ROW()-1&lt;=$L$2+$M$2,IFERROR(INDEX(CLOZE_AB!$A:$K,ROW()-1-$L$2+1,5),""),IF(ROW()-1&lt;=$L$2+$M$2+$N$2,IFERROR(INDEX(CLOZE_LIST!$A:$K,ROW()-1-$L$2-$M$2+1,5),""),IF(ROW()-1&lt;=$L$2+$M$2+$N$2+$O$2,IFERROR(INDEX(PROFORMA!$A:$K,ROW()-1-$L$2-$M$2-$N$2+1,5),""),"")))))</f>
        <v>proforma_drag</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143</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t="str">
        <f>IF(ROW()-1&lt;=0,"",IF(ROW()-1&lt;=$L$2,IFERROR(INDEX(MCQ!$A:$K,ROW()-1+1,5),""),IF(ROW()-1&lt;=$L$2+$M$2,IFERROR(INDEX(CLOZE_AB!$A:$K,ROW()-1-$L$2+1,5),""),IF(ROW()-1&lt;=$L$2+$M$2+$N$2,IFERROR(INDEX(CLOZE_LIST!$A:$K,ROW()-1-$L$2-$M$2+1,5),""),IF(ROW()-1&lt;=$L$2+$M$2+$N$2+$O$2,IFERROR(INDEX(PROFORMA!$A:$K,ROW()-1-$L$2-$M$2-$N$2+1,5),""),"")))))</f>
        <v>proforma_drag</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143</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t="str">
        <f>IF(ROW()-1&lt;=0,"",IF(ROW()-1&lt;=$L$2,IFERROR(INDEX(MCQ!$A:$K,ROW()-1+1,5),""),IF(ROW()-1&lt;=$L$2+$M$2,IFERROR(INDEX(CLOZE_AB!$A:$K,ROW()-1-$L$2+1,5),""),IF(ROW()-1&lt;=$L$2+$M$2+$N$2,IFERROR(INDEX(CLOZE_LIST!$A:$K,ROW()-1-$L$2-$M$2+1,5),""),IF(ROW()-1&lt;=$L$2+$M$2+$N$2+$O$2,IFERROR(INDEX(PROFORMA!$A:$K,ROW()-1-$L$2-$M$2-$N$2+1,5),""),"")))))</f>
        <v>proforma_drag</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143</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t="str">
        <f>IF(ROW()-1&lt;=0,"",IF(ROW()-1&lt;=$L$2,IFERROR(INDEX(MCQ!$A:$K,ROW()-1+1,5),""),IF(ROW()-1&lt;=$L$2+$M$2,IFERROR(INDEX(CLOZE_AB!$A:$K,ROW()-1-$L$2+1,5),""),IF(ROW()-1&lt;=$L$2+$M$2+$N$2,IFERROR(INDEX(CLOZE_LIST!$A:$K,ROW()-1-$L$2-$M$2+1,5),""),IF(ROW()-1&lt;=$L$2+$M$2+$N$2+$O$2,IFERROR(INDEX(PROFORMA!$A:$K,ROW()-1-$L$2-$M$2-$N$2+1,5),""),"")))))</f>
        <v>proforma_drag</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143</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t="str">
        <f>IF(ROW()-1&lt;=0,"",IF(ROW()-1&lt;=$L$2,IFERROR(INDEX(MCQ!$A:$K,ROW()-1+1,5),""),IF(ROW()-1&lt;=$L$2+$M$2,IFERROR(INDEX(CLOZE_AB!$A:$K,ROW()-1-$L$2+1,5),""),IF(ROW()-1&lt;=$L$2+$M$2+$N$2,IFERROR(INDEX(CLOZE_LIST!$A:$K,ROW()-1-$L$2-$M$2+1,5),""),IF(ROW()-1&lt;=$L$2+$M$2+$N$2+$O$2,IFERROR(INDEX(PROFORMA!$A:$K,ROW()-1-$L$2-$M$2-$N$2+1,5),""),"")))))</f>
        <v>proforma_drag</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143</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t="str">
        <f>IF(ROW()-1&lt;=0,"",IF(ROW()-1&lt;=$L$2,IFERROR(INDEX(MCQ!$A:$K,ROW()-1+1,5),""),IF(ROW()-1&lt;=$L$2+$M$2,IFERROR(INDEX(CLOZE_AB!$A:$K,ROW()-1-$L$2+1,5),""),IF(ROW()-1&lt;=$L$2+$M$2+$N$2,IFERROR(INDEX(CLOZE_LIST!$A:$K,ROW()-1-$L$2-$M$2+1,5),""),IF(ROW()-1&lt;=$L$2+$M$2+$N$2+$O$2,IFERROR(INDEX(PROFORMA!$A:$K,ROW()-1-$L$2-$M$2-$N$2+1,5),""),"")))))</f>
        <v>proforma_drag</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143</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t="str">
        <f>IF(ROW()-1&lt;=0,"",IF(ROW()-1&lt;=$L$2,IFERROR(INDEX(MCQ!$A:$K,ROW()-1+1,5),""),IF(ROW()-1&lt;=$L$2+$M$2,IFERROR(INDEX(CLOZE_AB!$A:$K,ROW()-1-$L$2+1,5),""),IF(ROW()-1&lt;=$L$2+$M$2+$N$2,IFERROR(INDEX(CLOZE_LIST!$A:$K,ROW()-1-$L$2-$M$2+1,5),""),IF(ROW()-1&lt;=$L$2+$M$2+$N$2+$O$2,IFERROR(INDEX(PROFORMA!$A:$K,ROW()-1-$L$2-$M$2-$N$2+1,5),""),"")))))</f>
        <v>proforma_drag</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143</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t="str">
        <f>IF(ROW()-1&lt;=0,"",IF(ROW()-1&lt;=$L$2,IFERROR(INDEX(MCQ!$A:$K,ROW()-1+1,5),""),IF(ROW()-1&lt;=$L$2+$M$2,IFERROR(INDEX(CLOZE_AB!$A:$K,ROW()-1-$L$2+1,5),""),IF(ROW()-1&lt;=$L$2+$M$2+$N$2,IFERROR(INDEX(CLOZE_LIST!$A:$K,ROW()-1-$L$2-$M$2+1,5),""),IF(ROW()-1&lt;=$L$2+$M$2+$N$2+$O$2,IFERROR(INDEX(PROFORMA!$A:$K,ROW()-1-$L$2-$M$2-$N$2+1,5),""),"")))))</f>
        <v>proforma_drag</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143</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t="str">
        <f>IF(ROW()-1&lt;=0,"",IF(ROW()-1&lt;=$L$2,IFERROR(INDEX(MCQ!$A:$K,ROW()-1+1,5),""),IF(ROW()-1&lt;=$L$2+$M$2,IFERROR(INDEX(CLOZE_AB!$A:$K,ROW()-1-$L$2+1,5),""),IF(ROW()-1&lt;=$L$2+$M$2+$N$2,IFERROR(INDEX(CLOZE_LIST!$A:$K,ROW()-1-$L$2-$M$2+1,5),""),IF(ROW()-1&lt;=$L$2+$M$2+$N$2+$O$2,IFERROR(INDEX(PROFORMA!$A:$K,ROW()-1-$L$2-$M$2-$N$2+1,5),""),"")))))</f>
        <v>proforma_drag</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143</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t="str">
        <f>IF(ROW()-1&lt;=0,"",IF(ROW()-1&lt;=$L$2,IFERROR(INDEX(MCQ!$A:$K,ROW()-1+1,5),""),IF(ROW()-1&lt;=$L$2+$M$2,IFERROR(INDEX(CLOZE_AB!$A:$K,ROW()-1-$L$2+1,5),""),IF(ROW()-1&lt;=$L$2+$M$2+$N$2,IFERROR(INDEX(CLOZE_LIST!$A:$K,ROW()-1-$L$2-$M$2+1,5),""),IF(ROW()-1&lt;=$L$2+$M$2+$N$2+$O$2,IFERROR(INDEX(PROFORMA!$A:$K,ROW()-1-$L$2-$M$2-$N$2+1,5),""),"")))))</f>
        <v>proforma_drag</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143</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t="str">
        <f>IF(ROW()-1&lt;=0,"",IF(ROW()-1&lt;=$L$2,IFERROR(INDEX(MCQ!$A:$K,ROW()-1+1,5),""),IF(ROW()-1&lt;=$L$2+$M$2,IFERROR(INDEX(CLOZE_AB!$A:$K,ROW()-1-$L$2+1,5),""),IF(ROW()-1&lt;=$L$2+$M$2+$N$2,IFERROR(INDEX(CLOZE_LIST!$A:$K,ROW()-1-$L$2-$M$2+1,5),""),IF(ROW()-1&lt;=$L$2+$M$2+$N$2+$O$2,IFERROR(INDEX(PROFORMA!$A:$K,ROW()-1-$L$2-$M$2-$N$2+1,5),""),"")))))</f>
        <v>proforma_drag</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143</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t="str">
        <f>IF(ROW()-1&lt;=0,"",IF(ROW()-1&lt;=$L$2,IFERROR(INDEX(MCQ!$A:$K,ROW()-1+1,5),""),IF(ROW()-1&lt;=$L$2+$M$2,IFERROR(INDEX(CLOZE_AB!$A:$K,ROW()-1-$L$2+1,5),""),IF(ROW()-1&lt;=$L$2+$M$2+$N$2,IFERROR(INDEX(CLOZE_LIST!$A:$K,ROW()-1-$L$2-$M$2+1,5),""),IF(ROW()-1&lt;=$L$2+$M$2+$N$2+$O$2,IFERROR(INDEX(PROFORMA!$A:$K,ROW()-1-$L$2-$M$2-$N$2+1,5),""),"")))))</f>
        <v>proforma_drag</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143</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t="str">
        <f>IF(ROW()-1&lt;=0,"",IF(ROW()-1&lt;=$L$2,IFERROR(INDEX(MCQ!$A:$K,ROW()-1+1,5),""),IF(ROW()-1&lt;=$L$2+$M$2,IFERROR(INDEX(CLOZE_AB!$A:$K,ROW()-1-$L$2+1,5),""),IF(ROW()-1&lt;=$L$2+$M$2+$N$2,IFERROR(INDEX(CLOZE_LIST!$A:$K,ROW()-1-$L$2-$M$2+1,5),""),IF(ROW()-1&lt;=$L$2+$M$2+$N$2+$O$2,IFERROR(INDEX(PROFORMA!$A:$K,ROW()-1-$L$2-$M$2-$N$2+1,5),""),"")))))</f>
        <v>proforma_drag</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143</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t="str">
        <f>IF(ROW()-1&lt;=0,"",IF(ROW()-1&lt;=$L$2,IFERROR(INDEX(MCQ!$A:$K,ROW()-1+1,5),""),IF(ROW()-1&lt;=$L$2+$M$2,IFERROR(INDEX(CLOZE_AB!$A:$K,ROW()-1-$L$2+1,5),""),IF(ROW()-1&lt;=$L$2+$M$2+$N$2,IFERROR(INDEX(CLOZE_LIST!$A:$K,ROW()-1-$L$2-$M$2+1,5),""),IF(ROW()-1&lt;=$L$2+$M$2+$N$2+$O$2,IFERROR(INDEX(PROFORMA!$A:$K,ROW()-1-$L$2-$M$2-$N$2+1,5),""),"")))))</f>
        <v>proforma_drag</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143</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t="str">
        <f>IF(ROW()-1&lt;=0,"",IF(ROW()-1&lt;=$L$2,IFERROR(INDEX(MCQ!$A:$K,ROW()-1+1,5),""),IF(ROW()-1&lt;=$L$2+$M$2,IFERROR(INDEX(CLOZE_AB!$A:$K,ROW()-1-$L$2+1,5),""),IF(ROW()-1&lt;=$L$2+$M$2+$N$2,IFERROR(INDEX(CLOZE_LIST!$A:$K,ROW()-1-$L$2-$M$2+1,5),""),IF(ROW()-1&lt;=$L$2+$M$2+$N$2+$O$2,IFERROR(INDEX(PROFORMA!$A:$K,ROW()-1-$L$2-$M$2-$N$2+1,5),""),"")))))</f>
        <v>proforma_drag</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143</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t="str">
        <f>IF(ROW()-1&lt;=0,"",IF(ROW()-1&lt;=$L$2,IFERROR(INDEX(MCQ!$A:$K,ROW()-1+1,5),""),IF(ROW()-1&lt;=$L$2+$M$2,IFERROR(INDEX(CLOZE_AB!$A:$K,ROW()-1-$L$2+1,5),""),IF(ROW()-1&lt;=$L$2+$M$2+$N$2,IFERROR(INDEX(CLOZE_LIST!$A:$K,ROW()-1-$L$2-$M$2+1,5),""),IF(ROW()-1&lt;=$L$2+$M$2+$N$2+$O$2,IFERROR(INDEX(PROFORMA!$A:$K,ROW()-1-$L$2-$M$2-$N$2+1,5),""),"")))))</f>
        <v>proforma_drag</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143</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t="str">
        <f>IF(ROW()-1&lt;=0,"",IF(ROW()-1&lt;=$L$2,IFERROR(INDEX(MCQ!$A:$K,ROW()-1+1,5),""),IF(ROW()-1&lt;=$L$2+$M$2,IFERROR(INDEX(CLOZE_AB!$A:$K,ROW()-1-$L$2+1,5),""),IF(ROW()-1&lt;=$L$2+$M$2+$N$2,IFERROR(INDEX(CLOZE_LIST!$A:$K,ROW()-1-$L$2-$M$2+1,5),""),IF(ROW()-1&lt;=$L$2+$M$2+$N$2+$O$2,IFERROR(INDEX(PROFORMA!$A:$K,ROW()-1-$L$2-$M$2-$N$2+1,5),""),"")))))</f>
        <v>proforma_drag</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143</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t="str">
        <f>IF(ROW()-1&lt;=0,"",IF(ROW()-1&lt;=$L$2,IFERROR(INDEX(MCQ!$A:$K,ROW()-1+1,5),""),IF(ROW()-1&lt;=$L$2+$M$2,IFERROR(INDEX(CLOZE_AB!$A:$K,ROW()-1-$L$2+1,5),""),IF(ROW()-1&lt;=$L$2+$M$2+$N$2,IFERROR(INDEX(CLOZE_LIST!$A:$K,ROW()-1-$L$2-$M$2+1,5),""),IF(ROW()-1&lt;=$L$2+$M$2+$N$2+$O$2,IFERROR(INDEX(PROFORMA!$A:$K,ROW()-1-$L$2-$M$2-$N$2+1,5),""),"")))))</f>
        <v>proforma_drag</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143</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t="str">
        <f>IF(ROW()-1&lt;=0,"",IF(ROW()-1&lt;=$L$2,IFERROR(INDEX(MCQ!$A:$K,ROW()-1+1,5),""),IF(ROW()-1&lt;=$L$2+$M$2,IFERROR(INDEX(CLOZE_AB!$A:$K,ROW()-1-$L$2+1,5),""),IF(ROW()-1&lt;=$L$2+$M$2+$N$2,IFERROR(INDEX(CLOZE_LIST!$A:$K,ROW()-1-$L$2-$M$2+1,5),""),IF(ROW()-1&lt;=$L$2+$M$2+$N$2+$O$2,IFERROR(INDEX(PROFORMA!$A:$K,ROW()-1-$L$2-$M$2-$N$2+1,5),""),"")))))</f>
        <v>proforma_drag</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143</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t="str">
        <f>IF(ROW()-1&lt;=0,"",IF(ROW()-1&lt;=$L$2,IFERROR(INDEX(MCQ!$A:$K,ROW()-1+1,5),""),IF(ROW()-1&lt;=$L$2+$M$2,IFERROR(INDEX(CLOZE_AB!$A:$K,ROW()-1-$L$2+1,5),""),IF(ROW()-1&lt;=$L$2+$M$2+$N$2,IFERROR(INDEX(CLOZE_LIST!$A:$K,ROW()-1-$L$2-$M$2+1,5),""),IF(ROW()-1&lt;=$L$2+$M$2+$N$2+$O$2,IFERROR(INDEX(PROFORMA!$A:$K,ROW()-1-$L$2-$M$2-$N$2+1,5),""),"")))))</f>
        <v>proforma_drag</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143</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t="str">
        <f>IF(ROW()-1&lt;=0,"",IF(ROW()-1&lt;=$L$2,IFERROR(INDEX(MCQ!$A:$K,ROW()-1+1,5),""),IF(ROW()-1&lt;=$L$2+$M$2,IFERROR(INDEX(CLOZE_AB!$A:$K,ROW()-1-$L$2+1,5),""),IF(ROW()-1&lt;=$L$2+$M$2+$N$2,IFERROR(INDEX(CLOZE_LIST!$A:$K,ROW()-1-$L$2-$M$2+1,5),""),IF(ROW()-1&lt;=$L$2+$M$2+$N$2+$O$2,IFERROR(INDEX(PROFORMA!$A:$K,ROW()-1-$L$2-$M$2-$N$2+1,5),""),"")))))</f>
        <v>proforma_drag</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143</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t="str">
        <f>IF(ROW()-1&lt;=0,"",IF(ROW()-1&lt;=$L$2,IFERROR(INDEX(MCQ!$A:$K,ROW()-1+1,5),""),IF(ROW()-1&lt;=$L$2+$M$2,IFERROR(INDEX(CLOZE_AB!$A:$K,ROW()-1-$L$2+1,5),""),IF(ROW()-1&lt;=$L$2+$M$2+$N$2,IFERROR(INDEX(CLOZE_LIST!$A:$K,ROW()-1-$L$2-$M$2+1,5),""),IF(ROW()-1&lt;=$L$2+$M$2+$N$2+$O$2,IFERROR(INDEX(PROFORMA!$A:$K,ROW()-1-$L$2-$M$2-$N$2+1,5),""),"")))))</f>
        <v>proforma_drag</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143</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t="str">
        <f>IF(ROW()-1&lt;=0,"",IF(ROW()-1&lt;=$L$2,IFERROR(INDEX(MCQ!$A:$K,ROW()-1+1,5),""),IF(ROW()-1&lt;=$L$2+$M$2,IFERROR(INDEX(CLOZE_AB!$A:$K,ROW()-1-$L$2+1,5),""),IF(ROW()-1&lt;=$L$2+$M$2+$N$2,IFERROR(INDEX(CLOZE_LIST!$A:$K,ROW()-1-$L$2-$M$2+1,5),""),IF(ROW()-1&lt;=$L$2+$M$2+$N$2+$O$2,IFERROR(INDEX(PROFORMA!$A:$K,ROW()-1-$L$2-$M$2-$N$2+1,5),""),"")))))</f>
        <v>proforma_drag</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143</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t="str">
        <f>IF(ROW()-1&lt;=0,"",IF(ROW()-1&lt;=$L$2,IFERROR(INDEX(MCQ!$A:$K,ROW()-1+1,5),""),IF(ROW()-1&lt;=$L$2+$M$2,IFERROR(INDEX(CLOZE_AB!$A:$K,ROW()-1-$L$2+1,5),""),IF(ROW()-1&lt;=$L$2+$M$2+$N$2,IFERROR(INDEX(CLOZE_LIST!$A:$K,ROW()-1-$L$2-$M$2+1,5),""),IF(ROW()-1&lt;=$L$2+$M$2+$N$2+$O$2,IFERROR(INDEX(PROFORMA!$A:$K,ROW()-1-$L$2-$M$2-$N$2+1,5),""),"")))))</f>
        <v>proforma_drag</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143</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t="str">
        <f>IF(ROW()-1&lt;=0,"",IF(ROW()-1&lt;=$L$2,IFERROR(INDEX(MCQ!$A:$K,ROW()-1+1,5),""),IF(ROW()-1&lt;=$L$2+$M$2,IFERROR(INDEX(CLOZE_AB!$A:$K,ROW()-1-$L$2+1,5),""),IF(ROW()-1&lt;=$L$2+$M$2+$N$2,IFERROR(INDEX(CLOZE_LIST!$A:$K,ROW()-1-$L$2-$M$2+1,5),""),IF(ROW()-1&lt;=$L$2+$M$2+$N$2+$O$2,IFERROR(INDEX(PROFORMA!$A:$K,ROW()-1-$L$2-$M$2-$N$2+1,5),""),"")))))</f>
        <v>proforma_drag</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143</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t="str">
        <f>IF(ROW()-1&lt;=0,"",IF(ROW()-1&lt;=$L$2,IFERROR(INDEX(MCQ!$A:$K,ROW()-1+1,5),""),IF(ROW()-1&lt;=$L$2+$M$2,IFERROR(INDEX(CLOZE_AB!$A:$K,ROW()-1-$L$2+1,5),""),IF(ROW()-1&lt;=$L$2+$M$2+$N$2,IFERROR(INDEX(CLOZE_LIST!$A:$K,ROW()-1-$L$2-$M$2+1,5),""),IF(ROW()-1&lt;=$L$2+$M$2+$N$2+$O$2,IFERROR(INDEX(PROFORMA!$A:$K,ROW()-1-$L$2-$M$2-$N$2+1,5),""),"")))))</f>
        <v>proforma_drag</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143</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t="str">
        <f>IF(ROW()-1&lt;=0,"",IF(ROW()-1&lt;=$L$2,IFERROR(INDEX(MCQ!$A:$K,ROW()-1+1,5),""),IF(ROW()-1&lt;=$L$2+$M$2,IFERROR(INDEX(CLOZE_AB!$A:$K,ROW()-1-$L$2+1,5),""),IF(ROW()-1&lt;=$L$2+$M$2+$N$2,IFERROR(INDEX(CLOZE_LIST!$A:$K,ROW()-1-$L$2-$M$2+1,5),""),IF(ROW()-1&lt;=$L$2+$M$2+$N$2+$O$2,IFERROR(INDEX(PROFORMA!$A:$K,ROW()-1-$L$2-$M$2-$N$2+1,5),""),"")))))</f>
        <v>proforma_drag</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143</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t="str">
        <f>IF(ROW()-1&lt;=0,"",IF(ROW()-1&lt;=$L$2,IFERROR(INDEX(MCQ!$A:$K,ROW()-1+1,5),""),IF(ROW()-1&lt;=$L$2+$M$2,IFERROR(INDEX(CLOZE_AB!$A:$K,ROW()-1-$L$2+1,5),""),IF(ROW()-1&lt;=$L$2+$M$2+$N$2,IFERROR(INDEX(CLOZE_LIST!$A:$K,ROW()-1-$L$2-$M$2+1,5),""),IF(ROW()-1&lt;=$L$2+$M$2+$N$2+$O$2,IFERROR(INDEX(PROFORMA!$A:$K,ROW()-1-$L$2-$M$2-$N$2+1,5),""),"")))))</f>
        <v>proforma_drag</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143</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t="str">
        <f>IF(ROW()-1&lt;=0,"",IF(ROW()-1&lt;=$L$2,IFERROR(INDEX(MCQ!$A:$K,ROW()-1+1,5),""),IF(ROW()-1&lt;=$L$2+$M$2,IFERROR(INDEX(CLOZE_AB!$A:$K,ROW()-1-$L$2+1,5),""),IF(ROW()-1&lt;=$L$2+$M$2+$N$2,IFERROR(INDEX(CLOZE_LIST!$A:$K,ROW()-1-$L$2-$M$2+1,5),""),IF(ROW()-1&lt;=$L$2+$M$2+$N$2+$O$2,IFERROR(INDEX(PROFORMA!$A:$K,ROW()-1-$L$2-$M$2-$N$2+1,5),""),"")))))</f>
        <v>proforma_drag</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143</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t="str">
        <f>IF(ROW()-1&lt;=0,"",IF(ROW()-1&lt;=$L$2,IFERROR(INDEX(MCQ!$A:$K,ROW()-1+1,5),""),IF(ROW()-1&lt;=$L$2+$M$2,IFERROR(INDEX(CLOZE_AB!$A:$K,ROW()-1-$L$2+1,5),""),IF(ROW()-1&lt;=$L$2+$M$2+$N$2,IFERROR(INDEX(CLOZE_LIST!$A:$K,ROW()-1-$L$2-$M$2+1,5),""),IF(ROW()-1&lt;=$L$2+$M$2+$N$2+$O$2,IFERROR(INDEX(PROFORMA!$A:$K,ROW()-1-$L$2-$M$2-$N$2+1,5),""),"")))))</f>
        <v>proforma_drag</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143</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t="str">
        <f>IF(ROW()-1&lt;=0,"",IF(ROW()-1&lt;=$L$2,IFERROR(INDEX(MCQ!$A:$K,ROW()-1+1,5),""),IF(ROW()-1&lt;=$L$2+$M$2,IFERROR(INDEX(CLOZE_AB!$A:$K,ROW()-1-$L$2+1,5),""),IF(ROW()-1&lt;=$L$2+$M$2+$N$2,IFERROR(INDEX(CLOZE_LIST!$A:$K,ROW()-1-$L$2-$M$2+1,5),""),IF(ROW()-1&lt;=$L$2+$M$2+$N$2+$O$2,IFERROR(INDEX(PROFORMA!$A:$K,ROW()-1-$L$2-$M$2-$N$2+1,5),""),"")))))</f>
        <v>proforma_drag</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143</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t="str">
        <f>IF(ROW()-1&lt;=0,"",IF(ROW()-1&lt;=$L$2,IFERROR(INDEX(MCQ!$A:$K,ROW()-1+1,5),""),IF(ROW()-1&lt;=$L$2+$M$2,IFERROR(INDEX(CLOZE_AB!$A:$K,ROW()-1-$L$2+1,5),""),IF(ROW()-1&lt;=$L$2+$M$2+$N$2,IFERROR(INDEX(CLOZE_LIST!$A:$K,ROW()-1-$L$2-$M$2+1,5),""),IF(ROW()-1&lt;=$L$2+$M$2+$N$2+$O$2,IFERROR(INDEX(PROFORMA!$A:$K,ROW()-1-$L$2-$M$2-$N$2+1,5),""),"")))))</f>
        <v>proforma_drag</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143</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t="str">
        <f>IF(ROW()-1&lt;=0,"",IF(ROW()-1&lt;=$L$2,IFERROR(INDEX(MCQ!$A:$K,ROW()-1+1,5),""),IF(ROW()-1&lt;=$L$2+$M$2,IFERROR(INDEX(CLOZE_AB!$A:$K,ROW()-1-$L$2+1,5),""),IF(ROW()-1&lt;=$L$2+$M$2+$N$2,IFERROR(INDEX(CLOZE_LIST!$A:$K,ROW()-1-$L$2-$M$2+1,5),""),IF(ROW()-1&lt;=$L$2+$M$2+$N$2+$O$2,IFERROR(INDEX(PROFORMA!$A:$K,ROW()-1-$L$2-$M$2-$N$2+1,5),""),"")))))</f>
        <v>proforma_drag</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143</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t="str">
        <f>IF(ROW()-1&lt;=0,"",IF(ROW()-1&lt;=$L$2,IFERROR(INDEX(MCQ!$A:$K,ROW()-1+1,5),""),IF(ROW()-1&lt;=$L$2+$M$2,IFERROR(INDEX(CLOZE_AB!$A:$K,ROW()-1-$L$2+1,5),""),IF(ROW()-1&lt;=$L$2+$M$2+$N$2,IFERROR(INDEX(CLOZE_LIST!$A:$K,ROW()-1-$L$2-$M$2+1,5),""),IF(ROW()-1&lt;=$L$2+$M$2+$N$2+$O$2,IFERROR(INDEX(PROFORMA!$A:$K,ROW()-1-$L$2-$M$2-$N$2+1,5),""),"")))))</f>
        <v>proforma_drag</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143</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t="str">
        <f>IF(ROW()-1&lt;=0,"",IF(ROW()-1&lt;=$L$2,IFERROR(INDEX(MCQ!$A:$K,ROW()-1+1,5),""),IF(ROW()-1&lt;=$L$2+$M$2,IFERROR(INDEX(CLOZE_AB!$A:$K,ROW()-1-$L$2+1,5),""),IF(ROW()-1&lt;=$L$2+$M$2+$N$2,IFERROR(INDEX(CLOZE_LIST!$A:$K,ROW()-1-$L$2-$M$2+1,5),""),IF(ROW()-1&lt;=$L$2+$M$2+$N$2+$O$2,IFERROR(INDEX(PROFORMA!$A:$K,ROW()-1-$L$2-$M$2-$N$2+1,5),""),"")))))</f>
        <v>proforma_drag</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143</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t="str">
        <f>IF(ROW()-1&lt;=0,"",IF(ROW()-1&lt;=$L$2,IFERROR(INDEX(MCQ!$A:$K,ROW()-1+1,5),""),IF(ROW()-1&lt;=$L$2+$M$2,IFERROR(INDEX(CLOZE_AB!$A:$K,ROW()-1-$L$2+1,5),""),IF(ROW()-1&lt;=$L$2+$M$2+$N$2,IFERROR(INDEX(CLOZE_LIST!$A:$K,ROW()-1-$L$2-$M$2+1,5),""),IF(ROW()-1&lt;=$L$2+$M$2+$N$2+$O$2,IFERROR(INDEX(PROFORMA!$A:$K,ROW()-1-$L$2-$M$2-$N$2+1,5),""),"")))))</f>
        <v>proforma_drag</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143</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t="str">
        <f>IF(ROW()-1&lt;=0,"",IF(ROW()-1&lt;=$L$2,IFERROR(INDEX(MCQ!$A:$K,ROW()-1+1,5),""),IF(ROW()-1&lt;=$L$2+$M$2,IFERROR(INDEX(CLOZE_AB!$A:$K,ROW()-1-$L$2+1,5),""),IF(ROW()-1&lt;=$L$2+$M$2+$N$2,IFERROR(INDEX(CLOZE_LIST!$A:$K,ROW()-1-$L$2-$M$2+1,5),""),IF(ROW()-1&lt;=$L$2+$M$2+$N$2+$O$2,IFERROR(INDEX(PROFORMA!$A:$K,ROW()-1-$L$2-$M$2-$N$2+1,5),""),"")))))</f>
        <v>proforma_drag</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143</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t="str">
        <f>IF(ROW()-1&lt;=0,"",IF(ROW()-1&lt;=$L$2,IFERROR(INDEX(MCQ!$A:$K,ROW()-1+1,5),""),IF(ROW()-1&lt;=$L$2+$M$2,IFERROR(INDEX(CLOZE_AB!$A:$K,ROW()-1-$L$2+1,5),""),IF(ROW()-1&lt;=$L$2+$M$2+$N$2,IFERROR(INDEX(CLOZE_LIST!$A:$K,ROW()-1-$L$2-$M$2+1,5),""),IF(ROW()-1&lt;=$L$2+$M$2+$N$2+$O$2,IFERROR(INDEX(PROFORMA!$A:$K,ROW()-1-$L$2-$M$2-$N$2+1,5),""),"")))))</f>
        <v>proforma_drag</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143</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t="str">
        <f>IF(ROW()-1&lt;=0,"",IF(ROW()-1&lt;=$L$2,IFERROR(INDEX(MCQ!$A:$K,ROW()-1+1,5),""),IF(ROW()-1&lt;=$L$2+$M$2,IFERROR(INDEX(CLOZE_AB!$A:$K,ROW()-1-$L$2+1,5),""),IF(ROW()-1&lt;=$L$2+$M$2+$N$2,IFERROR(INDEX(CLOZE_LIST!$A:$K,ROW()-1-$L$2-$M$2+1,5),""),IF(ROW()-1&lt;=$L$2+$M$2+$N$2+$O$2,IFERROR(INDEX(PROFORMA!$A:$K,ROW()-1-$L$2-$M$2-$N$2+1,5),""),"")))))</f>
        <v>proforma_drag</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143</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t="str">
        <f>IF(ROW()-1&lt;=0,"",IF(ROW()-1&lt;=$L$2,IFERROR(INDEX(MCQ!$A:$K,ROW()-1+1,5),""),IF(ROW()-1&lt;=$L$2+$M$2,IFERROR(INDEX(CLOZE_AB!$A:$K,ROW()-1-$L$2+1,5),""),IF(ROW()-1&lt;=$L$2+$M$2+$N$2,IFERROR(INDEX(CLOZE_LIST!$A:$K,ROW()-1-$L$2-$M$2+1,5),""),IF(ROW()-1&lt;=$L$2+$M$2+$N$2+$O$2,IFERROR(INDEX(PROFORMA!$A:$K,ROW()-1-$L$2-$M$2-$N$2+1,5),""),"")))))</f>
        <v>proforma_drag</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143</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t="str">
        <f>IF(ROW()-1&lt;=0,"",IF(ROW()-1&lt;=$L$2,IFERROR(INDEX(MCQ!$A:$K,ROW()-1+1,5),""),IF(ROW()-1&lt;=$L$2+$M$2,IFERROR(INDEX(CLOZE_AB!$A:$K,ROW()-1-$L$2+1,5),""),IF(ROW()-1&lt;=$L$2+$M$2+$N$2,IFERROR(INDEX(CLOZE_LIST!$A:$K,ROW()-1-$L$2-$M$2+1,5),""),IF(ROW()-1&lt;=$L$2+$M$2+$N$2+$O$2,IFERROR(INDEX(PROFORMA!$A:$K,ROW()-1-$L$2-$M$2-$N$2+1,5),""),"")))))</f>
        <v>proforma_drag</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143</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t="str">
        <f>IF(ROW()-1&lt;=0,"",IF(ROW()-1&lt;=$L$2,IFERROR(INDEX(MCQ!$A:$K,ROW()-1+1,5),""),IF(ROW()-1&lt;=$L$2+$M$2,IFERROR(INDEX(CLOZE_AB!$A:$K,ROW()-1-$L$2+1,5),""),IF(ROW()-1&lt;=$L$2+$M$2+$N$2,IFERROR(INDEX(CLOZE_LIST!$A:$K,ROW()-1-$L$2-$M$2+1,5),""),IF(ROW()-1&lt;=$L$2+$M$2+$N$2+$O$2,IFERROR(INDEX(PROFORMA!$A:$K,ROW()-1-$L$2-$M$2-$N$2+1,5),""),"")))))</f>
        <v>proforma_drag</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143</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t="str">
        <f>IF(ROW()-1&lt;=0,"",IF(ROW()-1&lt;=$L$2,IFERROR(INDEX(MCQ!$A:$K,ROW()-1+1,5),""),IF(ROW()-1&lt;=$L$2+$M$2,IFERROR(INDEX(CLOZE_AB!$A:$K,ROW()-1-$L$2+1,5),""),IF(ROW()-1&lt;=$L$2+$M$2+$N$2,IFERROR(INDEX(CLOZE_LIST!$A:$K,ROW()-1-$L$2-$M$2+1,5),""),IF(ROW()-1&lt;=$L$2+$M$2+$N$2+$O$2,IFERROR(INDEX(PROFORMA!$A:$K,ROW()-1-$L$2-$M$2-$N$2+1,5),""),"")))))</f>
        <v>proforma_drag</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143</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t="str">
        <f>IF(ROW()-1&lt;=0,"",IF(ROW()-1&lt;=$L$2,IFERROR(INDEX(MCQ!$A:$K,ROW()-1+1,5),""),IF(ROW()-1&lt;=$L$2+$M$2,IFERROR(INDEX(CLOZE_AB!$A:$K,ROW()-1-$L$2+1,5),""),IF(ROW()-1&lt;=$L$2+$M$2+$N$2,IFERROR(INDEX(CLOZE_LIST!$A:$K,ROW()-1-$L$2-$M$2+1,5),""),IF(ROW()-1&lt;=$L$2+$M$2+$N$2+$O$2,IFERROR(INDEX(PROFORMA!$A:$K,ROW()-1-$L$2-$M$2-$N$2+1,5),""),"")))))</f>
        <v>proforma_drag</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143</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t="str">
        <f>IF(ROW()-1&lt;=0,"",IF(ROW()-1&lt;=$L$2,IFERROR(INDEX(MCQ!$A:$K,ROW()-1+1,5),""),IF(ROW()-1&lt;=$L$2+$M$2,IFERROR(INDEX(CLOZE_AB!$A:$K,ROW()-1-$L$2+1,5),""),IF(ROW()-1&lt;=$L$2+$M$2+$N$2,IFERROR(INDEX(CLOZE_LIST!$A:$K,ROW()-1-$L$2-$M$2+1,5),""),IF(ROW()-1&lt;=$L$2+$M$2+$N$2+$O$2,IFERROR(INDEX(PROFORMA!$A:$K,ROW()-1-$L$2-$M$2-$N$2+1,5),""),"")))))</f>
        <v>proforma_drag</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143</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t="str">
        <f>IF(ROW()-1&lt;=0,"",IF(ROW()-1&lt;=$L$2,IFERROR(INDEX(MCQ!$A:$K,ROW()-1+1,5),""),IF(ROW()-1&lt;=$L$2+$M$2,IFERROR(INDEX(CLOZE_AB!$A:$K,ROW()-1-$L$2+1,5),""),IF(ROW()-1&lt;=$L$2+$M$2+$N$2,IFERROR(INDEX(CLOZE_LIST!$A:$K,ROW()-1-$L$2-$M$2+1,5),""),IF(ROW()-1&lt;=$L$2+$M$2+$N$2+$O$2,IFERROR(INDEX(PROFORMA!$A:$K,ROW()-1-$L$2-$M$2-$N$2+1,5),""),"")))))</f>
        <v>proforma_drag</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143</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t="str">
        <f>IF(ROW()-1&lt;=0,"",IF(ROW()-1&lt;=$L$2,IFERROR(INDEX(MCQ!$A:$K,ROW()-1+1,5),""),IF(ROW()-1&lt;=$L$2+$M$2,IFERROR(INDEX(CLOZE_AB!$A:$K,ROW()-1-$L$2+1,5),""),IF(ROW()-1&lt;=$L$2+$M$2+$N$2,IFERROR(INDEX(CLOZE_LIST!$A:$K,ROW()-1-$L$2-$M$2+1,5),""),IF(ROW()-1&lt;=$L$2+$M$2+$N$2+$O$2,IFERROR(INDEX(PROFORMA!$A:$K,ROW()-1-$L$2-$M$2-$N$2+1,5),""),"")))))</f>
        <v>proforma_drag</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143</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f>IF(ROW()-1&lt;=0,"",IF(ROW()-1&lt;=$L$2,IFERROR(INDEX(MCQ!$A:$K,ROW()-1+1,2),""),IF(ROW()-1&lt;=$L$2+$M$2,IFERROR(INDEX(CLOZE_AB!$A:$K,ROW()-1-$L$2+1,2),""),IF(ROW()-1&lt;=$L$2+$M$2+$N$2,IFERROR(INDEX(CLOZE_LIST!$A:$K,ROW()-1-$L$2-$M$2+1,2),""),IF(ROW()-1&lt;=$L$2+$M$2+$N$2+$O$2,IFERROR(INDEX(PROFORMA!$A:$K,ROW()-1-$L$2-$M$2-$N$2+1,2),""),"")))))</f>
        <v>0</v>
      </c>
      <c r="C710" s="3">
        <f>IF(ROW()-1&lt;=0,"",IF(ROW()-1&lt;=$L$2,IFERROR(INDEX(MCQ!$A:$K,ROW()-1+1,3),""),IF(ROW()-1&lt;=$L$2+$M$2,IFERROR(INDEX(CLOZE_AB!$A:$K,ROW()-1-$L$2+1,3),""),IF(ROW()-1&lt;=$L$2+$M$2+$N$2,IFERROR(INDEX(CLOZE_LIST!$A:$K,ROW()-1-$L$2-$M$2+1,3),""),IF(ROW()-1&lt;=$L$2+$M$2+$N$2+$O$2,IFERROR(INDEX(PROFORMA!$A:$K,ROW()-1-$L$2-$M$2-$N$2+1,3),""),"")))))</f>
        <v>0</v>
      </c>
      <c r="D710" s="3">
        <f>IF(ROW()-1&lt;=0,"",IF(ROW()-1&lt;=$L$2,IFERROR(INDEX(MCQ!$A:$K,ROW()-1+1,4),""),IF(ROW()-1&lt;=$L$2+$M$2,IFERROR(INDEX(CLOZE_AB!$A:$K,ROW()-1-$L$2+1,4),""),IF(ROW()-1&lt;=$L$2+$M$2+$N$2,IFERROR(INDEX(CLOZE_LIST!$A:$K,ROW()-1-$L$2-$M$2+1,4),""),IF(ROW()-1&lt;=$L$2+$M$2+$N$2+$O$2,IFERROR(INDEX(PROFORMA!$A:$K,ROW()-1-$L$2-$M$2-$N$2+1,4),""),"")))))</f>
        <v>0</v>
      </c>
      <c r="E710" s="3" t="str">
        <f>IF(ROW()-1&lt;=0,"",IF(ROW()-1&lt;=$L$2,IFERROR(INDEX(MCQ!$A:$K,ROW()-1+1,5),""),IF(ROW()-1&lt;=$L$2+$M$2,IFERROR(INDEX(CLOZE_AB!$A:$K,ROW()-1-$L$2+1,5),""),IF(ROW()-1&lt;=$L$2+$M$2+$N$2,IFERROR(INDEX(CLOZE_LIST!$A:$K,ROW()-1-$L$2-$M$2+1,5),""),IF(ROW()-1&lt;=$L$2+$M$2+$N$2+$O$2,IFERROR(INDEX(PROFORMA!$A:$K,ROW()-1-$L$2-$M$2-$N$2+1,5),""),"")))))</f>
        <v>proforma_drag</v>
      </c>
      <c r="F710" s="3">
        <f>IF(ROW()-1&lt;=0,"",IF(ROW()-1&lt;=$L$2,IFERROR(INDEX(MCQ!$A:$K,ROW()-1+1,6),""),IF(ROW()-1&lt;=$L$2+$M$2,IFERROR(INDEX(CLOZE_AB!$A:$K,ROW()-1-$L$2+1,6),""),IF(ROW()-1&lt;=$L$2+$M$2+$N$2,IFERROR(INDEX(CLOZE_LIST!$A:$K,ROW()-1-$L$2-$M$2+1,6),""),IF(ROW()-1&lt;=$L$2+$M$2+$N$2+$O$2,IFERROR(INDEX(PROFORMA!$A:$K,ROW()-1-$L$2-$M$2-$N$2+1,6),""),"")))))</f>
        <v>0</v>
      </c>
      <c r="G710" s="3">
        <f>IF(ROW()-1&lt;=0,"",IF(ROW()-1&lt;=$L$2,IFERROR(INDEX(MCQ!$A:$K,ROW()-1+1,7),""),IF(ROW()-1&lt;=$L$2+$M$2,IFERROR(INDEX(CLOZE_AB!$A:$K,ROW()-1-$L$2+1,7),""),IF(ROW()-1&lt;=$L$2+$M$2+$N$2,IFERROR(INDEX(CLOZE_LIST!$A:$K,ROW()-1-$L$2-$M$2+1,7),""),IF(ROW()-1&lt;=$L$2+$M$2+$N$2+$O$2,IFERROR(INDEX(PROFORMA!$A:$K,ROW()-1-$L$2-$M$2-$N$2+1,7),""),"")))))</f>
        <v>0</v>
      </c>
      <c r="H710" s="3">
        <f>IF(ROW()-1&lt;=0,"",IF(ROW()-1&lt;=$L$2,IFERROR(INDEX(MCQ!$A:$K,ROW()-1+1,8),""),IF(ROW()-1&lt;=$L$2+$M$2,IFERROR(INDEX(CLOZE_AB!$A:$K,ROW()-1-$L$2+1,8),""),IF(ROW()-1&lt;=$L$2+$M$2+$N$2,IFERROR(INDEX(CLOZE_LIST!$A:$K,ROW()-1-$L$2-$M$2+1,8),""),IF(ROW()-1&lt;=$L$2+$M$2+$N$2+$O$2,IFERROR(INDEX(PROFORMA!$A:$K,ROW()-1-$L$2-$M$2-$N$2+1,8),""),"")))))</f>
        <v>0</v>
      </c>
      <c r="I710" s="3">
        <f>IF(ROW()-1&lt;=0,"",IF(ROW()-1&lt;=$L$2,IFERROR(INDEX(MCQ!$A:$K,ROW()-1+1,9),""),IF(ROW()-1&lt;=$L$2+$M$2,IFERROR(INDEX(CLOZE_AB!$A:$K,ROW()-1-$L$2+1,9),""),IF(ROW()-1&lt;=$L$2+$M$2+$N$2,IFERROR(INDEX(CLOZE_LIST!$A:$K,ROW()-1-$L$2-$M$2+1,9),""),IF(ROW()-1&lt;=$L$2+$M$2+$N$2+$O$2,IFERROR(INDEX(PROFORMA!$A:$K,ROW()-1-$L$2-$M$2-$N$2+1,9),""),"")))))</f>
        <v>0</v>
      </c>
      <c r="J710" s="3">
        <f>IF(ROW()-1&lt;=0,"",IF(ROW()-1&lt;=$L$2,IFERROR(INDEX(MCQ!$A:$K,ROW()-1+1,10),""),IF(ROW()-1&lt;=$L$2+$M$2,IFERROR(INDEX(CLOZE_AB!$A:$K,ROW()-1-$L$2+1,10),""),IF(ROW()-1&lt;=$L$2+$M$2+$N$2,IFERROR(INDEX(CLOZE_LIST!$A:$K,ROW()-1-$L$2-$M$2+1,10),""),IF(ROW()-1&lt;=$L$2+$M$2+$N$2+$O$2,IFERROR(INDEX(PROFORMA!$A:$K,ROW()-1-$L$2-$M$2-$N$2+1,10),""),"")))))</f>
        <v>0</v>
      </c>
      <c r="K710" s="3">
        <f>IF(ROW()-1&lt;=0,"",IF(ROW()-1&lt;=$L$2,IFERROR(INDEX(MCQ!$A:$K,ROW()-1+1,11),""),IF(ROW()-1&lt;=$L$2+$M$2,IFERROR(INDEX(CLOZE_AB!$A:$K,ROW()-1-$L$2+1,11),""),IF(ROW()-1&lt;=$L$2+$M$2+$N$2,IFERROR(INDEX(CLOZE_LIST!$A:$K,ROW()-1-$L$2-$M$2+1,11),""),IF(ROW()-1&lt;=$L$2+$M$2+$N$2+$O$2,IFERROR(INDEX(PROFORMA!$A:$K,ROW()-1-$L$2-$M$2-$N$2+1,11),""),"")))))</f>
        <v>0</v>
      </c>
      <c r="L710" s="3">
        <f>COUNTA(MCQ!$A:$A)-1</f>
        <v>143</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143</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143</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143</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143</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143</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143</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143</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143</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143</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143</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143</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143</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143</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143</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143</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143</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143</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143</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143</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143</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143</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143</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143</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143</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143</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143</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143</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143</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143</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143</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143</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143</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143</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143</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143</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143</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143</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143</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143</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143</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143</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143</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143</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143</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143</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143</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143</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143</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143</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143</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143</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143</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143</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143</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143</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143</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143</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143</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143</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143</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143</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143</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143</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143</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143</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143</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143</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143</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143</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143</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143</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143</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143</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143</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143</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143</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143</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143</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143</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143</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143</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143</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143</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143</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143</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143</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143</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143</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143</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143</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143</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143</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143</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143</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143</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143</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143</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143</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143</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143</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143</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143</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143</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143</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143</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143</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143</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143</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143</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143</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143</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143</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143</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143</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143</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143</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143</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143</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143</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143</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143</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143</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143</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143</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143</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143</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143</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143</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143</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143</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143</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143</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143</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143</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143</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143</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143</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143</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143</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143</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143</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143</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143</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143</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143</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143</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143</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143</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143</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143</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143</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143</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143</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143</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143</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143</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143</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143</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143</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143</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143</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143</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143</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143</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143</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143</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143</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143</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143</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143</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143</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143</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143</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143</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143</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143</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143</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143</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143</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143</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143</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143</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143</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143</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143</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143</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143</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143</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143</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143</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143</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143</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143</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143</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143</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143</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143</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143</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143</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143</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143</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143</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143</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143</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143</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143</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143</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143</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143</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143</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143</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143</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143</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143</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143</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143</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143</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143</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143</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143</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143</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143</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143</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143</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143</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143</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143</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143</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143</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143</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143</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143</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143</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143</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143</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143</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143</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143</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143</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143</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143</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143</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143</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143</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143</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143</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143</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143</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143</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143</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143</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143</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143</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143</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143</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143</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143</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143</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143</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143</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143</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143</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143</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143</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143</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143</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143</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143</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143</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143</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143</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143</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143</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143</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143</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143</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143</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143</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143</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143</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143</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143</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143</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143</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143</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143</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143</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143</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143</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143</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143</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143</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143</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143</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143</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143</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143</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143</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143</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143</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143</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143</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143</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143</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143</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143</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143</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143</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143</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143</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143</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143</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143</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143</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143</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143</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143</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143</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143</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143</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143</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143</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143</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143</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143</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143</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143</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143</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143</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143</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143</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143</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143</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143</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143</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143</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143</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143</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143</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143</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143</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143</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143</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143</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143</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143</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143</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143</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143</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143</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143</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143</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143</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143</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143</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143</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143</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143</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143</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143</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143</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143</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143</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143</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143</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143</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143</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143</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143</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143</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143</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143</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143</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143</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143</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143</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143</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143</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143</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143</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143</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143</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143</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143</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143</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143</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143</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143</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143</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143</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143</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143</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143</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143</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143</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143</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143</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143</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143</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143</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143</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143</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143</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143</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143</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143</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143</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143</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143</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143</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143</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143</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143</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143</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143</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143</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143</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143</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143</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143</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143</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143</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143</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143</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143</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143</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143</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143</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143</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143</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143</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143</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143</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143</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143</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143</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143</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143</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143</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143</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143</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143</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143</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143</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143</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143</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143</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143</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143</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143</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143</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143</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143</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143</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143</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143</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143</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143</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143</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143</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143</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143</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143</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143</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143</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143</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143</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143</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143</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143</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143</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143</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143</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143</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143</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143</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143</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143</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143</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143</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143</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143</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143</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143</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143</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143</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143</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143</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143</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143</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143</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143</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143</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143</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143</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143</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143</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143</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143</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143</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143</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143</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143</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143</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143</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143</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143</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143</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143</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143</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143</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143</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143</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143</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143</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143</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143</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143</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143</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143</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143</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143</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143</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143</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143</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143</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143</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143</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143</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143</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143</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143</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143</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143</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143</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143</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143</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143</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143</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143</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143</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143</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143</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143</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143</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143</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143</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143</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143</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143</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143</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143</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143</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143</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143</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143</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143</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143</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143</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143</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143</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143</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143</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143</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143</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143</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143</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143</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143</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143</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143</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143</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143</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143</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143</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143</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143</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143</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143</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143</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143</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143</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143</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143</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143</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143</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143</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143</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143</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143</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143</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143</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143</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143</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143</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143</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143</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143</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143</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143</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143</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143</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143</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143</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143</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143</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143</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143</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143</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143</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143</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143</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143</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143</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143</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143</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143</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143</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143</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143</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143</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143</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143</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143</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143</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143</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143</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143</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143</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143</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143</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143</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143</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143</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143</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143</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143</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143</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143</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143</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143</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143</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143</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143</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143</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143</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143</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143</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143</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143</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143</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143</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143</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143</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143</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143</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143</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143</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143</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143</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143</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143</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143</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143</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143</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143</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143</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143</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143</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143</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143</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143</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143</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143</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143</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143</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143</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143</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143</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143</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143</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143</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143</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143</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143</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143</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143</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143</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143</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143</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143</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143</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143</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143</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143</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143</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143</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143</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143</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143</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143</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143</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143</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143</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143</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143</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143</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143</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143</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143</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143</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143</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143</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143</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143</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143</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143</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143</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143</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143</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143</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143</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143</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143</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143</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143</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143</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143</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143</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143</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143</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143</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143</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143</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143</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143</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143</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143</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143</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143</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143</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143</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143</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143</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143</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143</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143</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143</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143</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143</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143</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143</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143</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143</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143</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143</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143</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143</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143</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143</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143</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143</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143</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143</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143</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143</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143</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143</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143</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143</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143</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143</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143</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143</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143</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143</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143</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143</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143</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143</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143</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143</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143</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143</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143</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143</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143</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143</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143</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143</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143</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143</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143</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143</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143</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143</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143</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143</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143</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143</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143</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143</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143</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143</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143</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143</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143</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143</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143</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143</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143</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143</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143</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143</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143</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143</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143</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143</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143</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143</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143</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143</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143</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143</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143</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143</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143</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143</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143</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143</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143</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143</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143</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143</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143</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143</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143</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143</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143</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143</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143</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143</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143</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143</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143</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143</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143</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143</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143</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143</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143</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143</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143</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143</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143</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143</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143</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143</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143</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143</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143</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143</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143</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143</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143</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143</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143</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143</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143</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143</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143</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143</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143</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143</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143</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143</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143</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143</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143</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143</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143</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143</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143</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143</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143</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143</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143</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143</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143</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143</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143</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143</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143</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143</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143</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143</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143</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143</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143</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143</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143</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143</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143</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143</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143</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143</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143</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143</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143</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143</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143</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143</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143</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143</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143</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143</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143</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143</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143</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143</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143</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143</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143</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143</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143</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143</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143</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143</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143</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143</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143</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143</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143</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143</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143</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143</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143</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143</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143</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143</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143</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143</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143</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143</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143</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143</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143</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143</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143</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143</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143</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143</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143</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143</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143</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143</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143</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143</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143</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143</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143</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143</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143</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143</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143</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143</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143</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143</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143</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143</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143</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143</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143</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143</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143</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143</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143</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143</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143</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143</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143</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143</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143</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143</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143</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143</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143</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143</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143</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143</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143</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143</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143</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143</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143</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143</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143</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143</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143</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143</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143</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143</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143</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143</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143</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143</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143</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143</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143</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143</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143</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143</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143</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143</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143</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143</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143</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143</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143</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143</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143</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143</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143</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143</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143</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143</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143</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143</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143</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143</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143</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143</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143</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143</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143</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143</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143</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143</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143</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143</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143</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143</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143</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143</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143</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143</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143</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143</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143</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143</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143</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143</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143</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143</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143</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143</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143</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143</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143</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143</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143</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143</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143</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143</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143</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143</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143</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143</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143</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143</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143</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143</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143</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143</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143</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143</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143</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143</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143</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143</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143</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143</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143</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143</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143</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143</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143</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143</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143</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143</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143</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143</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143</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143</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143</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143</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143</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143</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143</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143</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143</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143</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143</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143</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143</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143</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143</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143</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143</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143</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143</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143</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143</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143</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143</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143</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143</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143</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143</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143</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143</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143</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143</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143</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143</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143</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143</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143</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143</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143</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143</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143</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143</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143</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143</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143</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143</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143</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143</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143</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143</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143</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143</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143</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143</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143</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143</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143</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143</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143</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143</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143</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143</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143</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143</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143</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143</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143</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143</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143</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143</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143</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143</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143</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143</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143</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143</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143</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143</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143</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143</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143</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143</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143</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143</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143</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143</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143</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143</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143</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143</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143</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143</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143</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143</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143</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143</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143</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143</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143</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143</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143</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143</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143</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143</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143</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143</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143</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143</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143</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143</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143</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143</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143</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143</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143</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143</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143</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143</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143</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143</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143</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143</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143</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143</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143</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143</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143</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143</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143</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143</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143</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143</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143</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143</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143</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143</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143</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143</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143</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143</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143</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143</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143</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143</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143</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143</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143</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143</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143</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143</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143</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143</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143</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143</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143</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143</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143</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143</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143</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143</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143</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143</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143</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143</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143</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143</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143</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143</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143</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143</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143</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143</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143</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143</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143</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143</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143</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143</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143</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143</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143</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143</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143</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143</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143</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143</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143</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143</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143</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143</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143</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143</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143</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143</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143</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143</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143</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143</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143</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A2"/>
  <sheetViews>
    <sheetView workbookViewId="0">
      <selection activeCell="C2" sqref="C2:T2"/>
    </sheetView>
  </sheetViews>
  <sheetFormatPr defaultRowHeight="14.4" x14ac:dyDescent="0.3"/>
  <sheetData>
    <row r="1" spans="1:27" x14ac:dyDescent="0.3">
      <c r="A1" t="s">
        <v>52</v>
      </c>
      <c r="B1" t="s">
        <v>53</v>
      </c>
      <c r="C1" t="s">
        <v>54</v>
      </c>
      <c r="D1" t="s">
        <v>55</v>
      </c>
      <c r="E1" t="s">
        <v>56</v>
      </c>
      <c r="F1" t="s">
        <v>57</v>
      </c>
      <c r="G1" t="s">
        <v>58</v>
      </c>
      <c r="H1" t="s">
        <v>59</v>
      </c>
      <c r="I1" t="s">
        <v>60</v>
      </c>
      <c r="J1" t="s">
        <v>61</v>
      </c>
      <c r="K1" t="s">
        <v>62</v>
      </c>
      <c r="L1" t="s">
        <v>63</v>
      </c>
      <c r="M1" t="s">
        <v>64</v>
      </c>
      <c r="N1" t="s">
        <v>65</v>
      </c>
      <c r="O1" t="s">
        <v>94</v>
      </c>
      <c r="P1" t="s">
        <v>95</v>
      </c>
      <c r="Q1" t="s">
        <v>112</v>
      </c>
      <c r="R1" t="s">
        <v>113</v>
      </c>
      <c r="S1" t="s">
        <v>96</v>
      </c>
      <c r="T1" t="s">
        <v>73</v>
      </c>
    </row>
    <row r="2" spans="1:27" x14ac:dyDescent="0.3">
      <c r="A2" t="s">
        <v>161</v>
      </c>
      <c r="B2" t="s">
        <v>28</v>
      </c>
      <c r="C2" t="s">
        <v>22</v>
      </c>
      <c r="D2" t="s">
        <v>118</v>
      </c>
      <c r="E2" t="s">
        <v>36</v>
      </c>
      <c r="F2" t="s">
        <v>120</v>
      </c>
      <c r="G2" t="s">
        <v>16</v>
      </c>
      <c r="H2" t="s">
        <v>17</v>
      </c>
      <c r="I2" t="s">
        <v>128</v>
      </c>
      <c r="J2" t="s">
        <v>129</v>
      </c>
      <c r="K2">
        <v>1</v>
      </c>
      <c r="L2" t="s">
        <v>130</v>
      </c>
      <c r="M2" t="s">
        <v>162</v>
      </c>
      <c r="N2">
        <v>1</v>
      </c>
      <c r="O2" t="s">
        <v>163</v>
      </c>
      <c r="P2" t="s">
        <v>164</v>
      </c>
      <c r="Q2" t="s">
        <v>165</v>
      </c>
      <c r="R2" s="4" t="s">
        <v>166</v>
      </c>
      <c r="S2" t="s">
        <v>167</v>
      </c>
      <c r="T2" t="s">
        <v>168</v>
      </c>
      <c r="U2" s="5"/>
      <c r="X2" s="4"/>
      <c r="AA2" s="5"/>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2026-02-21T10:57:28Z</dcterms:modified>
</cp:coreProperties>
</file>