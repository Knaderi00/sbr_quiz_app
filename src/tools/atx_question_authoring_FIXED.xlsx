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984" documentId="11_1A3CAAE0EE81980AE886C8AC59EAF3A67F286A16" xr6:coauthVersionLast="47" xr6:coauthVersionMax="47" xr10:uidLastSave="{D657A89F-AA01-4322-8F87-85482E55EB82}"/>
  <bookViews>
    <workbookView xWindow="-108" yWindow="-108" windowWidth="23256" windowHeight="13896" firstSheet="1" activeTab="5"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1" i="5" l="1"/>
  <c r="N31" i="5"/>
  <c r="A31" i="5" s="1"/>
  <c r="M32" i="5"/>
  <c r="N32" i="5" s="1"/>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M60" i="3"/>
  <c r="N60" i="3" s="1"/>
  <c r="M61" i="3"/>
  <c r="N61" i="3" s="1"/>
  <c r="M62" i="3"/>
  <c r="N62" i="3" s="1"/>
  <c r="A62" i="3" s="1"/>
  <c r="M63" i="3"/>
  <c r="M64" i="3"/>
  <c r="N64" i="3" s="1"/>
  <c r="M65" i="3"/>
  <c r="M66" i="3"/>
  <c r="N66" i="3" s="1"/>
  <c r="M67" i="3"/>
  <c r="N67" i="3" s="1"/>
  <c r="A67" i="3" s="1"/>
  <c r="M51" i="4"/>
  <c r="N51" i="4" s="1"/>
  <c r="A51" i="4" s="1"/>
  <c r="M50" i="4"/>
  <c r="N50" i="4" s="1"/>
  <c r="A50" i="4" s="1"/>
  <c r="M49" i="4"/>
  <c r="M48" i="4"/>
  <c r="N48" i="4" s="1"/>
  <c r="N30" i="5"/>
  <c r="N33" i="5"/>
  <c r="N34" i="5"/>
  <c r="N35" i="5"/>
  <c r="N36" i="5"/>
  <c r="N37" i="5"/>
  <c r="N38" i="5"/>
  <c r="N39" i="5"/>
  <c r="N40" i="5"/>
  <c r="N41" i="5"/>
  <c r="N42" i="5"/>
  <c r="N43" i="5"/>
  <c r="N44" i="5"/>
  <c r="N45" i="5"/>
  <c r="N46" i="5"/>
  <c r="N47" i="5"/>
  <c r="N48" i="5"/>
  <c r="N49" i="5"/>
  <c r="N50" i="5"/>
  <c r="N51" i="5"/>
  <c r="N52" i="5"/>
  <c r="N53" i="5"/>
  <c r="N54" i="5"/>
  <c r="N55" i="5"/>
  <c r="N56" i="5"/>
  <c r="N57" i="5"/>
  <c r="N58" i="5"/>
  <c r="N59" i="5"/>
  <c r="N60" i="5"/>
  <c r="N61" i="5"/>
  <c r="N62" i="5"/>
  <c r="N63" i="5"/>
  <c r="N64" i="5"/>
  <c r="N65" i="5"/>
  <c r="N66" i="5"/>
  <c r="N67" i="5"/>
  <c r="N68" i="5"/>
  <c r="N69" i="5"/>
  <c r="N70" i="5"/>
  <c r="N71" i="5"/>
  <c r="N72" i="5"/>
  <c r="N73" i="5"/>
  <c r="N74" i="5"/>
  <c r="N75" i="5"/>
  <c r="N76" i="5"/>
  <c r="N77" i="5"/>
  <c r="N78" i="5"/>
  <c r="N79" i="5"/>
  <c r="N80" i="5"/>
  <c r="N81" i="5"/>
  <c r="N82" i="5"/>
  <c r="N83" i="5"/>
  <c r="N84" i="5"/>
  <c r="N85" i="5"/>
  <c r="N86" i="5"/>
  <c r="N87" i="5"/>
  <c r="N88" i="5"/>
  <c r="N89" i="5"/>
  <c r="N90" i="5"/>
  <c r="N91" i="5"/>
  <c r="N92" i="5"/>
  <c r="N93" i="5"/>
  <c r="N94" i="5"/>
  <c r="N95" i="5"/>
  <c r="N96" i="5"/>
  <c r="N97" i="5"/>
  <c r="N98" i="5"/>
  <c r="N99" i="5"/>
  <c r="N100" i="5"/>
  <c r="N101" i="5"/>
  <c r="N102" i="5"/>
  <c r="N103" i="5"/>
  <c r="N104" i="5"/>
  <c r="N105" i="5"/>
  <c r="N106" i="5"/>
  <c r="N107" i="5"/>
  <c r="N108" i="5"/>
  <c r="N109" i="5"/>
  <c r="N110" i="5"/>
  <c r="N111" i="5"/>
  <c r="N112" i="5"/>
  <c r="N113" i="5"/>
  <c r="N114" i="5"/>
  <c r="N115" i="5"/>
  <c r="N116" i="5"/>
  <c r="N117" i="5"/>
  <c r="N118" i="5"/>
  <c r="N119" i="5"/>
  <c r="N120" i="5"/>
  <c r="N121" i="5"/>
  <c r="N122" i="5"/>
  <c r="N123" i="5"/>
  <c r="N124" i="5"/>
  <c r="N125" i="5"/>
  <c r="N126" i="5"/>
  <c r="N127" i="5"/>
  <c r="N128" i="5"/>
  <c r="N129" i="5"/>
  <c r="N130" i="5"/>
  <c r="N131" i="5"/>
  <c r="N132" i="5"/>
  <c r="N133" i="5"/>
  <c r="N134" i="5"/>
  <c r="N135" i="5"/>
  <c r="N136" i="5"/>
  <c r="N137" i="5"/>
  <c r="N138" i="5"/>
  <c r="N139" i="5"/>
  <c r="N140" i="5"/>
  <c r="N141" i="5"/>
  <c r="N142" i="5"/>
  <c r="N143" i="5"/>
  <c r="N144" i="5"/>
  <c r="N145" i="5"/>
  <c r="N146" i="5"/>
  <c r="N147" i="5"/>
  <c r="N148" i="5"/>
  <c r="N149" i="5"/>
  <c r="N150" i="5"/>
  <c r="N151" i="5"/>
  <c r="N152" i="5"/>
  <c r="N153" i="5"/>
  <c r="N154" i="5"/>
  <c r="N155" i="5"/>
  <c r="N156" i="5"/>
  <c r="N157" i="5"/>
  <c r="N158" i="5"/>
  <c r="N159" i="5"/>
  <c r="N160" i="5"/>
  <c r="N161" i="5"/>
  <c r="N162" i="5"/>
  <c r="N163" i="5"/>
  <c r="N164" i="5"/>
  <c r="N165" i="5"/>
  <c r="N166" i="5"/>
  <c r="N167" i="5"/>
  <c r="N168" i="5"/>
  <c r="N169" i="5"/>
  <c r="N170" i="5"/>
  <c r="N171" i="5"/>
  <c r="N172" i="5"/>
  <c r="N173" i="5"/>
  <c r="N174" i="5"/>
  <c r="N175" i="5"/>
  <c r="N176" i="5"/>
  <c r="N177" i="5"/>
  <c r="N178" i="5"/>
  <c r="N179" i="5"/>
  <c r="N180" i="5"/>
  <c r="N181" i="5"/>
  <c r="N182" i="5"/>
  <c r="N183" i="5"/>
  <c r="N184" i="5"/>
  <c r="N185" i="5"/>
  <c r="N186" i="5"/>
  <c r="N187" i="5"/>
  <c r="N188" i="5"/>
  <c r="N189" i="5"/>
  <c r="N190" i="5"/>
  <c r="N191" i="5"/>
  <c r="N192" i="5"/>
  <c r="N193" i="5"/>
  <c r="N194" i="5"/>
  <c r="N195" i="5"/>
  <c r="N196" i="5"/>
  <c r="N197" i="5"/>
  <c r="N198" i="5"/>
  <c r="N199" i="5"/>
  <c r="N200" i="5"/>
  <c r="M51" i="3"/>
  <c r="N51" i="3" s="1"/>
  <c r="M52" i="3"/>
  <c r="N52" i="3" s="1"/>
  <c r="A52" i="3" s="1"/>
  <c r="M53" i="3"/>
  <c r="M54" i="3"/>
  <c r="M55" i="3"/>
  <c r="M56" i="3"/>
  <c r="M57" i="3"/>
  <c r="N57" i="3" s="1"/>
  <c r="A57" i="3" s="1"/>
  <c r="M58" i="3"/>
  <c r="N58" i="3" s="1"/>
  <c r="M59" i="3"/>
  <c r="M28" i="5"/>
  <c r="N28" i="5" s="1"/>
  <c r="M21" i="5"/>
  <c r="M22" i="5"/>
  <c r="M23" i="5"/>
  <c r="M24" i="5"/>
  <c r="M25" i="5"/>
  <c r="M26" i="5"/>
  <c r="M43" i="3"/>
  <c r="M44" i="3"/>
  <c r="M45" i="3"/>
  <c r="M46" i="3"/>
  <c r="M47" i="3"/>
  <c r="M48" i="3"/>
  <c r="M49" i="3"/>
  <c r="M50" i="3"/>
  <c r="M28" i="3"/>
  <c r="M29" i="3"/>
  <c r="M30" i="3"/>
  <c r="M31" i="3"/>
  <c r="M32" i="3"/>
  <c r="M33" i="3"/>
  <c r="M34" i="3"/>
  <c r="M35" i="3"/>
  <c r="M36" i="3"/>
  <c r="M37" i="3"/>
  <c r="M38" i="3"/>
  <c r="M39" i="3"/>
  <c r="M40" i="3"/>
  <c r="M41" i="3"/>
  <c r="M42" i="3"/>
  <c r="M68" i="3"/>
  <c r="N68" i="3" s="1"/>
  <c r="M69" i="3"/>
  <c r="A69" i="3" s="1"/>
  <c r="M70" i="3"/>
  <c r="N70" i="3" s="1"/>
  <c r="M71" i="3"/>
  <c r="N71" i="3" s="1"/>
  <c r="M72" i="3"/>
  <c r="A72" i="3" s="1"/>
  <c r="M73" i="3"/>
  <c r="A73" i="3" s="1"/>
  <c r="M74" i="3"/>
  <c r="A74" i="3" s="1"/>
  <c r="M75" i="3"/>
  <c r="A75" i="3" s="1"/>
  <c r="M76" i="3"/>
  <c r="A76" i="3" s="1"/>
  <c r="M77" i="3"/>
  <c r="N77" i="3" s="1"/>
  <c r="M78" i="3"/>
  <c r="N78" i="3" s="1"/>
  <c r="M79" i="3"/>
  <c r="A79" i="3" s="1"/>
  <c r="M80" i="3"/>
  <c r="A80" i="3" s="1"/>
  <c r="N80" i="3"/>
  <c r="M81" i="3"/>
  <c r="N81" i="3" s="1"/>
  <c r="M82" i="3"/>
  <c r="A82" i="3" s="1"/>
  <c r="N82" i="3"/>
  <c r="M83" i="3"/>
  <c r="A83" i="3" s="1"/>
  <c r="M84" i="3"/>
  <c r="N84" i="3" s="1"/>
  <c r="M85" i="3"/>
  <c r="A85" i="3" s="1"/>
  <c r="M86" i="3"/>
  <c r="A86" i="3" s="1"/>
  <c r="M87" i="3"/>
  <c r="A87" i="3" s="1"/>
  <c r="M88" i="3"/>
  <c r="A88" i="3" s="1"/>
  <c r="M89" i="3"/>
  <c r="A89" i="3" s="1"/>
  <c r="M90" i="3"/>
  <c r="A90" i="3" s="1"/>
  <c r="M91" i="3"/>
  <c r="N91" i="3" s="1"/>
  <c r="M92" i="3"/>
  <c r="A92" i="3" s="1"/>
  <c r="M93" i="3"/>
  <c r="N93" i="3" s="1"/>
  <c r="M94" i="3"/>
  <c r="N94" i="3" s="1"/>
  <c r="M95" i="3"/>
  <c r="N95" i="3" s="1"/>
  <c r="M96" i="3"/>
  <c r="A96" i="3" s="1"/>
  <c r="M97" i="3"/>
  <c r="A97" i="3" s="1"/>
  <c r="M98" i="3"/>
  <c r="N98" i="3" s="1"/>
  <c r="M99" i="3"/>
  <c r="A99" i="3" s="1"/>
  <c r="M100" i="3"/>
  <c r="A100" i="3" s="1"/>
  <c r="M101" i="3"/>
  <c r="A101" i="3" s="1"/>
  <c r="M102" i="3"/>
  <c r="A102" i="3" s="1"/>
  <c r="M103" i="3"/>
  <c r="A103" i="3" s="1"/>
  <c r="M104" i="3"/>
  <c r="A104" i="3" s="1"/>
  <c r="M105" i="3"/>
  <c r="N105" i="3" s="1"/>
  <c r="M106" i="3"/>
  <c r="A106" i="3" s="1"/>
  <c r="M107" i="3"/>
  <c r="A107" i="3" s="1"/>
  <c r="M108" i="3"/>
  <c r="N108" i="3" s="1"/>
  <c r="M109" i="3"/>
  <c r="A109" i="3" s="1"/>
  <c r="N109" i="3"/>
  <c r="M110" i="3"/>
  <c r="A110" i="3" s="1"/>
  <c r="M9" i="5"/>
  <c r="M10" i="5"/>
  <c r="M11" i="5"/>
  <c r="M12" i="5"/>
  <c r="M13" i="5"/>
  <c r="M14" i="5"/>
  <c r="M15" i="5"/>
  <c r="M16" i="5"/>
  <c r="M17" i="5"/>
  <c r="M18" i="5"/>
  <c r="M19" i="5"/>
  <c r="M20" i="5"/>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M4" i="4"/>
  <c r="M5" i="4"/>
  <c r="M6" i="4"/>
  <c r="M7" i="4"/>
  <c r="M8" i="4"/>
  <c r="M9" i="4"/>
  <c r="M10" i="4"/>
  <c r="M11" i="4"/>
  <c r="M12" i="4"/>
  <c r="M13" i="4"/>
  <c r="M7" i="6"/>
  <c r="M16" i="3"/>
  <c r="M17" i="3"/>
  <c r="M18" i="3"/>
  <c r="M19" i="3"/>
  <c r="M20" i="3"/>
  <c r="M21" i="3"/>
  <c r="M22" i="3"/>
  <c r="M23" i="3"/>
  <c r="M24" i="3"/>
  <c r="M25" i="3"/>
  <c r="M26" i="3"/>
  <c r="M27" i="3"/>
  <c r="M4" i="3"/>
  <c r="M5" i="3"/>
  <c r="M6" i="3"/>
  <c r="M7" i="3"/>
  <c r="M8" i="3"/>
  <c r="M9" i="3"/>
  <c r="M10" i="3"/>
  <c r="M11" i="3"/>
  <c r="M12" i="3"/>
  <c r="M13" i="3"/>
  <c r="M14" i="3"/>
  <c r="M15" i="3"/>
  <c r="M2" i="6"/>
  <c r="M3" i="6"/>
  <c r="M4" i="6"/>
  <c r="M5" i="6"/>
  <c r="M6" i="6"/>
  <c r="M2" i="5"/>
  <c r="N2" i="5" s="1"/>
  <c r="M3" i="5"/>
  <c r="M4" i="5"/>
  <c r="M5" i="5"/>
  <c r="M6" i="5"/>
  <c r="M7" i="5"/>
  <c r="M8" i="5"/>
  <c r="A32" i="5" l="1"/>
  <c r="N65" i="3"/>
  <c r="A65" i="3" s="1"/>
  <c r="A66" i="3"/>
  <c r="N63" i="3"/>
  <c r="A63" i="3" s="1"/>
  <c r="A64" i="3"/>
  <c r="A61" i="3"/>
  <c r="A60" i="3"/>
  <c r="A48" i="4"/>
  <c r="N49" i="4"/>
  <c r="A49" i="4" s="1"/>
  <c r="N56" i="3"/>
  <c r="A56" i="3" s="1"/>
  <c r="N55" i="3"/>
  <c r="A55" i="3" s="1"/>
  <c r="A58" i="3"/>
  <c r="N54" i="3"/>
  <c r="A54" i="3" s="1"/>
  <c r="N59" i="3"/>
  <c r="A59" i="3" s="1"/>
  <c r="N53" i="3"/>
  <c r="A53" i="3" s="1"/>
  <c r="A51" i="3"/>
  <c r="A28" i="5"/>
  <c r="N5" i="5"/>
  <c r="N100" i="3"/>
  <c r="N4" i="5"/>
  <c r="N103" i="3"/>
  <c r="N3" i="5"/>
  <c r="N85" i="3"/>
  <c r="N3" i="4"/>
  <c r="A3" i="4" s="1"/>
  <c r="N79" i="3"/>
  <c r="N96" i="3"/>
  <c r="N106" i="3"/>
  <c r="N83" i="3"/>
  <c r="A71" i="3"/>
  <c r="N72" i="3"/>
  <c r="N8" i="5"/>
  <c r="N86" i="3"/>
  <c r="N7" i="5"/>
  <c r="N97" i="3"/>
  <c r="A105" i="3"/>
  <c r="N102" i="3"/>
  <c r="A81" i="3"/>
  <c r="A68" i="3"/>
  <c r="N73" i="3"/>
  <c r="A77" i="3"/>
  <c r="N11" i="5"/>
  <c r="A11" i="5" s="1"/>
  <c r="N4" i="4"/>
  <c r="N10" i="5"/>
  <c r="A10" i="5" s="1"/>
  <c r="N99" i="3"/>
  <c r="N88" i="3"/>
  <c r="N87" i="3"/>
  <c r="N18" i="5"/>
  <c r="A18" i="5" s="1"/>
  <c r="N110" i="3"/>
  <c r="N101" i="3"/>
  <c r="N9" i="5"/>
  <c r="A9" i="5" s="1"/>
  <c r="N15" i="5"/>
  <c r="A15" i="5" s="1"/>
  <c r="N11" i="4"/>
  <c r="A11" i="4" s="1"/>
  <c r="N10" i="4"/>
  <c r="A10" i="4" s="1"/>
  <c r="A98" i="3"/>
  <c r="N14" i="5"/>
  <c r="A14" i="5" s="1"/>
  <c r="A95" i="3"/>
  <c r="N13" i="4"/>
  <c r="A13" i="4" s="1"/>
  <c r="A108" i="3"/>
  <c r="N26" i="5"/>
  <c r="A26" i="5" s="1"/>
  <c r="A94" i="3"/>
  <c r="N22" i="5"/>
  <c r="A22" i="5" s="1"/>
  <c r="N12" i="4"/>
  <c r="A12" i="4" s="1"/>
  <c r="N25" i="5"/>
  <c r="A25" i="5" s="1"/>
  <c r="N6" i="5"/>
  <c r="A6" i="5" s="1"/>
  <c r="N6" i="4"/>
  <c r="A6" i="4" s="1"/>
  <c r="N12" i="5"/>
  <c r="A12" i="5" s="1"/>
  <c r="N76" i="3"/>
  <c r="N14" i="4"/>
  <c r="A14" i="4" s="1"/>
  <c r="N13" i="5"/>
  <c r="A13" i="5" s="1"/>
  <c r="A84" i="3"/>
  <c r="N107" i="3"/>
  <c r="N92" i="3"/>
  <c r="N69" i="3"/>
  <c r="N90" i="3"/>
  <c r="N75" i="3"/>
  <c r="N17" i="5"/>
  <c r="A17" i="5" s="1"/>
  <c r="N9" i="4"/>
  <c r="A9" i="4" s="1"/>
  <c r="A78" i="3"/>
  <c r="N104" i="3"/>
  <c r="N89" i="3"/>
  <c r="N74" i="3"/>
  <c r="N24" i="5"/>
  <c r="A24" i="5" s="1"/>
  <c r="N23" i="5"/>
  <c r="A23" i="5" s="1"/>
  <c r="A93" i="3"/>
  <c r="N16" i="5"/>
  <c r="A16" i="5" s="1"/>
  <c r="A70" i="3"/>
  <c r="A91" i="3"/>
  <c r="N21" i="5"/>
  <c r="A21" i="5" s="1"/>
  <c r="N3" i="6"/>
  <c r="N7" i="6"/>
  <c r="A7" i="6" s="1"/>
  <c r="N2" i="6"/>
  <c r="N6" i="6"/>
  <c r="N5" i="6"/>
  <c r="N4" i="6"/>
  <c r="N20" i="5"/>
  <c r="A20" i="5" s="1"/>
  <c r="N19" i="5"/>
  <c r="A19" i="5" s="1"/>
  <c r="N15" i="4"/>
  <c r="A15" i="4" s="1"/>
  <c r="N40" i="4"/>
  <c r="A40" i="4" s="1"/>
  <c r="N39" i="4"/>
  <c r="A39" i="4" s="1"/>
  <c r="N25" i="4"/>
  <c r="A25" i="4" s="1"/>
  <c r="N38" i="4"/>
  <c r="A38" i="4" s="1"/>
  <c r="N24" i="4"/>
  <c r="A24" i="4" s="1"/>
  <c r="N37" i="4"/>
  <c r="A37" i="4" s="1"/>
  <c r="N23" i="4"/>
  <c r="A23" i="4" s="1"/>
  <c r="N44" i="4"/>
  <c r="A44" i="4" s="1"/>
  <c r="N30" i="4"/>
  <c r="A30" i="4" s="1"/>
  <c r="N43" i="4"/>
  <c r="A43" i="4" s="1"/>
  <c r="N29" i="4"/>
  <c r="A29" i="4" s="1"/>
  <c r="N42" i="4"/>
  <c r="A42" i="4" s="1"/>
  <c r="N28" i="4"/>
  <c r="A28" i="4" s="1"/>
  <c r="N36" i="4"/>
  <c r="A36" i="4" s="1"/>
  <c r="N35" i="4"/>
  <c r="A35" i="4" s="1"/>
  <c r="N21" i="4"/>
  <c r="A21" i="4" s="1"/>
  <c r="N34" i="4"/>
  <c r="A34" i="4" s="1"/>
  <c r="N46" i="4"/>
  <c r="A46" i="4" s="1"/>
  <c r="N32" i="4"/>
  <c r="A32" i="4" s="1"/>
  <c r="N18" i="4"/>
  <c r="A18" i="4" s="1"/>
  <c r="N41" i="4"/>
  <c r="A41" i="4" s="1"/>
  <c r="N27" i="4"/>
  <c r="A27" i="4" s="1"/>
  <c r="N20" i="4"/>
  <c r="A20" i="4" s="1"/>
  <c r="N47" i="4"/>
  <c r="A47" i="4" s="1"/>
  <c r="N33" i="4"/>
  <c r="A33" i="4" s="1"/>
  <c r="N26" i="4"/>
  <c r="A26" i="4" s="1"/>
  <c r="N19" i="4"/>
  <c r="A19" i="4" s="1"/>
  <c r="N45" i="4"/>
  <c r="A45" i="4" s="1"/>
  <c r="N31" i="4"/>
  <c r="A31" i="4" s="1"/>
  <c r="N17" i="4"/>
  <c r="A17" i="4" s="1"/>
  <c r="N16" i="4"/>
  <c r="A16" i="4" s="1"/>
  <c r="N22" i="4"/>
  <c r="A22" i="4" s="1"/>
  <c r="N8" i="4"/>
  <c r="A8" i="4" s="1"/>
  <c r="A4" i="4"/>
  <c r="N7" i="4"/>
  <c r="A7" i="4" s="1"/>
  <c r="A2" i="4"/>
  <c r="N5" i="4"/>
  <c r="A5" i="4" s="1"/>
  <c r="A5" i="6" l="1"/>
  <c r="A6" i="6"/>
  <c r="A7" i="5"/>
  <c r="A8" i="5"/>
  <c r="A4" i="5"/>
  <c r="A5" i="5"/>
  <c r="H3" i="6"/>
  <c r="A3" i="6"/>
  <c r="M8" i="6"/>
  <c r="A8" i="6" s="1"/>
  <c r="M9" i="6"/>
  <c r="A9" i="6" s="1"/>
  <c r="M10" i="6"/>
  <c r="A10" i="6" s="1"/>
  <c r="M11" i="6"/>
  <c r="A11" i="6" s="1"/>
  <c r="M12" i="6"/>
  <c r="A12" i="6" s="1"/>
  <c r="M13" i="6"/>
  <c r="N13" i="6" s="1"/>
  <c r="M14" i="6"/>
  <c r="A14" i="6" s="1"/>
  <c r="M15" i="6"/>
  <c r="N15" i="6" s="1"/>
  <c r="M16" i="6"/>
  <c r="N16" i="6" s="1"/>
  <c r="M17" i="6"/>
  <c r="A17" i="6" s="1"/>
  <c r="M18" i="6"/>
  <c r="N18" i="6" s="1"/>
  <c r="M19" i="6"/>
  <c r="A19" i="6" s="1"/>
  <c r="M20" i="6"/>
  <c r="A20" i="6" s="1"/>
  <c r="M21" i="6"/>
  <c r="N21" i="6" s="1"/>
  <c r="M22" i="6"/>
  <c r="A22" i="6" s="1"/>
  <c r="M23" i="6"/>
  <c r="A23" i="6" s="1"/>
  <c r="M24" i="6"/>
  <c r="A24" i="6" s="1"/>
  <c r="M25" i="6"/>
  <c r="N25" i="6" s="1"/>
  <c r="M26" i="6"/>
  <c r="A26" i="6" s="1"/>
  <c r="M27" i="6"/>
  <c r="A27" i="6" s="1"/>
  <c r="M28" i="6"/>
  <c r="M29" i="6"/>
  <c r="A29" i="6" s="1"/>
  <c r="M30" i="6"/>
  <c r="A30" i="6" s="1"/>
  <c r="M31" i="6"/>
  <c r="A31" i="6" s="1"/>
  <c r="M32" i="6"/>
  <c r="M33" i="6"/>
  <c r="A33" i="6" s="1"/>
  <c r="M34" i="6"/>
  <c r="A34" i="6" s="1"/>
  <c r="M35" i="6"/>
  <c r="N35" i="6" s="1"/>
  <c r="M36" i="6"/>
  <c r="M37" i="6"/>
  <c r="A37" i="6" s="1"/>
  <c r="M38" i="6"/>
  <c r="A38" i="6" s="1"/>
  <c r="M39" i="6"/>
  <c r="M40" i="6"/>
  <c r="A40" i="6" s="1"/>
  <c r="M41" i="6"/>
  <c r="A41" i="6" s="1"/>
  <c r="M42" i="6"/>
  <c r="A42" i="6" s="1"/>
  <c r="M43" i="6"/>
  <c r="M44" i="6"/>
  <c r="A44" i="6" s="1"/>
  <c r="M45" i="6"/>
  <c r="A45" i="6" s="1"/>
  <c r="M46" i="6"/>
  <c r="M47" i="6"/>
  <c r="A47" i="6" s="1"/>
  <c r="M48" i="6"/>
  <c r="A48" i="6" s="1"/>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M70" i="6"/>
  <c r="A70" i="6" s="1"/>
  <c r="M71" i="6"/>
  <c r="A71" i="6" s="1"/>
  <c r="M72" i="6"/>
  <c r="A72" i="6" s="1"/>
  <c r="M73" i="6"/>
  <c r="A73" i="6" s="1"/>
  <c r="M74" i="6"/>
  <c r="M75" i="6"/>
  <c r="A75" i="6" s="1"/>
  <c r="M76" i="6"/>
  <c r="A76" i="6" s="1"/>
  <c r="M77" i="6"/>
  <c r="N77" i="6" s="1"/>
  <c r="M78" i="6"/>
  <c r="A78" i="6" s="1"/>
  <c r="M79" i="6"/>
  <c r="A79" i="6" s="1"/>
  <c r="M80" i="6"/>
  <c r="A80" i="6" s="1"/>
  <c r="M81" i="6"/>
  <c r="M82" i="6"/>
  <c r="A82" i="6" s="1"/>
  <c r="M83" i="6"/>
  <c r="A83" i="6" s="1"/>
  <c r="M84" i="6"/>
  <c r="A84" i="6" s="1"/>
  <c r="M85" i="6"/>
  <c r="A85" i="6" s="1"/>
  <c r="M86" i="6"/>
  <c r="A86" i="6" s="1"/>
  <c r="M87" i="6"/>
  <c r="A87" i="6" s="1"/>
  <c r="M88" i="6"/>
  <c r="M89" i="6"/>
  <c r="A89" i="6" s="1"/>
  <c r="M90" i="6"/>
  <c r="A90" i="6" s="1"/>
  <c r="M91" i="6"/>
  <c r="N91" i="6" s="1"/>
  <c r="M92" i="6"/>
  <c r="A92" i="6" s="1"/>
  <c r="M93" i="6"/>
  <c r="A93" i="6" s="1"/>
  <c r="M94" i="6"/>
  <c r="A94" i="6" s="1"/>
  <c r="M95" i="6"/>
  <c r="M96" i="6"/>
  <c r="A96" i="6" s="1"/>
  <c r="M97" i="6"/>
  <c r="A97" i="6" s="1"/>
  <c r="M98" i="6"/>
  <c r="A98" i="6" s="1"/>
  <c r="M99" i="6"/>
  <c r="A99" i="6" s="1"/>
  <c r="M100" i="6"/>
  <c r="A100" i="6" s="1"/>
  <c r="M101" i="6"/>
  <c r="A101" i="6" s="1"/>
  <c r="M102" i="6"/>
  <c r="M103" i="6"/>
  <c r="A103" i="6" s="1"/>
  <c r="M104" i="6"/>
  <c r="A104" i="6" s="1"/>
  <c r="M105" i="6"/>
  <c r="N105" i="6" s="1"/>
  <c r="M106" i="6"/>
  <c r="M107" i="6"/>
  <c r="A107" i="6" s="1"/>
  <c r="M108" i="6"/>
  <c r="N108" i="6" s="1"/>
  <c r="M109" i="6"/>
  <c r="M110" i="6"/>
  <c r="N110" i="6" s="1"/>
  <c r="M111" i="6"/>
  <c r="A111" i="6" s="1"/>
  <c r="M112" i="6"/>
  <c r="A112" i="6" s="1"/>
  <c r="M113" i="6"/>
  <c r="A113" i="6" s="1"/>
  <c r="M114" i="6"/>
  <c r="A114" i="6" s="1"/>
  <c r="M115" i="6"/>
  <c r="A115" i="6" s="1"/>
  <c r="M116" i="6"/>
  <c r="M117" i="6"/>
  <c r="A117" i="6" s="1"/>
  <c r="M118" i="6"/>
  <c r="A118" i="6" s="1"/>
  <c r="M119" i="6"/>
  <c r="N119" i="6" s="1"/>
  <c r="M120" i="6"/>
  <c r="A120" i="6" s="1"/>
  <c r="M121" i="6"/>
  <c r="M122" i="6"/>
  <c r="A122" i="6" s="1"/>
  <c r="M123" i="6"/>
  <c r="M124" i="6"/>
  <c r="A124" i="6" s="1"/>
  <c r="M125" i="6"/>
  <c r="A125" i="6" s="1"/>
  <c r="M126" i="6"/>
  <c r="M127" i="6"/>
  <c r="A127" i="6" s="1"/>
  <c r="M128" i="6"/>
  <c r="M129" i="6"/>
  <c r="A129" i="6" s="1"/>
  <c r="M130" i="6"/>
  <c r="M131" i="6"/>
  <c r="A131" i="6" s="1"/>
  <c r="M132" i="6"/>
  <c r="A132" i="6" s="1"/>
  <c r="M133" i="6"/>
  <c r="N133" i="6" s="1"/>
  <c r="M134" i="6"/>
  <c r="N134" i="6" s="1"/>
  <c r="M135" i="6"/>
  <c r="A135" i="6" s="1"/>
  <c r="M136" i="6"/>
  <c r="M137" i="6"/>
  <c r="M138" i="6"/>
  <c r="A138" i="6" s="1"/>
  <c r="M139" i="6"/>
  <c r="A139" i="6" s="1"/>
  <c r="M140" i="6"/>
  <c r="A140" i="6" s="1"/>
  <c r="M141" i="6"/>
  <c r="M142" i="6"/>
  <c r="M143" i="6"/>
  <c r="A143" i="6" s="1"/>
  <c r="M144" i="6"/>
  <c r="M145" i="6"/>
  <c r="A145" i="6" s="1"/>
  <c r="M146" i="6"/>
  <c r="A146" i="6" s="1"/>
  <c r="M147" i="6"/>
  <c r="N147" i="6" s="1"/>
  <c r="M148" i="6"/>
  <c r="A148" i="6" s="1"/>
  <c r="M149" i="6"/>
  <c r="A149" i="6" s="1"/>
  <c r="M150" i="6"/>
  <c r="A150" i="6" s="1"/>
  <c r="M151" i="6"/>
  <c r="M152" i="6"/>
  <c r="A152" i="6" s="1"/>
  <c r="M153" i="6"/>
  <c r="A153" i="6" s="1"/>
  <c r="M154" i="6"/>
  <c r="A154" i="6" s="1"/>
  <c r="M155" i="6"/>
  <c r="A155" i="6" s="1"/>
  <c r="M156" i="6"/>
  <c r="M157" i="6"/>
  <c r="A157" i="6" s="1"/>
  <c r="M158" i="6"/>
  <c r="M159" i="6"/>
  <c r="A159" i="6" s="1"/>
  <c r="M160" i="6"/>
  <c r="A160" i="6" s="1"/>
  <c r="M161" i="6"/>
  <c r="N161" i="6" s="1"/>
  <c r="M162" i="6"/>
  <c r="A162" i="6" s="1"/>
  <c r="M163" i="6"/>
  <c r="A163" i="6" s="1"/>
  <c r="M164" i="6"/>
  <c r="N164" i="6" s="1"/>
  <c r="M165" i="6"/>
  <c r="M166" i="6"/>
  <c r="A166" i="6" s="1"/>
  <c r="M167" i="6"/>
  <c r="A167" i="6" s="1"/>
  <c r="M168" i="6"/>
  <c r="M169" i="6"/>
  <c r="A169" i="6" s="1"/>
  <c r="M170" i="6"/>
  <c r="A170" i="6" s="1"/>
  <c r="M171" i="6"/>
  <c r="A171" i="6" s="1"/>
  <c r="M172" i="6"/>
  <c r="M173" i="6"/>
  <c r="A173" i="6" s="1"/>
  <c r="M174" i="6"/>
  <c r="A174" i="6" s="1"/>
  <c r="M175" i="6"/>
  <c r="N175" i="6" s="1"/>
  <c r="M176" i="6"/>
  <c r="A176" i="6" s="1"/>
  <c r="M177" i="6"/>
  <c r="A177" i="6" s="1"/>
  <c r="M178" i="6"/>
  <c r="A178" i="6" s="1"/>
  <c r="M179" i="6"/>
  <c r="M180" i="6"/>
  <c r="A180" i="6" s="1"/>
  <c r="M181" i="6"/>
  <c r="A181" i="6" s="1"/>
  <c r="M182" i="6"/>
  <c r="A182" i="6" s="1"/>
  <c r="M183" i="6"/>
  <c r="M184" i="6"/>
  <c r="A184" i="6" s="1"/>
  <c r="M185" i="6"/>
  <c r="A185" i="6" s="1"/>
  <c r="M186" i="6"/>
  <c r="M187" i="6"/>
  <c r="A187" i="6" s="1"/>
  <c r="M188" i="6"/>
  <c r="A188" i="6" s="1"/>
  <c r="M189" i="6"/>
  <c r="N189" i="6" s="1"/>
  <c r="M190" i="6"/>
  <c r="N190" i="6" s="1"/>
  <c r="M191" i="6"/>
  <c r="A191" i="6" s="1"/>
  <c r="M192" i="6"/>
  <c r="A192" i="6" s="1"/>
  <c r="M193" i="6"/>
  <c r="M194" i="6"/>
  <c r="A194" i="6" s="1"/>
  <c r="M195" i="6"/>
  <c r="A195" i="6" s="1"/>
  <c r="M196" i="6"/>
  <c r="A196" i="6" s="1"/>
  <c r="M197" i="6"/>
  <c r="A197" i="6" s="1"/>
  <c r="M198" i="6"/>
  <c r="M199" i="6"/>
  <c r="A199" i="6" s="1"/>
  <c r="M200" i="6"/>
  <c r="A3" i="5"/>
  <c r="M27" i="5"/>
  <c r="M29" i="5"/>
  <c r="N29" i="5" s="1"/>
  <c r="M30"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170" i="5"/>
  <c r="M171" i="5"/>
  <c r="M172" i="5"/>
  <c r="M173" i="5"/>
  <c r="M174" i="5"/>
  <c r="M175" i="5"/>
  <c r="M176" i="5"/>
  <c r="M177" i="5"/>
  <c r="M178" i="5"/>
  <c r="M179" i="5"/>
  <c r="M180" i="5"/>
  <c r="M181" i="5"/>
  <c r="M182" i="5"/>
  <c r="M183" i="5"/>
  <c r="M184" i="5"/>
  <c r="M185" i="5"/>
  <c r="M186" i="5"/>
  <c r="M187" i="5"/>
  <c r="M188" i="5"/>
  <c r="M189" i="5"/>
  <c r="M190" i="5"/>
  <c r="M191" i="5"/>
  <c r="M192" i="5"/>
  <c r="M193" i="5"/>
  <c r="M194" i="5"/>
  <c r="M195" i="5"/>
  <c r="M196" i="5"/>
  <c r="M197" i="5"/>
  <c r="M198" i="5"/>
  <c r="M199" i="5"/>
  <c r="M200" i="5"/>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M145" i="4"/>
  <c r="A145" i="4" s="1"/>
  <c r="M146" i="4"/>
  <c r="A146" i="4" s="1"/>
  <c r="M147" i="4"/>
  <c r="N147" i="4" s="1"/>
  <c r="M148" i="4"/>
  <c r="A148" i="4" s="1"/>
  <c r="M149" i="4"/>
  <c r="A149" i="4" s="1"/>
  <c r="M150" i="4"/>
  <c r="A150" i="4" s="1"/>
  <c r="M151" i="4"/>
  <c r="A151" i="4" s="1"/>
  <c r="M152" i="4"/>
  <c r="A152" i="4" s="1"/>
  <c r="M153" i="4"/>
  <c r="A153" i="4" s="1"/>
  <c r="M154" i="4"/>
  <c r="A154" i="4" s="1"/>
  <c r="N154" i="4"/>
  <c r="M155" i="4"/>
  <c r="A155" i="4" s="1"/>
  <c r="M156" i="4"/>
  <c r="A156" i="4" s="1"/>
  <c r="M157" i="4"/>
  <c r="A157" i="4" s="1"/>
  <c r="M158" i="4"/>
  <c r="A158" i="4" s="1"/>
  <c r="M159" i="4"/>
  <c r="A159" i="4" s="1"/>
  <c r="M160" i="4"/>
  <c r="A160" i="4" s="1"/>
  <c r="M161" i="4"/>
  <c r="N161" i="4" s="1"/>
  <c r="M162" i="4"/>
  <c r="A162" i="4" s="1"/>
  <c r="M163" i="4"/>
  <c r="A163" i="4" s="1"/>
  <c r="M164" i="4"/>
  <c r="A164" i="4" s="1"/>
  <c r="M165" i="4"/>
  <c r="A165" i="4" s="1"/>
  <c r="M166" i="4"/>
  <c r="A166" i="4" s="1"/>
  <c r="M167" i="4"/>
  <c r="A167" i="4" s="1"/>
  <c r="M168" i="4"/>
  <c r="A168" i="4" s="1"/>
  <c r="M169" i="4"/>
  <c r="A169" i="4" s="1"/>
  <c r="M3" i="3"/>
  <c r="M111" i="3"/>
  <c r="A111" i="3" s="1"/>
  <c r="M112" i="3"/>
  <c r="M113" i="3"/>
  <c r="A113" i="3" s="1"/>
  <c r="M114" i="3"/>
  <c r="A114" i="3" s="1"/>
  <c r="M115" i="3"/>
  <c r="A115" i="3" s="1"/>
  <c r="M116" i="3"/>
  <c r="A116" i="3" s="1"/>
  <c r="M117" i="3"/>
  <c r="M118" i="3"/>
  <c r="A118" i="3" s="1"/>
  <c r="M119" i="3"/>
  <c r="M120" i="3"/>
  <c r="M121" i="3"/>
  <c r="M122" i="3"/>
  <c r="A122" i="3" s="1"/>
  <c r="M123" i="3"/>
  <c r="A123" i="3" s="1"/>
  <c r="M124" i="3"/>
  <c r="A124" i="3" s="1"/>
  <c r="M125" i="3"/>
  <c r="A125" i="3" s="1"/>
  <c r="M126" i="3"/>
  <c r="M127" i="3"/>
  <c r="A127" i="3" s="1"/>
  <c r="M128" i="3"/>
  <c r="A128" i="3" s="1"/>
  <c r="M129" i="3"/>
  <c r="A129" i="3" s="1"/>
  <c r="M130" i="3"/>
  <c r="M131" i="3"/>
  <c r="N131" i="3" s="1"/>
  <c r="A131" i="3" s="1"/>
  <c r="M132" i="3"/>
  <c r="M133" i="3"/>
  <c r="N133" i="3" s="1"/>
  <c r="M134" i="3"/>
  <c r="N134" i="3" s="1"/>
  <c r="M135" i="3"/>
  <c r="N135" i="3" s="1"/>
  <c r="A135" i="3" s="1"/>
  <c r="M136" i="3"/>
  <c r="M137" i="3"/>
  <c r="M138" i="3"/>
  <c r="M139" i="3"/>
  <c r="N139" i="3" s="1"/>
  <c r="A139" i="3" s="1"/>
  <c r="M140" i="3"/>
  <c r="N140" i="3" s="1"/>
  <c r="A140" i="3" s="1"/>
  <c r="M141" i="3"/>
  <c r="M142" i="3"/>
  <c r="M143" i="3"/>
  <c r="A143" i="3" s="1"/>
  <c r="M144" i="3"/>
  <c r="M2" i="3"/>
  <c r="N113" i="6" l="1"/>
  <c r="N112" i="6"/>
  <c r="N76" i="6"/>
  <c r="N165" i="4"/>
  <c r="N158" i="4"/>
  <c r="N139" i="6"/>
  <c r="N169" i="4"/>
  <c r="A16" i="6"/>
  <c r="N129" i="3"/>
  <c r="N34" i="6"/>
  <c r="N150" i="6"/>
  <c r="N167" i="4"/>
  <c r="N111" i="6"/>
  <c r="N151" i="4"/>
  <c r="N97" i="6"/>
  <c r="N72" i="6"/>
  <c r="N44" i="6"/>
  <c r="N170" i="6"/>
  <c r="N169" i="6"/>
  <c r="N19" i="6"/>
  <c r="N155" i="4"/>
  <c r="N167" i="6"/>
  <c r="N90" i="6"/>
  <c r="N166" i="4"/>
  <c r="N177" i="6"/>
  <c r="N153" i="6"/>
  <c r="N79" i="6"/>
  <c r="N41" i="6"/>
  <c r="N114" i="6"/>
  <c r="A13" i="6"/>
  <c r="N162" i="4"/>
  <c r="N184" i="6"/>
  <c r="N122" i="6"/>
  <c r="N20" i="6"/>
  <c r="N17" i="6"/>
  <c r="N168" i="4"/>
  <c r="N159" i="4"/>
  <c r="N14" i="6"/>
  <c r="N112" i="3"/>
  <c r="A112" i="3"/>
  <c r="N135" i="6"/>
  <c r="N27" i="5"/>
  <c r="A27" i="5" s="1"/>
  <c r="A15" i="6"/>
  <c r="N121" i="3"/>
  <c r="A121" i="3"/>
  <c r="N176" i="6"/>
  <c r="N166" i="6"/>
  <c r="N132" i="6"/>
  <c r="N120" i="6"/>
  <c r="N48" i="6"/>
  <c r="N119" i="3"/>
  <c r="A119" i="3"/>
  <c r="N120" i="3"/>
  <c r="A120" i="3"/>
  <c r="N117" i="3"/>
  <c r="A117" i="3"/>
  <c r="N152" i="6"/>
  <c r="N26" i="6"/>
  <c r="N12" i="6"/>
  <c r="N126" i="3"/>
  <c r="A126" i="3"/>
  <c r="N11" i="6"/>
  <c r="N45" i="3"/>
  <c r="A45" i="3" s="1"/>
  <c r="N31" i="3"/>
  <c r="A31" i="3" s="1"/>
  <c r="N30" i="3"/>
  <c r="A30" i="3" s="1"/>
  <c r="N41" i="3"/>
  <c r="A41" i="3" s="1"/>
  <c r="N46" i="3"/>
  <c r="A46" i="3" s="1"/>
  <c r="N32" i="3"/>
  <c r="A32" i="3" s="1"/>
  <c r="N29" i="3"/>
  <c r="A29" i="3" s="1"/>
  <c r="N34" i="3"/>
  <c r="A34" i="3" s="1"/>
  <c r="N28" i="3"/>
  <c r="A28" i="3" s="1"/>
  <c r="N43" i="3"/>
  <c r="A43" i="3" s="1"/>
  <c r="N35" i="3"/>
  <c r="A35" i="3" s="1"/>
  <c r="N39" i="3"/>
  <c r="A39" i="3" s="1"/>
  <c r="N33" i="3"/>
  <c r="A33" i="3" s="1"/>
  <c r="N47" i="3"/>
  <c r="A47" i="3" s="1"/>
  <c r="N40" i="3"/>
  <c r="A40" i="3" s="1"/>
  <c r="N37" i="3"/>
  <c r="A37" i="3" s="1"/>
  <c r="N50" i="3"/>
  <c r="A50" i="3" s="1"/>
  <c r="N42" i="3"/>
  <c r="A42" i="3" s="1"/>
  <c r="N44" i="3"/>
  <c r="A44" i="3" s="1"/>
  <c r="N38" i="3"/>
  <c r="A38" i="3" s="1"/>
  <c r="N49" i="3"/>
  <c r="A49" i="3" s="1"/>
  <c r="N36" i="3"/>
  <c r="A36" i="3" s="1"/>
  <c r="N48" i="3"/>
  <c r="A48" i="3" s="1"/>
  <c r="N115" i="3"/>
  <c r="N145" i="4"/>
  <c r="N194" i="6"/>
  <c r="N69" i="6"/>
  <c r="N24" i="6"/>
  <c r="N10" i="6"/>
  <c r="A110" i="6"/>
  <c r="N23" i="6"/>
  <c r="N9" i="6"/>
  <c r="N144" i="4"/>
  <c r="N180" i="6"/>
  <c r="N160" i="6"/>
  <c r="N22" i="6"/>
  <c r="N8" i="6"/>
  <c r="N148" i="4"/>
  <c r="N141" i="4"/>
  <c r="N156" i="4"/>
  <c r="N152" i="4"/>
  <c r="N153" i="4"/>
  <c r="N160" i="4"/>
  <c r="N146" i="4"/>
  <c r="N164" i="4"/>
  <c r="N150" i="4"/>
  <c r="N142" i="4"/>
  <c r="N163" i="4"/>
  <c r="N149" i="4"/>
  <c r="N2" i="3"/>
  <c r="A2" i="3" s="1"/>
  <c r="N20" i="3"/>
  <c r="A20" i="3" s="1"/>
  <c r="N15" i="3"/>
  <c r="A15" i="3" s="1"/>
  <c r="N21" i="3"/>
  <c r="A21" i="3" s="1"/>
  <c r="N4" i="3"/>
  <c r="A4" i="3" s="1"/>
  <c r="N8" i="3"/>
  <c r="A8" i="3" s="1"/>
  <c r="N16" i="3"/>
  <c r="A16" i="3" s="1"/>
  <c r="N27" i="3"/>
  <c r="A27" i="3" s="1"/>
  <c r="N13" i="3"/>
  <c r="A13" i="3" s="1"/>
  <c r="N18" i="3"/>
  <c r="A18" i="3" s="1"/>
  <c r="N10" i="3"/>
  <c r="A10" i="3" s="1"/>
  <c r="N9" i="3"/>
  <c r="A9" i="3" s="1"/>
  <c r="N14" i="3"/>
  <c r="A14" i="3" s="1"/>
  <c r="N7" i="3"/>
  <c r="A7" i="3" s="1"/>
  <c r="N5" i="3"/>
  <c r="A5" i="3" s="1"/>
  <c r="N12" i="3"/>
  <c r="A12" i="3" s="1"/>
  <c r="N24" i="3"/>
  <c r="A24" i="3" s="1"/>
  <c r="N26" i="3"/>
  <c r="A26" i="3" s="1"/>
  <c r="N11" i="3"/>
  <c r="A11" i="3" s="1"/>
  <c r="N19" i="3"/>
  <c r="A19" i="3" s="1"/>
  <c r="N17" i="3"/>
  <c r="A17" i="3" s="1"/>
  <c r="N22" i="3"/>
  <c r="A22" i="3" s="1"/>
  <c r="N25" i="3"/>
  <c r="A25" i="3" s="1"/>
  <c r="N6" i="3"/>
  <c r="A6" i="3" s="1"/>
  <c r="N23" i="3"/>
  <c r="A23" i="3" s="1"/>
  <c r="N143" i="3"/>
  <c r="A30" i="5"/>
  <c r="N192" i="6"/>
  <c r="N162" i="6"/>
  <c r="N140" i="6"/>
  <c r="N98" i="6"/>
  <c r="A29" i="5"/>
  <c r="A66" i="6"/>
  <c r="N178" i="6"/>
  <c r="N149" i="6"/>
  <c r="N138" i="6"/>
  <c r="N96" i="6"/>
  <c r="N51" i="6"/>
  <c r="N188" i="6"/>
  <c r="N85" i="6"/>
  <c r="N196" i="6"/>
  <c r="N124" i="6"/>
  <c r="N104" i="6"/>
  <c r="N94" i="6"/>
  <c r="N84" i="6"/>
  <c r="N195" i="6"/>
  <c r="N93" i="6"/>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77" i="4"/>
  <c r="A147" i="4"/>
  <c r="N157" i="4"/>
  <c r="N143" i="4"/>
  <c r="A161" i="4"/>
  <c r="A133" i="4"/>
  <c r="A105" i="4"/>
  <c r="A119" i="4"/>
  <c r="A91" i="4"/>
  <c r="A63" i="4"/>
  <c r="N3" i="3"/>
  <c r="A3" i="3" s="1"/>
  <c r="N138" i="3"/>
  <c r="A138" i="3" s="1"/>
  <c r="A134" i="3"/>
  <c r="N124" i="3"/>
  <c r="N142" i="3"/>
  <c r="A142" i="3" s="1"/>
  <c r="N128" i="3"/>
  <c r="N114" i="3"/>
  <c r="N137" i="3"/>
  <c r="A137" i="3" s="1"/>
  <c r="A133" i="3"/>
  <c r="N123" i="3"/>
  <c r="N141" i="3"/>
  <c r="A141" i="3" s="1"/>
  <c r="N127" i="3"/>
  <c r="N113" i="3"/>
  <c r="N136" i="3"/>
  <c r="A136" i="3" s="1"/>
  <c r="N122" i="3"/>
  <c r="N132" i="3"/>
  <c r="A132" i="3" s="1"/>
  <c r="N118" i="3"/>
  <c r="N144" i="3"/>
  <c r="A144" i="3" s="1"/>
  <c r="N130" i="3"/>
  <c r="A130" i="3" s="1"/>
  <c r="N116" i="3"/>
  <c r="N125" i="3"/>
  <c r="N111" i="3"/>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<sst xmlns="http://schemas.openxmlformats.org/spreadsheetml/2006/main" count="2978" uniqueCount="1033">
  <si>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</si>
  <si>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</si>
  <si>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</si>
  <si>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</si>
  <si>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</si>
  <si>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</si>
  <si>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</si>
  <si>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</si>
  <si>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</si>
  <si>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</si>
  <si>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</si>
  <si>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</si>
  <si>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</si>
  <si>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</si>
  <si>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</si>
  <si>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</si>
  <si>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</si>
  <si>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</si>
  <si>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</si>
  <si>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</si>
  <si>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</si>
  <si>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</si>
  <si>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</si>
  <si>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</si>
  <si>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</si>
  <si>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</si>
  <si>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</si>
  <si>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</si>
  <si>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</si>
  <si>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</si>
  <si>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</si>
  <si>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</si>
  <si>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</si>
  <si>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</si>
  <si>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</si>
  <si>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</si>
  <si>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</si>
  <si>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</si>
  <si>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</si>
  <si>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</si>
  <si>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</si>
  <si>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</si>
  <si>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</si>
  <si>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</si>
  <si>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</si>
  <si>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</si>
  <si>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</si>
  <si>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</si>
  <si>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</si>
  <si>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</si>
  <si>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</si>
  <si>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</si>
  <si>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</si>
  <si>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</si>
  <si>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</si>
  <si>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</si>
  <si>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</si>
  <si>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</si>
  <si>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</si>
  <si>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</si>
  <si>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</si>
  <si>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</si>
  <si>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</si>
  <si>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</si>
  <si>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</si>
  <si>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</si>
  <si>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</si>
  <si>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</si>
  <si>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</si>
  <si>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</si>
  <si>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</si>
  <si>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</si>
  <si>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</si>
  <si>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</si>
  <si>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</si>
  <si>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</si>
  <si>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</si>
  <si>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</si>
  <si>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</si>
  <si>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</si>
  <si>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</si>
  <si>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</si>
  <si>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</si>
  <si>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</si>
  <si>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</si>
  <si>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</si>
  <si>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</si>
  <si>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</si>
  <si>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</si>
  <si>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</si>
  <si>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</si>
  <si>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</si>
  <si>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</si>
  <si>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</si>
  <si>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</si>
  <si>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</si>
  <si>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</si>
  <si>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</si>
  <si>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</si>
  <si>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</si>
  <si>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</si>
  <si>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</si>
  <si>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</si>
  <si>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</si>
  <si>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</si>
  <si>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</si>
  <si>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</si>
  <si>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</si>
  <si>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</si>
  <si>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</si>
  <si>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</si>
  <si>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</si>
  <si>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</si>
  <si>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</si>
  <si>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</si>
  <si>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</si>
  <si>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</si>
  <si>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IR35 deemed payment calculation</t>
  </si>
  <si>
    <t>ir35;deemed_payment;nic</t>
  </si>
  <si>
    <t>proforma</t>
  </si>
  <si>
    <t>IR35</t>
  </si>
  <si>
    <t>["1","2","3","4","5","6","7","8"]</t>
  </si>
  <si>
    <t>["S1","S2","S3","S4","S5","S6","S7","S8"]</t>
  </si>
  <si>
    <t>eis;seis;vct</t>
  </si>
  <si>
    <t>notes</t>
  </si>
  <si>
    <t>EIS</t>
  </si>
  <si>
    <t>A. Up to £1,000,000 at 30%</t>
  </si>
  <si>
    <t>B. Up to £200,000 at 30%</t>
  </si>
  <si>
    <t>C. Up to £1,000,000 at 50%</t>
  </si>
  <si>
    <t>D. Unlimited subscriptions at 30%</t>
  </si>
  <si>
    <t>E. Up to £200,000 at 50%</t>
  </si>
  <si>
    <t>A</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</si>
  <si>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</si>
  <si>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</si>
  <si>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</si>
  <si>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</si>
  <si>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</si>
  <si>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</si>
  <si>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</si>
  <si>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</si>
  <si>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</si>
  <si>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</si>
  <si>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</si>
  <si>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</si>
  <si>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</si>
  <si>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</si>
  <si>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</si>
  <si>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</si>
  <si>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</si>
  <si>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</si>
  <si>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</si>
  <si>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EIS investor checklist</t>
  </si>
  <si>
    <t>["1", "2", "3", "4", "5", "6", "7"]</t>
  </si>
  <si>
    <t>["S1", "S2", "S3", "S4", "S5", "S6", "S7"]</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</si>
  <si>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</si>
  <si>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</si>
  <si>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</si>
  <si>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</si>
  <si>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</si>
  <si>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</si>
  <si>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</si>
  <si>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</si>
  <si>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</si>
  <si>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</si>
  <si>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</si>
  <si>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</si>
  <si>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C. Employment allowance can be used to offset employer NIC on the deemed salary</t>
  </si>
  <si>
    <t>D. Dividends are taxed twice: once as dividends and again as deemed salary</t>
  </si>
  <si>
    <t>E. The client must issue an SDS with a 45-day challenge process</t>
  </si>
  <si>
    <t>ir35;sds;ddp;medium_large_entity</t>
  </si>
  <si>
    <t>B. The PSC determines status and issues an SDS to the client</t>
  </si>
  <si>
    <t>C. HMRC determines status and issues an SDS to both parties</t>
  </si>
  <si>
    <t>E. The PSC determines status and issues a 45-day DDP notice</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</si>
  <si>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</si>
  <si>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</si>
  <si>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</si>
  <si>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</si>
  <si>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</si>
  <si>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</si>
  <si>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</si>
  <si>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</si>
  <si>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</si>
  <si>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</si>
  <si>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</si>
  <si>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</si>
  <si>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</si>
  <si>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</si>
  <si>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</si>
  <si>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</si>
  <si>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</si>
  <si>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</si>
  <si>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</si>
  <si>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</si>
  <si>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psc;ir35;sds;ddp</t>
  </si>
  <si>
    <t>Medium/large PSC IR35 process</t>
  </si>
  <si>
    <t>Drag the lines into the correct order describing the IR35 process for services provided by a PSC to a medium or large entity (whole-line matching only).</t>
  </si>
  <si>
    <t>["1","2","3","4","5","6"]</t>
  </si>
  <si>
    <t>["S1","S2","S3","S4","S5","S6"]</t>
  </si>
  <si>
    <t>saye;share_schemes</t>
  </si>
  <si>
    <t>SHS</t>
  </si>
  <si>
    <t>A. Employees save £5–£500 per month for 3 or 5 years; no IT/NIC on grant/exercise; at maturity they can take cash tax-free or buy shares, with CGT on sale</t>
  </si>
  <si>
    <t>B. Selected employees are granted options up to £60,000 which must be exercised 3–10 years after grant</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</si>
  <si>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</si>
  <si>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</si>
  <si>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B. Options may be exercised at any time provided the option price is below market value</t>
  </si>
  <si>
    <t>C. Anyone who held over 30% of any company in the last 12 months can participate</t>
  </si>
  <si>
    <t>D. Maximum grant is £250,000 per employee</t>
  </si>
  <si>
    <t>emi;discount;nic</t>
  </si>
  <si>
    <t>D. Only if the company has gross assets above £30m at grant</t>
  </si>
  <si>
    <t>E. Never at exercise; only CGT applies regardless of pricing</t>
  </si>
  <si>
    <t>csop;emi;limits</t>
  </si>
  <si>
    <t>["£60,000", "£250,000", "£200,000"]</t>
  </si>
  <si>
    <t>["3", "5", "1"]</t>
  </si>
  <si>
    <t>["10", "5", "3"]</t>
  </si>
  <si>
    <t>["£250,000", "£60,000", "£3,000,000"]</t>
  </si>
  <si>
    <t>["£3,000,000", "£30,000,000", "£60,000"]</t>
  </si>
  <si>
    <t>sip;hold_period;withdrawal</t>
  </si>
  <si>
    <t>["5", "3", "10"]</t>
  </si>
  <si>
    <t>["3", "5", "18 months"]</t>
  </si>
  <si>
    <t>["market value", "original subscription cost", "option price"]</t>
  </si>
  <si>
    <t>market value</t>
  </si>
  <si>
    <t>["3", "5", "10"]</t>
  </si>
  <si>
    <t>["5", "10", "18 months"]</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</si>
  <si>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</si>
  <si>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</si>
  <si>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</si>
  <si>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</si>
  <si>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</si>
  <si>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</si>
  <si>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</si>
  <si>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</si>
  <si>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</si>
  <si>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</si>
  <si>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</si>
  <si>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</si>
  <si>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</si>
  <si>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</si>
  <si>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</si>
  <si>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</si>
  <si>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</si>
  <si>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E. Options must be exercised between 3 and 10 years after grant</t>
  </si>
  <si>
    <t>A. Only if the employee works fewer than 25 hours per week</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</si>
  <si>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</si>
  <si>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</si>
  <si>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</si>
  <si>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</si>
  <si>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</si>
  <si>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</si>
  <si>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</si>
  <si>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</si>
  <si>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</si>
  <si>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emi;company_rules</t>
  </si>
  <si>
    <t>EMI</t>
  </si>
  <si>
    <t>A. Less than £30m</t>
  </si>
  <si>
    <t>B. Less than £3m</t>
  </si>
  <si>
    <t>C. Less than £60k</t>
  </si>
  <si>
    <t>D. Less than £250k</t>
  </si>
  <si>
    <t>E. No gross asset limit applies</t>
  </si>
  <si>
    <t>C. The company can only be AIM-listed, not fully listed</t>
  </si>
  <si>
    <t>E. Listing is allowed only if the company has fewer than 30 employees</t>
  </si>
  <si>
    <t>Your notes state the company can be listed, but must meet conditions including gross assets &lt; £30m. Distractors: B[exception_as_rule], C[term_confusion], D[wrong_direction], E[threshold_swap].</t>
  </si>
  <si>
    <t>A. No more than 75% of employees can be part-time</t>
  </si>
  <si>
    <t>B. Fewer than 30 employees</t>
  </si>
  <si>
    <t>C. Fewer than 250 employees</t>
  </si>
  <si>
    <t>D. Exactly 250 employees or fewer</t>
  </si>
  <si>
    <t>E. Fewer than 18 months average service</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</si>
  <si>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</si>
  <si>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</si>
  <si>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</si>
  <si>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</si>
  <si>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</si>
  <si>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</si>
  <si>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A. The company must be a close company</t>
  </si>
  <si>
    <t>B. The company must be a subsidiary of a listed parent</t>
  </si>
  <si>
    <t>C. The company must be controlled by UK resident shareholders</t>
  </si>
  <si>
    <t>E. The company must not be under the control of another company</t>
  </si>
  <si>
    <t>emi;employee_rules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</si>
  <si>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</si>
  <si>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</si>
  <si>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</si>
  <si>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</si>
  <si>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</si>
  <si>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</si>
  <si>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</si>
  <si>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</si>
  <si>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</si>
  <si>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</si>
  <si>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</si>
  <si>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emi;share_conditions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</si>
  <si>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</si>
  <si>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</si>
  <si>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</si>
  <si>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</si>
  <si>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</si>
  <si>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</si>
  <si>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emi;limits</t>
  </si>
  <si>
    <t>A. £60,000</t>
  </si>
  <si>
    <t>B. £250,000</t>
  </si>
  <si>
    <t>C. £200,000</t>
  </si>
  <si>
    <t>D. £3,000,000</t>
  </si>
  <si>
    <t>E. £30,000,000</t>
  </si>
  <si>
    <t>A. £3,000,000</t>
  </si>
  <si>
    <t>C. £60,000</t>
  </si>
  <si>
    <t>D. £30,000,000</t>
  </si>
  <si>
    <t>E. Unlimited, provided each employee stays under £250,000</t>
  </si>
  <si>
    <t>Your notes state the company can grant up to £3m in total. Distractors: B[same_family], C[same_family], D[threshold_swap], E[exception_as_rule].</t>
  </si>
  <si>
    <t>emi;limits;interaction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</si>
  <si>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</si>
  <si>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</si>
  <si>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</si>
  <si>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</si>
  <si>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</si>
  <si>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</si>
  <si>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</si>
  <si>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</si>
  <si>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</si>
  <si>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</si>
  <si>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eis|seis|vct</t>
  </si>
  <si>
    <t>user_notes</t>
  </si>
  <si>
    <t>INVSCHEME</t>
  </si>
  <si>
    <t>tax reducer</t>
  </si>
  <si>
    <t>EIS IT relief is a tax reducer, and the annual subscription cap for relief is £1,000,000.</t>
  </si>
  <si>
    <t>eis|conditions</t>
  </si>
  <si>
    <t>cash</t>
  </si>
  <si>
    <t>EIS requires a cash subscription for new ordinary shares, and connection includes holdings above 30%.</t>
  </si>
  <si>
    <t>eis|withdrawal</t>
  </si>
  <si>
    <t>gain</t>
  </si>
  <si>
    <t>Your notes state gain disposal can trigger full withdrawal, while loss disposal uses proceeds × 30% (or lower original relief rate).</t>
  </si>
  <si>
    <t>eis|cgt</t>
  </si>
  <si>
    <t>less</t>
  </si>
  <si>
    <t>three years</t>
  </si>
  <si>
    <t>EIS disposal gains are exempt at 3+ years; under 3 years they are taxed normally.</t>
  </si>
  <si>
    <t>seis|limits</t>
  </si>
  <si>
    <t>seis|criteria</t>
  </si>
  <si>
    <t>not permitted</t>
  </si>
  <si>
    <t>Your notes explicitly allow being a director for SEIS, but not connection via employee status or &gt;30% ownership.</t>
  </si>
  <si>
    <t>vct|relief</t>
  </si>
  <si>
    <t>vct|cgt</t>
  </si>
  <si>
    <t>exempt</t>
  </si>
  <si>
    <t>VCT gains are exempt and losses are not allowable, with no minimum holding period for that CGT treatment.</t>
  </si>
  <si>
    <t>ordering|reducers</t>
  </si>
  <si>
    <t>VCT</t>
  </si>
  <si>
    <t>Reducer order in your notes is VCT first, EIS second, SEIS third.</t>
  </si>
  <si>
    <t>timing|reinvestment</t>
  </si>
  <si>
    <t>three</t>
  </si>
  <si>
    <t>one</t>
  </si>
  <si>
    <t>The EIS reinvestment timing window in your notes is one year before to three years after disposal.</t>
  </si>
  <si>
    <t>timing|seis</t>
  </si>
  <si>
    <t>same</t>
  </si>
  <si>
    <t>SEIS reinvestment relief is same-tax-year; EIS deferral allows reinvestment up to three years after disposal (and one year before).</t>
  </si>
  <si>
    <t>eis|claims</t>
  </si>
  <si>
    <t>Your notes give 31 January 2031 as the claim deadline for 2024/25, and a 3-year holding condition.</t>
  </si>
  <si>
    <t>Employee share schemes</t>
  </si>
  <si>
    <t>saye|limits</t>
  </si>
  <si>
    <t>saye|term</t>
  </si>
  <si>
    <t>saye|tax</t>
  </si>
  <si>
    <t>IT</t>
  </si>
  <si>
    <t>NICs</t>
  </si>
  <si>
    <t>saye|completion</t>
  </si>
  <si>
    <t>shares</t>
  </si>
  <si>
    <t>On completion, employees can take cash or acquire qualifying shares.</t>
  </si>
  <si>
    <t>saye|disposal</t>
  </si>
  <si>
    <t>income tax</t>
  </si>
  <si>
    <t>csop|shares</t>
  </si>
  <si>
    <t>ordinary</t>
  </si>
  <si>
    <t>csop|eligibility</t>
  </si>
  <si>
    <t>not transferable</t>
  </si>
  <si>
    <t>csop|population</t>
  </si>
  <si>
    <t>selected</t>
  </si>
  <si>
    <t>csop|window</t>
  </si>
  <si>
    <t>csop|cap</t>
  </si>
  <si>
    <t>no charge</t>
  </si>
  <si>
    <t>csop|disposal</t>
  </si>
  <si>
    <t>IT/NIC</t>
  </si>
  <si>
    <t>emi|purpose</t>
  </si>
  <si>
    <t>skills</t>
  </si>
  <si>
    <t>recruit</t>
  </si>
  <si>
    <t>emi|company</t>
  </si>
  <si>
    <t>£30m</t>
  </si>
  <si>
    <t>emi|company2</t>
  </si>
  <si>
    <t>another</t>
  </si>
  <si>
    <t>UK</t>
  </si>
  <si>
    <t>emi|employee</t>
  </si>
  <si>
    <t>emi|ownership</t>
  </si>
  <si>
    <t>excluded</t>
  </si>
  <si>
    <t>emi|sharetype</t>
  </si>
  <si>
    <t>performance</t>
  </si>
  <si>
    <t>EMI share class must be unrestricted</t>
  </si>
  <si>
    <t>emi|limits</t>
  </si>
  <si>
    <t>£3m</t>
  </si>
  <si>
    <t>emi|interactions</t>
  </si>
  <si>
    <t>emi|targets</t>
  </si>
  <si>
    <t>exercise</t>
  </si>
  <si>
    <t>grant</t>
  </si>
  <si>
    <t>emi|discount</t>
  </si>
  <si>
    <t>discount</t>
  </si>
  <si>
    <t>Discounted EMI awards can trigger tax at exercise based on lower of discount and exercise MV uplift.</t>
  </si>
  <si>
    <t>emi|nic|listed</t>
  </si>
  <si>
    <t>listed</t>
  </si>
  <si>
    <t>Your notes add NICs for listed company cases and CGT on disposal.</t>
  </si>
  <si>
    <t>emi|badr</t>
  </si>
  <si>
    <t>no</t>
  </si>
  <si>
    <t>EMI notes state no 5% requirement and a 2-year clock from grant date.</t>
  </si>
  <si>
    <t>sip|structure</t>
  </si>
  <si>
    <t>options</t>
  </si>
  <si>
    <t>trust</t>
  </si>
  <si>
    <t>sip|eligibility</t>
  </si>
  <si>
    <t>FT</t>
  </si>
  <si>
    <t>PT</t>
  </si>
  <si>
    <t>sip|company</t>
  </si>
  <si>
    <t>stamp duty</t>
  </si>
  <si>
    <t>controlled</t>
  </si>
  <si>
    <t>sip|free</t>
  </si>
  <si>
    <t>incentivisation</t>
  </si>
  <si>
    <t>sip|partnership</t>
  </si>
  <si>
    <t>Partnership share purchase cap is lower of £1,800 and 10% salary.</t>
  </si>
  <si>
    <t>sip|matching</t>
  </si>
  <si>
    <t>sip|dividends</t>
  </si>
  <si>
    <t>more</t>
  </si>
  <si>
    <t>sip|exit5</t>
  </si>
  <si>
    <t>sip|exit3</t>
  </si>
  <si>
    <t>withdrawal</t>
  </si>
  <si>
    <t>sip|exit35</t>
  </si>
  <si>
    <t>award</t>
  </si>
  <si>
    <t>For 3–5 year withdrawal, charge is based on the lower of award MV and withdrawal MV.</t>
  </si>
  <si>
    <t>compare|tax</t>
  </si>
  <si>
    <t>Common pattern across schemes is no upfront IT/NIC, with specific carve-outs such as discounted EMI.</t>
  </si>
  <si>
    <t>EMPSHARESCHEME</t>
  </si>
  <si>
    <t>Split-year treatment</t>
  </si>
  <si>
    <t>split_year|overview</t>
  </si>
  <si>
    <t>notes_user</t>
  </si>
  <si>
    <t>SPLITYR</t>
  </si>
  <si>
    <t>Split-year treatment can divide the tax year into a UK part ({gap1}) and an overseas part ({gap2}).</t>
  </si>
  <si>
    <t>["taxable","not taxable","exempt","ignored"]</t>
  </si>
  <si>
    <t>taxable</t>
  </si>
  <si>
    <t>["taxable","partly taxable","not taxable","employment-only taxable"]</t>
  </si>
  <si>
    <t>not taxable</t>
  </si>
  <si>
    <t>Your notes explicitly define UK part taxable and overseas part not taxable.</t>
  </si>
  <si>
    <t>split_year|leaving</t>
  </si>
  <si>
    <t>Leaving-UK split-year cases include leaving to begin {gap1} work overseas, and leaving to accompany a {gap2} starting full-time work overseas.</t>
  </si>
  <si>
    <t>["full-time","part-time","casual","seasonal"]</t>
  </si>
  <si>
    <t>full-time</t>
  </si>
  <si>
    <t>["friend","spouse","colleague","child"]</t>
  </si>
  <si>
    <t>spouse</t>
  </si>
  <si>
    <t>The leaving cases include starting full-time overseas work yourself or accompanying a spouse who does so.</t>
  </si>
  <si>
    <t>split_year|live_abroad</t>
  </si>
  <si>
    <t>["family","UK","overseas","rented"]</t>
  </si>
  <si>
    <t>["significant","minimal","full-time","increasing"]</t>
  </si>
  <si>
    <t>minimal</t>
  </si>
  <si>
    <t>["employer","tax year","country","spouse"]</t>
  </si>
  <si>
    <t>country</t>
  </si>
  <si>
    <t>This case requires selling UK house, minimal UK presence, and ties with another country.</t>
  </si>
  <si>
    <t>split_year|coming_home</t>
  </si>
  <si>
    <t>A coming-to-UK split-year case applies where an individual acquires a UK {gap1} and did not have sufficient {gap2} to be UK resident before that acquisition.</t>
  </si>
  <si>
    <t>["employment","home","passport","domicile"]</t>
  </si>
  <si>
    <t>home</t>
  </si>
  <si>
    <t>["ties","days","returns","benefits"]</t>
  </si>
  <si>
    <t>ties</t>
  </si>
  <si>
    <t>Your notes state acquiring a UK home with insufficient pre-existing ties can qualify.</t>
  </si>
  <si>
    <t>split_year|coming_work</t>
  </si>
  <si>
    <t>Another coming case is arrival to work {gap1} in the UK for at least {gap2}, without sufficient ties for UK residence before arrival.</t>
  </si>
  <si>
    <t>["part-time","remotely","full-time","casually"]</t>
  </si>
  <si>
    <t>["6 months","9 months","1 year","2 years"]</t>
  </si>
  <si>
    <t>1 year</t>
  </si>
  <si>
    <t>The notes require full-time UK work for at least one year in this coming case.</t>
  </si>
  <si>
    <t>split_year|returning</t>
  </si>
  <si>
    <t>A return-to-UK case can apply after a period where {gap1} or their spouse worked {gap2} overseas.</t>
  </si>
  <si>
    <t>["the individual","the employer","the adviser","the child"]</t>
  </si>
  <si>
    <t>the individual</t>
  </si>
  <si>
    <t>["temporarily","part-time","full-time","occasionally"]</t>
  </si>
  <si>
    <t>Your notes include return following a period of full-time overseas work by the individual or spouse.</t>
  </si>
  <si>
    <t>Residency, domicile and deemed domicile</t>
  </si>
  <si>
    <t>residency|auto_overseas</t>
  </si>
  <si>
    <t>RESDOM</t>
  </si>
  <si>
    <t>Automatic overseas test (prior UK resident): in UK fewer than {gap1} days and UK resident in one or more previous {gap2} tax years.</t>
  </si>
  <si>
    <t>["16","30","46","90"]</t>
  </si>
  <si>
    <t>["2","3","4","5"]</t>
  </si>
  <si>
    <t>This test uses &lt;16 days and prior residence in at least one of the previous 3 tax years.</t>
  </si>
  <si>
    <t>Automatic overseas test (not recently UK resident): in UK fewer than {gap1} days and not resident during previous {gap2} tax years.</t>
  </si>
  <si>
    <t>["16","46","90","183"]</t>
  </si>
  <si>
    <t>For those not resident in the prior three tax years, the threshold is &lt;46 days.</t>
  </si>
  <si>
    <t>residency|auto_uk</t>
  </si>
  <si>
    <t>Automatic UK tests include: UK presence of {gap1} days or more, and only home in UK occupied for at least {gap2} days.</t>
  </si>
  <si>
    <t>["90","120","183","200"]</t>
  </si>
  <si>
    <t>["16","30","46","91"]</t>
  </si>
  <si>
    <t>Automatic UK tests in your notes include 183+ days and the only-home test with at least 30 days occupation.</t>
  </si>
  <si>
    <t>residency|ties</t>
  </si>
  <si>
    <t>Sufficient ties: accommodation tie requires UK house available for at least {gap1} days; work tie is {gap2}+ UK work days; historic-day tie looks at &gt;{gap3} UK days in either of previous two tax years.</t>
  </si>
  <si>
    <t>["30","46","91","183"]</t>
  </si>
  <si>
    <t>["30","40","60","90"]</t>
  </si>
  <si>
    <t>["60","90","120","183"]</t>
  </si>
  <si>
    <t>These three sufficient ties thresholds are 91, 40, and &gt;90 days respectively.</t>
  </si>
  <si>
    <t>domicile|types</t>
  </si>
  <si>
    <t>Domicile types: domicile of {gap1} is inherited from father at birth; domicile of {gap2} applies while under 16 if father’s domicile changes; domicile of {gap3} arises after 16 when old ties are severed and person settles permanently overseas.</t>
  </si>
  <si>
    <t>["origin","choice","dependency","deemed"]</t>
  </si>
  <si>
    <t>origin</t>
  </si>
  <si>
    <t>["origin","choice","dependency","residence"]</t>
  </si>
  <si>
    <t>dependency</t>
  </si>
  <si>
    <t>choice</t>
  </si>
  <si>
    <t>The sequence is origin, dependency, then choice.</t>
  </si>
  <si>
    <t>deemed_domicile|routes</t>
  </si>
  <si>
    <t>Deemed domicile routes: long-term resident test is UK residence in at least {gap1} of previous {gap2} tax years; formerly UK domiciled resident route requires birth in UK, UK domicile of origin, and UK residence in the {gap3} tax year.</t>
  </si>
  <si>
    <t>["10","12","15","17"]</t>
  </si>
  <si>
    <t>["15","20","25","30"]</t>
  </si>
  <si>
    <t>["current","relevant","previous","next"]</t>
  </si>
  <si>
    <t>relevant</t>
  </si>
  <si>
    <t>Long-term route is 15/20; formerly UK domiciled resident route includes UK residence in the relevant tax year.</t>
  </si>
  <si>
    <t>A listed coming case is return after a period of full-time overseas work by the individual or spouse.</t>
  </si>
  <si>
    <t>Returns only if UK home was never acquired</t>
  </si>
  <si>
    <t>Returns after UK part-time employment</t>
  </si>
  <si>
    <t>Returns following period where they (or spouse) worked full-time overseas</t>
  </si>
  <si>
    <t>Returns after holiday abroad regardless of work history</t>
  </si>
  <si>
    <t>The notes specify full-time work in the UK for at least a year, with no sufficient ties before.</t>
  </si>
  <si>
    <t>Any UK work with no minimum duration</t>
  </si>
  <si>
    <t>Full-time work in UK for at least 1 year</t>
  </si>
  <si>
    <t>Full-time work in UK for at least 9 months</t>
  </si>
  <si>
    <t>Full-time work in UK for at least 6 months</t>
  </si>
  <si>
    <t>One listed case is acquiring a UK home with no sufficient UK-residence ties beforehand.</t>
  </si>
  <si>
    <t>Acquires UK home while remaining fully overseas resident indefinitely</t>
  </si>
  <si>
    <t>Acquires UK home and automatically becomes UK resident from prior year</t>
  </si>
  <si>
    <t>Acquires UK home and did not have sufficient ties to be UK resident before acquiring it</t>
  </si>
  <si>
    <t>Acquires UK home and had sufficient ties before acquiring it</t>
  </si>
  <si>
    <t>Which coming-to-UK scenario is listed for split-year treatment?</t>
  </si>
  <si>
    <t>The notes specify living abroad with sale of UK house, minimal UK time, and ties with another country.</t>
  </si>
  <si>
    <t>Retain UK house and increase UK workdays</t>
  </si>
  <si>
    <t>Sell UK house, minimal UK time, establish ties with another country</t>
  </si>
  <si>
    <t>Sell UK house, keep significant UK time, no foreign ties</t>
  </si>
  <si>
    <t>Keep UK house, spend substantial UK time, no overseas ties</t>
  </si>
  <si>
    <t>split_year|leaving_ties</t>
  </si>
  <si>
    <t>Your notes include accompanying a spouse who starts full-time work overseas.</t>
  </si>
  <si>
    <t>Accompanying spouse while remaining UK-home based</t>
  </si>
  <si>
    <t>Accompanying spouse on UK secondment</t>
  </si>
  <si>
    <t>Accompanying spouse on short-term study overseas</t>
  </si>
  <si>
    <t>Accompanying spouse to begin full-time work overseas</t>
  </si>
  <si>
    <t>split_year|leaving_spouse</t>
  </si>
  <si>
    <t>A listed leaving case is departure to begin full-time work overseas.</t>
  </si>
  <si>
    <t>Leaving UK for a temporary holiday abroad</t>
  </si>
  <si>
    <t>Leaving UK for part-time overseas work only</t>
  </si>
  <si>
    <t>Leaving UK to begin full-time work overseas</t>
  </si>
  <si>
    <t>Moving overseas to retire with no other conditions</t>
  </si>
  <si>
    <t>Which is one of the listed leaving-UK split-year scenarios?</t>
  </si>
  <si>
    <t>Your notes state the year can be split into a UK part (taxable) and an overseas part (not taxable).</t>
  </si>
  <si>
    <t>Both parts fully taxable in UK</t>
  </si>
  <si>
    <t>Only employment income taxable in both parts</t>
  </si>
  <si>
    <t>UK part not taxable and overseas part taxable</t>
  </si>
  <si>
    <t>UK part taxable and overseas part not taxable</t>
  </si>
  <si>
    <t>Split-year treatment allows a tax year to be divided into which two parts for an eligible UK resident?</t>
  </si>
  <si>
    <t>Your notes add that the individual must have been resident in a tax year from April 2017.</t>
  </si>
  <si>
    <t>Must be UK resident in every year after April 2017</t>
  </si>
  <si>
    <t>Must have been UK resident continuously since April 2017</t>
  </si>
  <si>
    <t>Must have been UK resident in a tax year from April 2017</t>
  </si>
  <si>
    <t>deemed_domicile|april2017</t>
  </si>
  <si>
    <t>Long-term resident deemed domicile uses the 15-out-of-20 tax years test (plus the April 2017 condition in your notes).</t>
  </si>
  <si>
    <t>UK resident at least 17 out of previous 20 tax years</t>
  </si>
  <si>
    <t>UK resident at least 15 out of previous 20 tax years</t>
  </si>
  <si>
    <t>UK resident at least 12 out of previous 20 tax years</t>
  </si>
  <si>
    <t>For long-term resident deemed domicile, what residence history is required?</t>
  </si>
  <si>
    <t>deemed_domicile|long_term</t>
  </si>
  <si>
    <t>For the formerly UK domiciled resident route: born in UK + UK domicile of origin + UK resident in the relevant tax year.</t>
  </si>
  <si>
    <t>Born in UK and resident for 15/20 years</t>
  </si>
  <si>
    <t>UK domicile of origin and resident for 10/20 years</t>
  </si>
  <si>
    <t>Born in UK and UK resident in any prior tax year</t>
  </si>
  <si>
    <t>Which combination is required for the formerly UK domiciled resident deemed-domicile route?</t>
  </si>
  <si>
    <t>deemed_domicile|fukdr</t>
  </si>
  <si>
    <t>Domicile of dependency applies while under 16; if the father’s domicile changes, the child’s changes too.</t>
  </si>
  <si>
    <t>Automatically acquired after 15 years UK residence</t>
  </si>
  <si>
    <t>While under 16, your domicile changes if your father’s changes</t>
  </si>
  <si>
    <t>After age 16, permanently settling overseas</t>
  </si>
  <si>
    <t>Which description correctly states domicile of dependency?</t>
  </si>
  <si>
    <t>The accommodation tie requires a UK house available for at least 91 days and actually used during the tax year.</t>
  </si>
  <si>
    <t>A UK home owned for at least 91 days regardless of use</t>
  </si>
  <si>
    <t>A UK house available for at least 120 days and used in prior year</t>
  </si>
  <si>
    <t>A UK house available for at least 91 days and used in the tax year</t>
  </si>
  <si>
    <t>For the accommodation tie in sufficient ties, which condition is required?</t>
  </si>
  <si>
    <t>The automatic UK day-count test is presence in the UK for 183 days or more in the tax year.</t>
  </si>
  <si>
    <t>In the UK for 200 days or more</t>
  </si>
  <si>
    <t>In the UK for 183 days or more</t>
  </si>
  <si>
    <t>In the UK for 120 days or more</t>
  </si>
  <si>
    <t>Which is an automatic UK test based on day count?</t>
  </si>
  <si>
    <t>A separate automatic overseas test uses the &lt;46-day threshold when the person was not resident in the previous three tax years.</t>
  </si>
  <si>
    <t>In the UK fewer than 90 days and not resident during previous three tax years</t>
  </si>
  <si>
    <t>In the UK fewer than 60 days and not resident during previous two tax years</t>
  </si>
  <si>
    <t>In the UK fewer than 46 days and not resident during previous three tax years</t>
  </si>
  <si>
    <t>Which statement matches an automatic overseas test for someone with no recent UK residence history?</t>
  </si>
  <si>
    <t>One automatic overseas test is &lt;16 UK days where the individual was UK resident in at least one of the previous three tax years.</t>
  </si>
  <si>
    <t>In the UK fewer than 90 days and not resident in any prior year</t>
  </si>
  <si>
    <t>In the UK fewer than 46 days and UK resident in one or more of the previous five tax years</t>
  </si>
  <si>
    <t>In the UK fewer than 30 days and UK resident in one or more of the previous three tax years</t>
  </si>
  <si>
    <t>Under an automatic overseas test, which day-count/condition combination is correct?</t>
  </si>
  <si>
    <t>iht|deemed_domicile|overview</t>
  </si>
  <si>
    <t>image_notes</t>
  </si>
  <si>
    <t>DEEMDOM</t>
  </si>
  <si>
    <t>For IHT purposes at the time of transfer, deemed domicile can arise if how many alternative conditions are met?</t>
  </si>
  <si>
    <t>iht|three_year</t>
  </si>
  <si>
    <t>preceding</t>
  </si>
  <si>
    <t>transfer</t>
  </si>
  <si>
    <t>iht|fukdi</t>
  </si>
  <si>
    <t>Under the formerly UK domiciled individual route for IHT, which extra residence condition appears (beyond being UK resident in relevant year)?</t>
  </si>
  <si>
    <t>iht|residence_15_20</t>
  </si>
  <si>
    <t>For the UK-resident route to IHT deemed domicile, what long-term residence threshold applies?</t>
  </si>
  <si>
    <t>iht|residence_1of4</t>
  </si>
  <si>
    <t>iht|comparison</t>
  </si>
  <si>
    <t>iht|fukdi|elements</t>
  </si>
  <si>
    <t>Born in UK, UK domicile of origin, UK resident in relevant year, and resident in at least 1 of previous 2 tax years</t>
  </si>
  <si>
    <t>Born in UK, foreign domicile of origin, resident in relevant year, and resident in previous 4 years</t>
  </si>
  <si>
    <t>Not born in UK, UK domicile of choice, resident in relevant year, and 15/20 residence</t>
  </si>
  <si>
    <t>iht|trigger_time</t>
  </si>
  <si>
    <t>end</t>
  </si>
  <si>
    <t>Deemed domicile (IHT vs CGT/IT)</t>
  </si>
  <si>
    <t>Any one of two conditions</t>
  </si>
  <si>
    <t>Any one of three conditions</t>
  </si>
  <si>
    <t>Any two of three conditions</t>
  </si>
  <si>
    <t>All three conditions</t>
  </si>
  <si>
    <t>UK domiciled at any point in last 5 years</t>
  </si>
  <si>
    <t>UK resident in any of last 3 years</t>
  </si>
  <si>
    <t>Domiciled in UK within 3 years immediately preceding that time</t>
  </si>
  <si>
    <t>Born in UK and resident currently</t>
  </si>
  <si>
    <t>Condition 1 is UK domicile within the 3 years immediately before the transfer time.</t>
  </si>
  <si>
    <t>UK resident in at least 1 of the 2 tax years immediately before the relevant year</t>
  </si>
  <si>
    <t>UK resident in at least 2 of the 4 tax years ending with relevant year</t>
  </si>
  <si>
    <t>UK resident in at least 15 of previous 20 years</t>
  </si>
  <si>
    <t>Not resident in previous 3 years</t>
  </si>
  <si>
    <t>The formerly UK domiciled route includes residence in at least 1 of the 2 immediately preceding tax years.</t>
  </si>
  <si>
    <t>At least 12 of previous 15 tax years</t>
  </si>
  <si>
    <t>At least 15 of previous 20 tax years</t>
  </si>
  <si>
    <t>At least 10 of previous 20 tax years</t>
  </si>
  <si>
    <t>At least 17 of previous 20 tax years</t>
  </si>
  <si>
    <t>The long-term limb is residence for at least 15 of the 20 tax years immediately preceding the relevant tax year.</t>
  </si>
  <si>
    <t>Which additional residence test must also be met under the UK-resident IHT route?</t>
  </si>
  <si>
    <t>Resident in at least 1 of the 2 immediately preceding years</t>
  </si>
  <si>
    <t>Resident in at least 2 of the 4 ending with relevant year</t>
  </si>
  <si>
    <t>Resident in at least 1 of the 4 tax years ending with the relevant year</t>
  </si>
  <si>
    <t>Resident in all 4 ending years</t>
  </si>
  <si>
    <t>The second limb is residence in at least 1 of the 4 tax years ending with the relevant tax year.</t>
  </si>
  <si>
    <t>Which set correctly matches the formerly UK domiciled individual conditions for IHT?</t>
  </si>
  <si>
    <t>Born in UK only</t>
  </si>
  <si>
    <t>All listed elements are required under that route in your note.</t>
  </si>
  <si>
    <t>At end of tax year only</t>
  </si>
  <si>
    <t>At date of disposal for CGT</t>
  </si>
  <si>
    <t>At the time the transfer is made</t>
  </si>
  <si>
    <t>At 5 April before transfer</t>
  </si>
  <si>
    <t>The note states deemed domicile for IHT is tested at the time the transfer is made.</t>
  </si>
  <si>
    <t>DOMICILE</t>
  </si>
  <si>
    <t>iht|overview</t>
  </si>
  <si>
    <t>For IHT deemed domicile at transfer time, meeting any {gap1} of {gap2} listed conditions is sufficient.</t>
  </si>
  <si>
    <t>["one","two","all"]</t>
  </si>
  <si>
    <t>["two","three","four"]</t>
  </si>
  <si>
    <t>The framework is any one of three conditions.</t>
  </si>
  <si>
    <t>Condition 1: individual was domiciled in the UK within the {gap1} years immediately {gap2} that time.</t>
  </si>
  <si>
    <t>["preceding","following","ending","excluding"]</t>
  </si>
  <si>
    <t>The first trigger is UK domicile within the 3 years immediately preceding the transfer time.</t>
  </si>
  <si>
    <t>Formerly UK domiciled individual route requires: born in {gap1}, UK domicile of {gap2}, UK resident in relevant year, and UK resident in at least {gap3} of previous {gap4} tax years.</t>
  </si>
  <si>
    <t>["UK","EU","Commonwealth","overseas"]</t>
  </si>
  <si>
    <t>["1","2","3"]</t>
  </si>
  <si>
    <t>This route combines birthplace, domicile-origin, current-year residence and a 1-of-2 prior-year residence test.</t>
  </si>
  <si>
    <t>iht|uk_resident_route</t>
  </si>
  <si>
    <t>UK-resident deemed-domicile route uses residence for at least {gap1} of previous {gap2} years and at least {gap3} of the {gap4} years ending with relevant year.</t>
  </si>
  <si>
    <t>["12","15","17"]</t>
  </si>
  <si>
    <t>["15","20","25"]</t>
  </si>
  <si>
    <t>This route combines 15/20 with a 1/4 recency condition.</t>
  </si>
  <si>
    <t>iht|comparison_windows</t>
  </si>
  <si>
    <t>To distinguish IHT from CGT/IT revision, memorise the IHT windows: {gap1} years (domicile lookback), {gap2} of {gap3}, and {gap4} of {gap5}.</t>
  </si>
  <si>
    <t>["2","3","5"]</t>
  </si>
  <si>
    <t>["10","12","15"]</t>
  </si>
  <si>
    <t>["2","4","6"]</t>
  </si>
  <si>
    <t>The key IHT memory anchors are 3-year lookback, 15/20, and 1/4.</t>
  </si>
  <si>
    <t>For IHT, deemed domicile is tested at the time a {gap1} is made, not just at tax-year {gap2}.</t>
  </si>
  <si>
    <t>["transfer","return","claim","election"]</t>
  </si>
  <si>
    <t>["start","end","middle","quarter"]</t>
  </si>
  <si>
    <t>The trigger point in the note is the transfer time.</t>
  </si>
  <si>
    <t>Seed Enterprise Investment scheme (SEIS)</t>
  </si>
  <si>
    <t>Seed Enterprise Investment scheme (SEIS) income tax relief applies to subscriptions up to {gap1} per tax year, at a relief rate of {gap2}.</t>
  </si>
  <si>
    <t>Seed Enterprise Investment scheme (SEIS) has a lower annual subscription cap than Enterprise Investment scheme (EIS) and gives relief at 50%.</t>
  </si>
  <si>
    <t>Under Seed Enterprise Investment scheme (SEIS), being a director is {gap1}, but being connected through employment or ownership above 30% is {gap2}.</t>
  </si>
  <si>
    <t>permitted</t>
  </si>
  <si>
    <t>Seed Enterprise Investment scheme (SEIS) reinvestment relief applies where reinvestment in qualifying SEIS shares occurs in the {gap1} tax year as disposal, while Enterprise Investment scheme (EIS) deferral allows reinvestment up to {gap2} years after disposal.</t>
  </si>
  <si>
    <t>For Enterprise Investment scheme (EIS) income tax relief, what is the maximum amount of qualifying subscriptions that can attract relief in a tax year, and at what rate (ignoring the ‘lower of’ liability cap)?</t>
  </si>
  <si>
    <t>Enterprise Investment scheme (EIS) income tax relief is a tax reducer on subscriptions up to £1,000,000 in a tax year at 30% (subject to being capped by the individual’s income tax liability). Distractors: B[same_family], C[threshold_swap], D[exception_as_rule], E[threshold_swap].</t>
  </si>
  <si>
    <t>Enterprise Investment scheme (EIS) income tax relief is given as a {gap1} on qualifying subscriptions, and the maximum annual subscription eligible for relief is {gap2}.</t>
  </si>
  <si>
    <t>For Enterprise Investment scheme (EIS), the investor must subscribe in {gap1} for newly issued ordinary shares, and must not own more than {gap2} of the share capital.</t>
  </si>
  <si>
    <t>If Enterprise Investment scheme (EIS) shares are sold at a {gap1}, all relief may be withdrawn; if sold at a loss, withdrawn relief is based on proceeds × {gap2} (or original lower rate).</t>
  </si>
  <si>
    <t>For Enterprise Investment scheme (EIS) CGT treatment, gains are exempt if shares are held for {gap1} or more, but taxed normally if held for {gap2} than three years.</t>
  </si>
  <si>
    <t>Where more than one investment-scheme income tax reducer is available, the deduction order is {gap1} first, then Enterprise Investment scheme (EIS), then {gap2}.</t>
  </si>
  <si>
    <t>Enterprise Investment scheme (EIS) deferral relief requires reinvestment within {gap1} year before and {gap2} years after disposal of a chargeable asset.</t>
  </si>
  <si>
    <t>An Enterprise Investment scheme (EIS) income tax relief claim for 2024/25 must be made by {gap1}, and EIS shares must generally be held for at least {gap2} to avoid relief withdrawal events.</t>
  </si>
  <si>
    <t>Venture Capital Trust (VCT) income tax relief is available on subscriptions up to £{gap1} each tax year at {gap2}% of the amount subscribed (subject to tax liability cap).</t>
  </si>
  <si>
    <t>VCT income tax relief has a £200,000 annual subscription cap and relief rate of 30%.</t>
  </si>
  <si>
    <t>For Venture Capital Trust (VCT) shares, disposal gains are {gap1} from CGT and disposal losses are {gap2} allowable.</t>
  </si>
  <si>
    <t>C. Save As You Earn (SAYE) must be offered only to full-time directors and key employees</t>
  </si>
  <si>
    <t>D. Save As You Earn (SAYE) savings must be invested in employer shares throughout the term</t>
  </si>
  <si>
    <t>E. Save As You Earn (SAYE) gives CGT-free disposal of shares if held 3 years</t>
  </si>
  <si>
    <t>B. Always at exercise, because Enterprise Management Incentive schemes (EMI) options are taxed as employment income</t>
  </si>
  <si>
    <t>Your notes: Enterprise Management Incentive schemes (EMI) has no IT/NIC at grant or exercise unless issued at a discount to MV at grant; then at exercise IT (and NIC if listed) is on the lower of discount vs MV at exercise and the price paid. Distractors: B[exception_as_rule], C[term_confusion], D[threshold_swap], E[wrong_direction].</t>
  </si>
  <si>
    <t>A. The company must be unlisted to qualify for Enterprise Management Incentive schemes (EMI)</t>
  </si>
  <si>
    <t>B. The company can be listed, provided other Enterprise Management Incentive schemes (EMI) conditions (including gross assets &lt; £30m) are met</t>
  </si>
  <si>
    <t>D. Listing automatically disqualifies Enterprise Management Incentive schemes (EMI) regardless of gross assets</t>
  </si>
  <si>
    <t>D. The company must be controlled by employees participating in Enterprise Management Incentive schemes (EMI)</t>
  </si>
  <si>
    <t>A. Enterprise Management Incentive schemes (EMI) can still be granted but only to new employees</t>
  </si>
  <si>
    <t>B. No more Enterprise Management Incentive schemes (EMI) can be granted for five years</t>
  </si>
  <si>
    <t>C. No more Enterprise Management Incentive schemes (EMI) can be granted for three years</t>
  </si>
  <si>
    <t>D. Enterprise Management Incentive schemes (EMI) can be granted only if the company becomes unlisted</t>
  </si>
  <si>
    <t>E. Enterprise Management Incentive schemes (EMI) can be granted only up to £60,000 per employee</t>
  </si>
  <si>
    <t>Enterprise Management Incentive schemes (EMI) is designed to help smaller higher-risk companies {gap1} and retain critical employees with key {gap2}.</t>
  </si>
  <si>
    <t>Enterprise Management Incentive schemes (EMI) supports recruitment/retention of critical talent in smaller higher-risk companies.</t>
  </si>
  <si>
    <t>Enterprise Management Incentive schemes (EMI) company conditions include gross assets below {gap1} and fewer than {gap2} employees.</t>
  </si>
  <si>
    <t>Enterprise Management Incentive schemes (EMI) company limits are gross assets &lt;£30m and &lt;250 employees.</t>
  </si>
  <si>
    <t>For Enterprise Management Incentive schemes (EMI), the company must have a permanent establishment in the {gap1} and must not be controlled by {gap2} company.</t>
  </si>
  <si>
    <t>Enterprise Management Incentive schemes (EMI) requires UK permanent establishment and independence from another controller.</t>
  </si>
  <si>
    <t>Enterprise Management Incentive schemes (EMI) working-time condition is at least {gap1} hours/week or at least {gap2} of working time.</t>
  </si>
  <si>
    <t>Enterprise Management Incentive schemes (EMI) employee time test is 25 hours or 75% of working time.</t>
  </si>
  <si>
    <t>Employees owning above {gap1} ordinary shares are {gap2} from Enterprise Management Incentive schemes (EMI) participation.</t>
  </si>
  <si>
    <t>&gt;30% ordinary share owners cannot qualify for Enterprise Management Incentive schemes (EMI).</t>
  </si>
  <si>
    <t>Enterprise Management Incentive schemes (EMI) shares must be fully paid irredeemable {gap1} shares and must not include restrictions tied to sale, forfeiture, or {gap2}.</t>
  </si>
  <si>
    <t>Enterprise Management Incentive schemes (EMI) individual limit is {gap1}; company-wide Enterprise Management Incentive schemes (EMI) grants are capped at {gap2}.</t>
  </si>
  <si>
    <t>Individual Enterprise Management Incentive schemes (EMI) cap is £250,000 and company aggregate cap is £3m.</t>
  </si>
  <si>
    <t>For Enterprise Management Incentive schemes (EMI), performance targets can be set at {gap1} and must be met before {gap2}.</t>
  </si>
  <si>
    <t>Enterprise Management Incentive schemes (EMI) permits grant-time targets that gate later exercise.</t>
  </si>
  <si>
    <t>Enterprise Management Incentive schemes (EMI) usually has no IT/NIC at grant or exercise, except where shares are issued at a {gap1} to grant-date MV; then charge compares discount with MV at {gap2}.</t>
  </si>
  <si>
    <t>Where discounted Enterprise Management Incentive schemes (EMI) shares are taxed on exercise, NICs can arise if the company is {gap1}; disposal then falls into {gap2}.</t>
  </si>
  <si>
    <t>Enterprise Management Incentive schemes (EMI) disposal note: there is {gap1} requirement to hold 5% for relief, and the 2-year period runs from {gap2} date.</t>
  </si>
  <si>
    <t>Under Save As You Earn (SAYE), monthly contributions are fixed between {gap1} and {gap2}.</t>
  </si>
  <si>
    <t>Save As You Earn (SAYE) savings contracts run for either {gap1} years or {gap2} years.</t>
  </si>
  <si>
    <t>On Save As You Earn (SAYE) grant and exercise, {gap1} and {gap2} are not charged.</t>
  </si>
  <si>
    <t>At Save As You Earn (SAYE) completion, the employee may take {gap1} or use funds to buy employer/parent {gap2}.</t>
  </si>
  <si>
    <t>For Save As You Earn (SAYE)-acquired shares, the disposal tax regime is {gap1} rather than {gap2}.</t>
  </si>
  <si>
    <t>At the Enterprise Management Incentive schemes (EMI) limit, no more Enterprise Management Incentive schemes (EMI) can be granted for {gap1} years; {gap2} options reduce Enterprise Management Incentive schemes (EMI) capacity while Save As You Earn (SAYE) does not.</t>
  </si>
  <si>
    <t>Save As You Earn (SAYE) contributions must be regular fixed sums between £5 and £500.</t>
  </si>
  <si>
    <t>Save As You Earn (SAYE) contract lengths are 3 years or 5 years.</t>
  </si>
  <si>
    <t>Your notes state no IT or NICs on Save As You Earn (SAYE) grant or exercise.</t>
  </si>
  <si>
    <t>The notes specify CGT on sale for Save As You Earn (SAYE) shares.</t>
  </si>
  <si>
    <t>A. Company Share Option Plan (CSOP) must be open to all employees on similar terms</t>
  </si>
  <si>
    <t>B. Save As You Earn (SAYE) reduces the Enterprise Management Incentive schemes (EMI) limit; Company Share Option Plan (CSOP) does not</t>
  </si>
  <si>
    <t>C. Both Company Share Option Plan (CSOP) and Save As You Earn (SAYE) reduce the Enterprise Management Incentive schemes (EMI) limit</t>
  </si>
  <si>
    <t>D. Neither Company Share Option Plan (CSOP) nor Save As You Earn (SAYE) affects the Enterprise Management Incentive schemes (EMI) limit</t>
  </si>
  <si>
    <t>E. Company Share Option Plan (CSOP) options reduce the Enterprise Management Incentive schemes (EMI) limit; Save As You Earn (SAYE) does not</t>
  </si>
  <si>
    <t>Your notes: Company Share Option Plan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</si>
  <si>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Your notes: Company Share Option Plan (CSOP) options reduce the Enterprise Management Incentive schemes (EMI) limit, while Save As You Earn (SAYE) does not. Distractors: B[wrong_direction], C[exception_as_rule], D[exception_as_rule], E[term_confusion].</t>
  </si>
  <si>
    <t>For Company Share Option Plan (CSOP), shares must be fully paid {gap1} shares, and grant price must be at least {gap2}.</t>
  </si>
  <si>
    <t>Company Share Option Plan (CSOP) options are {gap1}, and people who held over {gap2} of a close company in the prior 12 months are excluded.</t>
  </si>
  <si>
    <t>Company Share Option Plan (CSOP) can be offered to {gap1} employees/full-time directors (not all staff), with exercise allowed from year {gap2} onwards.</t>
  </si>
  <si>
    <t>Company Share Option Plan (CSOP) exercise must occur between {gap1} and {gap2} years after grant.</t>
  </si>
  <si>
    <t>An employee Company Share Option Plan (CSOP) grant is capped at {gap1}, and tax at grant/exercise is {gap2} for IT and NIC.</t>
  </si>
  <si>
    <t>For Company Share Option Plan (CSOP) shares, disposal is generally within {gap1}, while grant/exercise remains free from {gap2}.</t>
  </si>
  <si>
    <t>Company Share Option Plan (CSOP)</t>
  </si>
  <si>
    <t>Company Share Option Plan (CSOP) requires fully paid ordinary shares and no discount to MV at grant.</t>
  </si>
  <si>
    <t>Company Share Option Plan (CSOP) options cannot be transferred, and &gt;30% close-company holders are excluded.</t>
  </si>
  <si>
    <t>Company Share Option Plan (CSOP) is selective and options are exercised between 3 and 10 years.</t>
  </si>
  <si>
    <t>Company Share Option Plan (CSOP) options must be exercised within the 3–10 year window.</t>
  </si>
  <si>
    <t>Company Share Option Plan (CSOP) employee limit is £60,000 and no IT/NIC on grant or exercise.</t>
  </si>
  <si>
    <t>Company Share Option Plan (CSOP) follows CGT on disposal; no IT/NIC at grant or exercise.</t>
  </si>
  <si>
    <t>Enterprise Management Incentive schemes (EMI) lockout is three years at limit; Company Share Option Plan (CSOP) interacts with limit, Save As You Earn (SAYE) does not.</t>
  </si>
  <si>
    <t>Fill in the limits/timings: Under Company Share Option Plan (CSOP) the max option value per employee is {gap1} and options must be exercised between {gap2} and {gap3} years. Under Enterprise Management Incentive schemes (EMI), the employee limit is {gap4} and the total company grant limit is {gap5}.</t>
  </si>
  <si>
    <t>A. Only Share Incentive Plan (SIP) participation reduces the Enterprise Management Incentive schemes (EMI) limit</t>
  </si>
  <si>
    <t>A Share Incentive Plan (SIP) uses a UK-resident {gap1} to buy and hold shares, unlike SAYE/Company Share Option Plan (CSOP)/EMI where employees get {gap2}.</t>
  </si>
  <si>
    <t>Share Incentive Plan (SIP) must be offered to all {gap1} and {gap2} employees, with possible qualifying period up to 18 months.</t>
  </si>
  <si>
    <t>Share Incentive Plan (SIP) shares must be fully paid irredeemable ordinary shares, and the company must not be {gap1} by another company; trust purchases may trigger {gap2}.</t>
  </si>
  <si>
    <t>Under Share Incentive Plan (SIP), free shares can be awarded up to {gap1} per year and may be differentiated to support {gap2}.</t>
  </si>
  <si>
    <t>Share Incentive Plan (SIP) partnership shares are bought from pre-tax salary up to the lower of {gap1} and {gap2} of salary.</t>
  </si>
  <si>
    <t>Share Incentive Plan (SIP) matching shares can be awarded at a maximum ratio of {gap1}:{gap2}.</t>
  </si>
  <si>
    <t>Dividends on Share Incentive Plan (SIP) shares are tax-free if used to acquire {gap1} {gap2}.</t>
  </si>
  <si>
    <t>When Share Incentive Plan (SIP) shares remain in plan for over {gap1} years, withdrawal triggers {gap2} IT/NIC charge.</t>
  </si>
  <si>
    <t>If Share Incentive Plan (SIP) shares are removed within {gap1} years, IT/NIC is based on MV at {gap2}.</t>
  </si>
  <si>
    <t>If Share Incentive Plan (SIP) shares are removed between 3 and 5 years, IT/NIC uses the lower of MV at {gap1} and MV at {gap2}.</t>
  </si>
  <si>
    <t>Across Save As You Earn (SAYE), Company Share Option Plan (CSOP), Enterprise Management Incentive schemes (EMI) and Share Incentive Plan (SIP), grant/exercise or award is generally free of {gap1} and {gap2}, subject to specific exceptions (e.g., discounted Enterprise Management Incentive schemes (EMI)).</t>
  </si>
  <si>
    <t>Share Incentive Plan (SIP) is trust-based share holding, not an option grant model.</t>
  </si>
  <si>
    <t>Share Incentive Plan (SIP) availability is broad: full-time and part-time employees.</t>
  </si>
  <si>
    <t>Share Incentive Plan (SIP) requires qualifying shares and independence; trust acquisitions can incur stamp duty.</t>
  </si>
  <si>
    <t>Free Share Incentive Plan (SIP) shares are capped at £3,600 with flexible allocation basis.</t>
  </si>
  <si>
    <t>Employer matching under Share Incentive Plan (SIP) is capped at 2:1.</t>
  </si>
  <si>
    <t>Reinvested Share Incentive Plan (SIP) dividends can be tax-free when used for further share acquisition.</t>
  </si>
  <si>
    <t>After &gt;5 years in Share Incentive Plan (SIP), withdrawal is free of IT/NIC.</t>
  </si>
  <si>
    <t>Within 3 years, Share Incentive Plan (SIP) withdrawal charge uses market value at withdrawal.</t>
  </si>
  <si>
    <t>Share Incentive Plan (SIP) withdrawal charges: If shares are held in the Share Incentive Plan (SIP) for more than {gap1} years, there is no IT or NIC on withdrawal. If held for less than {gap2} years, IT and NIC are based on {gap3} at withdrawal. If held between {gap4} and {gap5} years, the IT/NIC charge is based on the lower of MV at award vs MV at withdrawal.</t>
  </si>
  <si>
    <t>Which statement correctly describes the CGT/dividend position for Venture Capital Trust (VCT) shares ?</t>
  </si>
  <si>
    <t>Where a PSC provides services to a small entity and IR35 applies , which statement is correct?</t>
  </si>
  <si>
    <t>For services provided by a PSC to a medium or large entity , who determines whether IR35 applies and what document is issued?</t>
  </si>
  <si>
    <t>For Enterprise Management Incentive schemes (EMI) eligibility, what is the maximum gross assets limit for the company ?</t>
  </si>
  <si>
    <t>Which statement about a company’s listing status for Enterprise Management Incentive schemes (EMI) is correct ?</t>
  </si>
  <si>
    <t>For Enterprise Management Incentive schemes (EMI) eligibility, which employee headcount condition applies to the company ?</t>
  </si>
  <si>
    <t>Which UK presence requirement must the company meet for Enterprise Management Incentive schemes (EMI) ?</t>
  </si>
  <si>
    <t>Which control condition must be satisfied for an Enterprise Management Incentive schemes (EMI) company ?</t>
  </si>
  <si>
    <t>Which working-time condition applies to employees for Enterprise Management Incentive schemes (EMI) eligibility ?</t>
  </si>
  <si>
    <t>Which ownership condition excludes an employee from Enterprise Management Incentive schemes (EMI) ?</t>
  </si>
  <si>
    <t>For Enterprise Management Incentive schemes (EMI), what type of shares must the options relate to ?</t>
  </si>
  <si>
    <t>What is the maximum Enterprise Management Incentive schemes (EMI) value an individual employee can hold ?</t>
  </si>
  <si>
    <t>What is the total maximum Enterprise Management Incentive schemes (EMI) that a company can grant ?</t>
  </si>
  <si>
    <t>If the Enterprise Management Incentive schemes (EMI) limits are reached, what restriction applies next ?</t>
  </si>
  <si>
    <t>How do other option schemes interact with Enterprise Management Incentive schemes (EMI) limits ?</t>
  </si>
  <si>
    <t>For small entities :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</si>
  <si>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An individual subscribed for qualifying Enterprise Investment scheme (EIS) shares and claimed EIS income tax relief at 30%. The shares are later sold at a loss. How is the amount of income tax relief withdrawn ?</t>
  </si>
  <si>
    <t>For a Company Share Option Plan (CSOP), which rule is correct ?</t>
  </si>
  <si>
    <t>Under Enterprise Management Incentive schemes (EMI), when can an income tax (and possibly NIC) charge arise at exercise ?</t>
  </si>
  <si>
    <t>: for medium/large entities, the client determines whether IR35 applies and issues an SDS with reasons; the individual can challenge and the client must respond within 45 days. Distractors: B[term_confusion], C[exception_as_rule], D[exception_as_rule], E[term_confusion].</t>
  </si>
  <si>
    <t>, an EMI company can be listed but must have gross assets of less than £30m. Distractors: B[same_family], C[threshold_swap], D[threshold_swap], E[exception_as_rule].</t>
  </si>
  <si>
    <t>, the company must have less than 250 employees. Distractors: B[threshold_swap], C[term_confusion], D[threshold_swap], E[term_confusion].</t>
  </si>
  <si>
    <t>, the company must not be under control of another company. Distractors: B[wrong_direction], C[exception_as_rule], D[exception_as_rule], E[term_confusion].</t>
  </si>
  <si>
    <t>, employees who own &gt;30% of ordinary shares are excluded. Distractors: B[threshold_swap], C[exception_as_rule], D[term_confusion], E[term_confusion].</t>
  </si>
  <si>
    <t>, an employee can hold a maximum EMI of £250,000. Distractors: B[same_family], C[threshold_swap], D[same_family], E[same_family].</t>
  </si>
  <si>
    <t>: once at the limit, no more EMI can be granted for three years. Distractors: B[threshold_swap], C[exception_as_rule], D[term_confusion], E[same_family].</t>
  </si>
  <si>
    <t>Which statement correctly describes Save As You Earn (SAYE) ?</t>
  </si>
  <si>
    <t>: EIS reinvestment (deferral) window is 1 year before to 3 years after disposal; SEIS reinvestment relief requires reinvestment in qualifying SEIS shares during the same tax year.</t>
  </si>
  <si>
    <t xml:space="preserve"> for small entities: a deemed salary is calculated; employment allowance cannot be used; dividends form part of the deemed salary and are not taxed separately as dividends; deemed salary is treated as paid on the last day of the tax year.</t>
  </si>
  <si>
    <t>: for medium/large entities the client determines IR35 and issues an SDS; there is a 45-day challenge/response window; the DDP is taxed like employment and is deducted to prevent double taxation when PSC later remunerates the individual.</t>
  </si>
  <si>
    <t>: Company Share Option Plan (CSOP) limit £60,000 and exercise window 3–10 years. Enterprise Management Incentive schemes (EMI) limits: £250,000 per employee and £3m total company grant.</t>
  </si>
  <si>
    <t>: Share Incentive Plan (SIP) &gt;5 years: no IT/NIC on taking shares out. &lt;3 years: IT/NIC based on market value at withdrawal. 3–5 years: IT/NIC based on the lower of MV at award and MV at withdrawal.</t>
  </si>
  <si>
    <t>Which spouse-related event can support leaving-UK split-year treatment ?</t>
  </si>
  <si>
    <t>For the “to live abroad” leaving case to apply, the tests are whether the taxpayer is selling the {gap1} house, spending {gap2} time in UK, and keeping ties with another {gap3}.</t>
  </si>
  <si>
    <t>Drag the statements into the most logical order for an individual making (and later exiting) a qualifying EIS investment</t>
  </si>
  <si>
    <t>[
    {
        "line_id": "D1",
        "text": "PSC determines IR35 status and issues the SDS to the client",
        "is_distractor": true
    },
    {
        "line_id": "S6",
        "text": "When PSC later pays salary/dividends, remuneration is free of PAYE/NIC up to the level of the DDP (to avoid double taxation)",
        "is_distractor": false
    },
    {
        "line_id": "D2",
        "text": "Employment allowance can be used to offset employer NIC on the DDP",
        "is_distractor": true
    },
    {
        "line_id": "S2",
        "text": "Client issues a Status Determination Statement (SDS) with reasons",
        "is_distractor": false
    },
    {
        "line_id": "S5",
        "text": "PSC receives the fee net of tax withheld by the client; the net fee is non-taxable to PSC",
        "is_distractor": false
    },
    {
        "line_id": "S3",
        "text": "Individual can challenge the SDS before final payment; client must respond within 45 days",
        "is_distractor": false
    },
    {
        "line_id": "S1",
        "text": "Client determines whether IR35 rules apply (medium/large entity engagement)",
        "is_distractor": false
    },
    {
        "line_id": "S4",
        "text": "Client operates PAYE/NIC on the deemed direct payment (DDP) as if PSC were a direct employee",
        "is_distractor": false
    }
]</t>
  </si>
  <si>
    <t>Client will withold income tax and Class 1 Employee NICs on DDP as if the individual was an employee. PSC receives fee net of tax and drawings are net of tax up to the limit of the DDP. 
1. Payment for services (net VAT), 
2. (Direct cost of materials), 
3. (Allowable expenses), 
4. Deemed direct payment (DDP)</t>
  </si>
  <si>
    <t>[
    {
        "line_id": "D1",
        "text": "(Statutory 5%)",
        "is_distractor": true
    },
    {
        "line_id": "D2",
        "text": "Employer's NIC 13.8/113.8",
        "is_distractor": true
    },
    {
        "line_id": "S2",
        "text": "(Direct cost of materials)",
        "is_distractor": false
    },
    {
        "line_id": "S4",
        "text": "Deemed direct payment (DDP)",
        "is_distractor": false
    },
    {
        "line_id": "S3",
        "text": "(Allowable expenses)",
        "is_distractor": false
    },
    {
        "line_id": "S1",
        "text": "Payment for services (net VAT)",
        "is_distractor": false
    }
]</t>
  </si>
  <si>
    <t xml:space="preserve"> for medium/large entities the client determines status and issues an SDS (with a 45-day challenge window), operates PAYE/NIC on the DDP, and the DDP is used to prevent double taxation when the PSC later remunerates the individual.
1. Client determines whether IR35 rules apply (medium/large entity engagement), 
2. Client issues a Status Determination Statement (SDS) with reasons, 
3. Individual can challenge the SDS before final payment; client must respond within 45 days, 
4. Client operates PAYE/NIC on the deemed direct payment (DDP) as if PSC were a direct employee, 
5. PSC receives the fee net of tax withheld by the client; the net fee is non-taxable to PSC, 
6. When PSC later pays salary/dividends, remuneration is free of PAYE/NIC up to the level of the DDP (to avoid double taxation)</t>
  </si>
  <si>
    <t>1. Notify relevant parties
2. Obtain consent to act for them
3. Use separate engagement teams
4. Prevent access to information
5. Clear guidelines for team on security and confidentiality
6. Confidentiality agreements
7. Regular review of safeguards</t>
  </si>
  <si>
    <t>[{"line_id":"S4","text":"Less employer's NIC on actual payments","is_distractor":false},{"line_id":"S7","text":"Employer's NIC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</si>
  <si>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
1. Income from relevant engagements
2. Less statutory 5%
3. Less salary/benefits paid to worker
4. Less employer's NIC on actual payments
5. Less expenses allowable under employment income
6. Gross amount of deemed payment (G)
7. Employer's NIC on gross deemed payment (G x 13.8/113.8)
8. Actual deemed payment to worker</t>
  </si>
  <si>
    <t>Tax efficient investments</t>
  </si>
  <si>
    <t>This proforma captures the main EIS subscription conditions, the income tax relief mechanics and timing, and the key holding-period/disposal consequences.
1. Ensure the investor is not ‘connected’ (not an employee and does not own &gt;30% share capital)
2. Subscribe in cash for newly issued ordinary shares (irreedeemable and fully paid up), 
3. At investment date, investor must not hold other shares in the company (except existing EIS/SEIS holdings), 
4. Claim EIS income tax relief as a tax reducer (up to £1,000,000 subscriptions; lower of 30% subscription or IT liability), 
5. Hold the shares for at least 3 years to avoid withdrawal of relief, 
6. Remember claim deadline: by 5th anniversary of normal SA filing date for the tax year of investment (e.g., 31 Jan 2031 for 2024/25), 
7. Consider CGT position on disposal: after 3 years, gain is exempt; loss is allowable with cost reduced by net EIS relief not withdrawn</t>
  </si>
  <si>
    <t>[
    {
        "line_id": "S7",
        "text": "Consider CGT position on disposal: after 3 years, gain is exempt; loss is allowable with cost reduced by net EIS relief not withdrawn",
        "is_distractor": false
    },
    {
        "line_id": "D1",
        "text": "Shares must be held for at least 5 years to retain the income tax relief",
        "is_distractor": true
    },
    {
        "line_id": "S3",
        "text": "At investment date, investor must not hold other shares in the company (except existing EIS/SEIS holdings)",
        "is_distractor": false
    },
    {
        "line_id": "D2",
        "text": "Relief applies to subscriptions up to £200,000 at 50% (subject to liability cap)",
        "is_distractor": true
    },
    {
        "line_id": "S4",
        "text": "Claim Enterprise Invest Scheme (EIS) income tax relief as a tax reducer (up to £1,000,000 subscriptions; lower of 30% subscription or IT liability)",
        "is_distractor": false
    },
    {
        "line_id": "S5",
        "text": "Hold the shares for at least 3 years to avoid withdrawal of relief",
        "is_distractor": false
    },
    {
        "line_id": "S2",
        "text": "Subscribe *in cash* for newly issued ordinary shares, irreedeemable and *fully paid up*",
        "is_distractor": false
    },
    {
        "line_id": "S6",
        "text": "Remember claim deadline: by 5th anniversary of normal SA filing date for the tax year of investment (e.g., 31 Jan 2031 for 2024/25)",
        "is_distractor": false
    },
    {
        "line_id": "S1",
        "text": "Ensure the investor is not ‘connected’ (not an employee and does not own &gt;30% share capital)",
        "is_distractor": false
    }
]</t>
  </si>
  <si>
    <t>planning</t>
  </si>
  <si>
    <t>P</t>
  </si>
  <si>
    <t>treatments</t>
  </si>
  <si>
    <t>T</t>
  </si>
  <si>
    <t>In the UK fewer than 16 days and UK resident in one or more of the previous three tax years</t>
  </si>
  <si>
    <t>In the UK fewer than 16 days and not resident during previous three tax years</t>
  </si>
  <si>
    <t>In the UK for 90 days or more</t>
  </si>
  <si>
    <t>A UK house available for at least 30 days and used at least once</t>
  </si>
  <si>
    <t>Inherited from father at birth</t>
  </si>
  <si>
    <t>Born in UK, UK domicile of origin, and UK resident in relevant tax year</t>
  </si>
  <si>
    <t>UK resident at least 10 out of previous 20 tax years</t>
  </si>
  <si>
    <t>Which additional condition applies to the long-term resident deemed domicile route?</t>
  </si>
  <si>
    <t>Must have been UK resident at least once before April 2015</t>
  </si>
  <si>
    <t>Which of these describes the “to live abroad” leaving case?</t>
  </si>
  <si>
    <t>For a coming-to-UK work case, what duration of work is required?</t>
  </si>
  <si>
    <t>Which of these describes a returning-to-UK split-year scenario?</t>
  </si>
  <si>
    <t>At what point is IHT deemed domicile tested?</t>
  </si>
  <si>
    <t>The IHT rule is triggered if any one of three conditions is satisfied.
1. Formerly UK resident (born, origin, resident, 1/2 previous)
2. Long term resident (15/20, resident 1/4 previous)
3. Domiciled in last three years (choice)</t>
  </si>
  <si>
    <t>CGT and IHT both have routes for formerly UK domiciled and long term residents. What additional deemed domicile test exists for IHT?</t>
  </si>
  <si>
    <t>Jon, a UK resident domiciled/deemed domiciled wants to use his spousal exemption to transfer assets to his wife, who is non-UK deemed domiciled. Assuming they make no elections, what is the restriction on Jon's spousal exemption?</t>
  </si>
  <si>
    <t>Jon's available nil rate band at the time of transfer</t>
  </si>
  <si>
    <t>40% of the value of the asset</t>
  </si>
  <si>
    <t>40% of the value of the asset less double taxation relief</t>
  </si>
  <si>
    <t>If Jon has not used any of his NRB, then it will be £325000</t>
  </si>
  <si>
    <t>Double taxation relief is the {gap1} of overseas tax paid and UK HT atrributable to the overseas asset. UK IHT is calculated as {gap2}/(gap3} x {gap4}.</t>
  </si>
  <si>
    <t>["higher","lower"]</t>
  </si>
  <si>
    <t>["UK IHT before QSR","UK IHT after QSR","Taxable estate","overseas tax paid"]</t>
  </si>
  <si>
    <t>UK IHT after QSR</t>
  </si>
  <si>
    <t xml:space="preserve">["Chargeable estate","Taxable estate","overseas tax paid","UK IHT before QSR"] </t>
  </si>
  <si>
    <t>Chargeable estate</t>
  </si>
  <si>
    <t>["UK IHT before QSR","Chargeable estate","Overseas tax paid","Value of asset"]</t>
  </si>
  <si>
    <t>Value of asset</t>
  </si>
  <si>
    <t>Double taxation relief is the lower of overseas tax paid and UK IHT atrributable to the overseas asset. UK IHT is calculated as UK IHT after QSR/Chargeable estate x value of asset</t>
  </si>
  <si>
    <t>Double taxation relief</t>
  </si>
  <si>
    <t>iht:dtr</t>
  </si>
  <si>
    <t>DTR</t>
  </si>
  <si>
    <t>lower</t>
  </si>
  <si>
    <t>Valuations</t>
  </si>
  <si>
    <t>iht:gifts_reservation_benefit</t>
  </si>
  <si>
    <t>GIFTRESBEN</t>
  </si>
  <si>
    <t>["lifetime tax on lifetime gifts","death tax on lifetime gifts","death tax on death estate","RNRB"]</t>
  </si>
  <si>
    <t>To calculate the value of a gift with reservation of benefit (e.g. a house you gift but still live in) perform two calculations: 
1. Include in the {gap1} calculation at {gap2} value.
2. As a {gap3} at time of transfer, or release of benefit. 
Include the {gap4] as the value and calculate remaining IHT</t>
  </si>
  <si>
    <t>death tax on death estate</t>
  </si>
  <si>
    <t xml:space="preserve">["market","probate","transfer","value after exemptions"] </t>
  </si>
  <si>
    <t>probate</t>
  </si>
  <si>
    <t>["PET","CLT"]</t>
  </si>
  <si>
    <t>PET</t>
  </si>
  <si>
    <t>["lower","higher"]</t>
  </si>
  <si>
    <t>higher</t>
  </si>
  <si>
    <t>Work out which raises the higher IHT tax liability - that's what HMRC wants. If it is treated as a PET, it will be payable by the beneficiary in addition to the IHT on the death estate</t>
  </si>
  <si>
    <t>Disallowable trading expenses</t>
  </si>
  <si>
    <t>disallowable;drawings</t>
  </si>
  <si>
    <t>assistant_generated</t>
  </si>
  <si>
    <t>DISALLOW</t>
  </si>
  <si>
    <t>A sole trader withdraws £1,200 from the business bank account for personal living costs. How is this treated for trading profit purposes?</t>
  </si>
  <si>
    <t>Allowable because cash left the business account</t>
  </si>
  <si>
    <t>Disallowable (it is drawings)</t>
  </si>
  <si>
    <t>Partially allowable if under £2,000</t>
  </si>
  <si>
    <t>Allowable if owner is taxed on profits</t>
  </si>
  <si>
    <t>Drawings are personal withdrawals, not incurred wholly and exclusively for trade.</t>
  </si>
  <si>
    <t>disallowable;wages</t>
  </si>
  <si>
    <t>A trader pays a family member £30,000 for work worth £12,000 at market rate. Which amount is disallowable?</t>
  </si>
  <si>
    <t>Nothing is disallowable because wages are always deductible</t>
  </si>
  <si>
    <t>The full £30,000 is disallowable</t>
  </si>
  <si>
    <t>Only £12,000 is disallowable</t>
  </si>
  <si>
    <t>The excess £18,000 is disallowable</t>
  </si>
  <si>
    <t>Only the non-commercial excess is disallowable; commercially justified pay is allowable.</t>
  </si>
  <si>
    <t>disallowable;capital</t>
  </si>
  <si>
    <t>A business installs an entirely new heating system in its premises. For trading profit, this cost is generally:</t>
  </si>
  <si>
    <t>Disallowable as capital expenditure</t>
  </si>
  <si>
    <t>Allowable if paid in cash</t>
  </si>
  <si>
    <t>A new system is generally capital in nature, so not deductible as a revenue trading expense.</t>
  </si>
  <si>
    <t>disallowable;donations</t>
  </si>
  <si>
    <t>A business makes a donation to a political party. Is this deductible in trading profit?</t>
  </si>
  <si>
    <t>Yes, if it may indirectly benefit trade</t>
  </si>
  <si>
    <t>No, it is disallowable</t>
  </si>
  <si>
    <t>Yes, if approved by shareholders</t>
  </si>
  <si>
    <t>Political donations are specifically disallowable.</t>
  </si>
  <si>
    <t>disallowable;medical</t>
  </si>
  <si>
    <t>Partially allowable at 50%</t>
  </si>
  <si>
    <t>Disallowable (private/personal expense)</t>
  </si>
  <si>
    <t>Allowable if trader works full-time</t>
  </si>
  <si>
    <t>Allowable if reimbursed later</t>
  </si>
  <si>
    <t>disallowable;bad_debt</t>
  </si>
  <si>
    <t>A trader writes off a personal loan made to a friend, unrelated to trade. This write-off is:</t>
  </si>
  <si>
    <t>Allowable as bad debt</t>
  </si>
  <si>
    <t>Disallowable (non-trade debt)</t>
  </si>
  <si>
    <t>Allowable if irrecoverable</t>
  </si>
  <si>
    <t>Allowable if journaled at year end</t>
  </si>
  <si>
    <t>Relief is generally for trade debts; non-trade debts are disallowable.</t>
  </si>
  <si>
    <t>disallowable;provision</t>
  </si>
  <si>
    <t>disallowable;entertaining</t>
  </si>
  <si>
    <t>disallowable;mixed_test</t>
  </si>
  <si>
    <t>Allowable is cash basis used</t>
  </si>
  <si>
    <t xml:space="preserve">The payment less gross employer's NICs </t>
  </si>
  <si>
    <t xml:space="preserve">Allowable if invoiced in tax year </t>
  </si>
  <si>
    <t>Allowable as routine repair and maintenance expense</t>
  </si>
  <si>
    <t>Allowable as a revenue expenditure</t>
  </si>
  <si>
    <t>Yes, if below small amount threshold (lower of £3000 or 5% donation)</t>
  </si>
  <si>
    <t>Yes, if within last 2 tax years</t>
  </si>
  <si>
    <t>A sole trader pays personal private medical costs from the business account. What is the treatment for trading profits?</t>
  </si>
  <si>
    <t>Allowable to a cap of £500</t>
  </si>
  <si>
    <t>Private medical costs are personal and fail the wholly and exclusively test. £500 is the cap of on medical expenses taxable benefit exemption.</t>
  </si>
  <si>
    <t>Allowable if the debtor is a customer in good standing</t>
  </si>
  <si>
    <t>£17750, all bad debt provisions are allowable</t>
  </si>
  <si>
    <t>£5000, the increase in bad debt provision</t>
  </si>
  <si>
    <t>£0, bad debt provisions are always disallowable</t>
  </si>
  <si>
    <t>At year end, a trader using the accruals basis increases a general bad debt provision from £12570 to £17570. What amount is deductible from this year's accounting profit?</t>
  </si>
  <si>
    <t>Allowances for bad debt provisions only apply to traders using the cash basis.</t>
  </si>
  <si>
    <t xml:space="preserve">The increase is disallowed </t>
  </si>
  <si>
    <t>A trader takes clients to dinner and his employees to a sports event, both for trading purposes and costing £500. How should these be treated in the adjustment to accounting profit calculation?</t>
  </si>
  <si>
    <t>Both are fully allowable because they are wholly business motivated</t>
  </si>
  <si>
    <t>Only the client entertaining is allowable</t>
  </si>
  <si>
    <t>Only the staff entertaining is allowable</t>
  </si>
  <si>
    <t>Business entertaining of customers is specifically disallowable. Staff entertaining is allowbale. The £50 refers to caps on gifts: &lt;£50, logo, not food, alcohol, tobacco, vouchers</t>
  </si>
  <si>
    <t>Only the client entertaining is allowable at the cap of £50/head</t>
  </si>
  <si>
    <t>Both are allowable to a cap of cost per head is less than £50</t>
  </si>
  <si>
    <t>A trader makes two charitable donations: one to a local charity, another to Unicef. How should these be treated in the adjustment to accounting profit calculation</t>
  </si>
  <si>
    <t>Only the local charity expense is allowable</t>
  </si>
  <si>
    <t>Both charitable donations are allowable</t>
  </si>
  <si>
    <t>Both charitable donations are allowable up to a value of 10% taxable trading profits</t>
  </si>
  <si>
    <t>Only UNICEF - only donations to large or medium sized charities are allowable</t>
  </si>
  <si>
    <t>Neither, charitable donations are only exempt in the corporation tax calculation</t>
  </si>
  <si>
    <t>Donations to local charities are allowbale</t>
  </si>
  <si>
    <t>Expenditure on acquiring or improving fixed assets is generally {gap1} in calculating trading profit.</t>
  </si>
  <si>
    <t>allowable</t>
  </si>
  <si>
    <t>disallowable</t>
  </si>
  <si>
    <t>Capital expenditure is disallowable in the trading profit computation.</t>
  </si>
  <si>
    <t>disallowable;tax</t>
  </si>
  <si>
    <t>Personal income tax paid by a sole trader is {gap1} for trading profit purposes.</t>
  </si>
  <si>
    <t>Personal income tax is not a deductible trading expense.</t>
  </si>
  <si>
    <t>disallowable;depreciation</t>
  </si>
  <si>
    <t>Depreciation is added back for tax purposes.</t>
  </si>
  <si>
    <t>disallowable;fines</t>
  </si>
  <si>
    <t>Penalties and fines incurred by a business are generally {gap1} for tax.</t>
  </si>
  <si>
    <t>Penalties and fines are not deductible in computing trading profits.</t>
  </si>
  <si>
    <t>Lease premiums</t>
  </si>
  <si>
    <t>Use Premium ÷ number of years × n/12 to time-apportion the deduction.</t>
  </si>
  <si>
    <t>The lease premium calculation uses a 2% reduction for each year after year 1.</t>
  </si>
  <si>
    <t>Amortisation charged in the accounts is {gap1} when computing taxable trading profit.</t>
  </si>
  <si>
    <t>For a short lease premium, the deductible amount *for the trader* is calculated as {gap1} ÷ {gap2} × {gap3}.</t>
  </si>
  <si>
    <t>rental income assessment (amount taxed on landlord)</t>
  </si>
  <si>
    <t>["months/12","months x 12"]</t>
  </si>
  <si>
    <t>months/12</t>
  </si>
  <si>
    <t>years of lease</t>
  </si>
  <si>
    <t>lease_premium</t>
  </si>
  <si>
    <t>LEASES</t>
  </si>
  <si>
    <t>["years of lease","rental income assessment (amount taxed on landlord)"]</t>
  </si>
  <si>
    <t>["20%","2%"]</t>
  </si>
  <si>
    <t>Tenants often pay annual rent and a one off premium. For short, &gt;50 years leases, part of that premium is treated as rent received in advance. Complete the formula for assessing the total rental income assessment on the landlord: Rental income assessment = Premium − ({gap1} × ({gap2}) × premium).</t>
  </si>
  <si>
    <t>["years − 1","years"]</t>
  </si>
  <si>
    <t>years − 1</t>
  </si>
  <si>
    <t>Badges of trade</t>
  </si>
  <si>
    <t>badges;profit_motive</t>
  </si>
  <si>
    <t>BADGES</t>
  </si>
  <si>
    <t>Which badge of trade focuses on whether there is an intention to make a profit?</t>
  </si>
  <si>
    <t>The source of finance</t>
  </si>
  <si>
    <t>Profit-seeking motive</t>
  </si>
  <si>
    <t>Method of acquisition</t>
  </si>
  <si>
    <t>Interval between purchase and sale</t>
  </si>
  <si>
    <t>Number of transactions</t>
  </si>
  <si>
    <t>Profit-seeking motive tests whether the transaction was entered into with an intention to make profit.</t>
  </si>
  <si>
    <t>badges;transactions</t>
  </si>
  <si>
    <t>Repeated and systematic buying and selling most strongly indicates which badge of trade?</t>
  </si>
  <si>
    <t>Supplementary work and marketing</t>
  </si>
  <si>
    <t>Existence of similar trading transactions</t>
  </si>
  <si>
    <t>A high number of repeated transactions points toward trading activity rather than a one-off investment disposal.</t>
  </si>
  <si>
    <t>badges;supplementary_work</t>
  </si>
  <si>
    <t>A person improves an asset and actively markets it to buyers before sale. Which badge does this support?</t>
  </si>
  <si>
    <t>Source of finance</t>
  </si>
  <si>
    <t>Supplementary work and active marketing suggest a trading approach to generate profit.</t>
  </si>
  <si>
    <t>badges;similar_transactions</t>
  </si>
  <si>
    <t>Which badge asks whether the transaction resembles a person's existing trade activities?</t>
  </si>
  <si>
    <t>Existence of similar trading transactions or interests</t>
  </si>
  <si>
    <t>If the transaction is similar to pre-existing trading activity, that similarity supports a trading classification.</t>
  </si>
  <si>
    <t>badges;finance</t>
  </si>
  <si>
    <t>Which badge is most directly indicated where money is borrowed to acquire an asset for resale?</t>
  </si>
  <si>
    <t>Existence of similar transactions</t>
  </si>
  <si>
    <t>Borrowing to fund purchase can indicate a commercial, trade-like motive.</t>
  </si>
  <si>
    <t>badges;interval</t>
  </si>
  <si>
    <t>A very short period between purchase and sale most strongly supports which badge of trade?</t>
  </si>
  <si>
    <t>Quick turnover of an asset is more consistent with trading than long-term investment holding.</t>
  </si>
  <si>
    <t>badges;acquisition</t>
  </si>
  <si>
    <t>Receiving an asset by gift or inheritance usually points against trade under which badge?</t>
  </si>
  <si>
    <t>Where acquisition is by gift or inheritance, it is less likely the asset was obtained for trading.</t>
  </si>
  <si>
    <t>badges;purpose_recall</t>
  </si>
  <si>
    <t>Which option correctly matches badge and purpose?</t>
  </si>
  <si>
    <t>Method of acquisition: checks whether sale happened quickly</t>
  </si>
  <si>
    <t>Interval between purchase and sale: checks if funding was borrowed</t>
  </si>
  <si>
    <t>Source of finance: checks whether borrowed funds suggest trade</t>
  </si>
  <si>
    <t>Number of transactions: checks if asset was inherited</t>
  </si>
  <si>
    <t>Profit-seeking motive: checks if work was done to improve asset</t>
  </si>
  <si>
    <t>The source of finance badge considers whether financing (for example borrowing) suggests a trade-like transaction.</t>
  </si>
  <si>
    <t>LIST_ITNIC_BADGES_001</t>
  </si>
  <si>
    <t>badges;mapping</t>
  </si>
  <si>
    <t>Match each purpose to the correct badge: (1) intention to make a profit = {gap1}; (2) repeated and systematic transactions = {gap2}; (3) borrowing to fund purchase implies trade = {gap3}; (4) short time between purchase and sale implies trade = {gap4}.</t>
  </si>
  <si>
    <t>profit-seeking motive</t>
  </si>
  <si>
    <t>number of transactions</t>
  </si>
  <si>
    <t>source of finance</t>
  </si>
  <si>
    <t>interval of time between purchase and sale</t>
  </si>
  <si>
    <t>These badges respectively test profit intention, frequency/system, funding method, and speed of resale.</t>
  </si>
  <si>
    <t>LIST_ITNIC_BADGES_002</t>
  </si>
  <si>
    <t>Complete the badge-purpose mapping: improving an asset and finding purchasers = {gap1}; similar to pre-existing trade activities = {gap2}; gift or inheritance points away from trade = {gap3}.</t>
  </si>
  <si>
    <t>supplementary work and marketing</t>
  </si>
  <si>
    <t>existence of similar trading transactions or interests</t>
  </si>
  <si>
    <t>method of acquisition</t>
  </si>
  <si>
    <t>Supplementary work/marketing and similarity to existing trade point toward trade; gift/inheritance under method of acquisition points away from trade.</t>
  </si>
  <si>
    <t>["supplementary work and marketing","number of transactions","interval between purchase and sale"]</t>
  </si>
  <si>
    <t>["profit-seeking motive","existence of similar trading transactions or interests","source of finance"]</t>
  </si>
  <si>
    <t>["method of acquisition","profit-seeking motive","source of finance"]</t>
  </si>
  <si>
    <t>["method of acquisition","interval of time between purchase and sale","number of transactions"]</t>
  </si>
  <si>
    <t>["number of transactions","profit-seeking motive","supplementary work and marketing"]</t>
  </si>
  <si>
    <t>["source of finance","number of transactions","profit-seeking motive","interval of time between purchase and sale"]</t>
  </si>
  <si>
    <t>["profit-seeking motive","number of transactions","method of acquisition"]</t>
  </si>
  <si>
    <t>[{"line_id":"S5","text":"Clear guidelines for team on security and confidentiality","is_distractor":false},{"line_id":"D1","text":"Rotate the engagement partner annually","is_distractor": true},{"line_id":"S1","text":"Notify relevant parties","is_distractor":false},{"line_id":"S7","text":"Regular review of safeguards","is_distractor":false},{"line_id":"S4","text":"Prevent access to information","is_distractor":false},{"line_id":"D2","text":"Obtain external legal advice on all engagements","is_distractor": true},{"line_id":"S2","text":"Obtain consent to act for them","is_distractor":false},{"line_id":"S6","text":"Confidentiality agreements","is_distractor":false},{"line_id":"S3","text":"Use separate engagement teams","is_distractor":false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</si>
</sst>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6"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
      <sz val="11"/>
      <color rgb="FF000000"/>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xf numFmtId="9" fontId="0" fillId="0" borderId="0" xfId="0" applyNumberFormat="1" applyAlignment="1">
      <alignment vertical="top" wrapText="1"/>
    </xf>
    <xf numFmtId="6" fontId="0" fillId="0" borderId="0" xfId="0" applyNumberFormat="1" applyAlignment="1">
      <alignment wrapText="1"/>
    </xf>
    <xf numFmtId="9" fontId="0" fillId="0" borderId="0" xfId="0" applyNumberFormat="1" applyAlignment="1">
      <alignment wrapText="1"/>
    </xf>
    <xf numFmtId="0" fontId="0" fillId="0" borderId="0" xfId="0" applyNumberFormat="1"/>
    <xf numFmtId="0" fontId="5" fillId="0" borderId="0" xfId="0" applyFont="1"/>
    <xf numFmtId="9" fontId="5" fillId="0" borderId="0" xfId="0" applyNumberFormat="1" applyFont="1"/>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76" dataDxfId="75">
  <tableColumns count="22">
    <tableColumn id="1" xr3:uid="{3143F177-F819-460E-B2A9-7D5DF7E40EF8}" name="question_id" dataDxfId="74">
      <calculatedColumnFormula>IF(M2="","",M2&amp;"_"&amp;TEXT(N2,"000"))</calculatedColumnFormula>
    </tableColumn>
    <tableColumn id="2" xr3:uid="{590E99E6-E7E0-4850-B349-788F35665CFB}" name="topic" dataDxfId="73"/>
    <tableColumn id="3" xr3:uid="{0E1102D9-5102-4F5F-94D2-8CDF0342B713}" name="component" dataDxfId="72"/>
    <tableColumn id="4" xr3:uid="{53167456-D2D6-46F5-902F-E25B72847760}" name="subtopic" dataDxfId="71"/>
    <tableColumn id="5" xr3:uid="{4A660E62-FD15-4B74-8FBC-1B8A2BAB6305}" name="question_type" dataDxfId="70"/>
    <tableColumn id="6" xr3:uid="{039025CC-846C-46D7-B1D9-63E3BAF69C9A}" name="difficulty" dataDxfId="69"/>
    <tableColumn id="7" xr3:uid="{996F048C-5FD0-410B-88A3-192D3E6417E2}" name="priority" dataDxfId="68"/>
    <tableColumn id="8" xr3:uid="{EECF5330-4BBC-4ED3-B9D0-64317766CBE4}" name="active" dataDxfId="67"/>
    <tableColumn id="9" xr3:uid="{CBAF624D-83AD-45AD-8500-A2E7B1F24794}" name="tags" dataDxfId="66"/>
    <tableColumn id="10" xr3:uid="{95517BC8-09AC-46E6-AF79-F48569B6E3B4}" name="source_ref" dataDxfId="65"/>
    <tableColumn id="11" xr3:uid="{0ADA81E5-57A0-454C-BA26-289888F2A40C}" name="version" dataDxfId="64"/>
    <tableColumn id="12" xr3:uid="{91DFC1B0-44F2-4CAB-869F-2A1536A924E3}" name="subtopic_code" dataDxfId="63"/>
    <tableColumn id="13" xr3:uid="{DD40E926-33DD-466F-A912-E8459B494AEC}" name="id_prefix" dataDxfId="62">
      <calculatedColumnFormula>IF(B2="","","MCQ"&amp;"_"&amp;IFERROR(VLOOKUP(B2,LOOKUPS!$K$2:$L$9,2,FALSE),"UNK")&amp;"_"&amp;IFERROR(VLOOKUP(C2,LOOKUPS!$N$2:$O$10,2,FALSE),"UNK")&amp;"_"&amp;UPPER(L2))</calculatedColumnFormula>
    </tableColumn>
    <tableColumn id="14" xr3:uid="{B91893FC-B206-4333-AA9F-C9D2E6E88ACB}" name="next_seq" dataDxfId="61">
      <calculatedColumnFormula>IF(M2="","",COUNTIF($M$2:M2,M2))</calculatedColumnFormula>
    </tableColumn>
    <tableColumn id="15" xr3:uid="{1078EC50-F43B-43D7-97FF-5DF911C915E9}" name="prompt" dataDxfId="60"/>
    <tableColumn id="16" xr3:uid="{09037EB0-2F5E-423E-A0B0-A6FA96AAD55C}" name="option_a" dataDxfId="59"/>
    <tableColumn id="17" xr3:uid="{15DBBA40-E39C-49BC-A29D-15E22618204B}" name="option_b" dataDxfId="58"/>
    <tableColumn id="18" xr3:uid="{0DD51665-D870-4BD5-AE89-AC0E7B104E33}" name="option_c" dataDxfId="57"/>
    <tableColumn id="19" xr3:uid="{F03E2272-D332-4A35-A9A4-1207B0516B62}" name="option_d" dataDxfId="56"/>
    <tableColumn id="20" xr3:uid="{2094478F-A251-4AEF-8340-6DC80238A2B4}" name="option_e" dataDxfId="55"/>
    <tableColumn id="21" xr3:uid="{C7639FD0-0BCA-4C05-B93C-0446381E2D4C}" name="correct_option" dataDxfId="54"/>
    <tableColumn id="22" xr3:uid="{F4B67840-87C2-4942-BF58-96478C0C83A8}" name="explanation" dataDxfId="5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52" dataDxfId="51">
  <autoFilter ref="A1:AC169" xr:uid="{F0BC66BE-4E93-4072-A344-FDCACD8C00F6}"/>
  <tableColumns count="29">
    <tableColumn id="1" xr3:uid="{3B955206-414A-482E-8FC0-84A96C4CF49D}" name="question_id" dataDxfId="50">
      <calculatedColumnFormula>IF(M2="","",M2&amp;"_"&amp;TEXT(N2,"000"))</calculatedColumnFormula>
    </tableColumn>
    <tableColumn id="2" xr3:uid="{53027823-F0F6-4E94-8AA1-7C6222262D18}" name="topic" dataDxfId="49"/>
    <tableColumn id="3" xr3:uid="{FD05D5D8-FEA8-48A4-A203-0640D7E619F3}" name="component" dataDxfId="48"/>
    <tableColumn id="4" xr3:uid="{6C2A5CA5-1F90-40D0-A5FA-2742635ABD9A}" name="subtopic" dataDxfId="47"/>
    <tableColumn id="5" xr3:uid="{2B0B69B7-AE58-4CB1-B966-1041649BA116}" name="question_type" dataDxfId="46"/>
    <tableColumn id="6" xr3:uid="{C38B8210-1ACE-45F9-9CAE-F367DA3457ED}" name="difficulty" dataDxfId="45"/>
    <tableColumn id="7" xr3:uid="{53156DAB-1E60-4E68-A9F0-DEDD057BE1AC}" name="priority" dataDxfId="44"/>
    <tableColumn id="8" xr3:uid="{1A85DF8A-ED45-47D7-A6CE-49487F67719B}" name="active" dataDxfId="43"/>
    <tableColumn id="9" xr3:uid="{69D5925E-FDC6-4D60-8287-CD87D72B5723}" name="tags" dataDxfId="42"/>
    <tableColumn id="10" xr3:uid="{0E5E2BA0-7572-4684-9AAE-4051BB319822}" name="source_ref" dataDxfId="41"/>
    <tableColumn id="11" xr3:uid="{B3ED8671-D7AC-48C1-917D-C7E1740038CA}" name="version" dataDxfId="40"/>
    <tableColumn id="12" xr3:uid="{45CE182C-3F25-456B-AAEF-C30193AACF0B}" name="subtopic_code" dataDxfId="39"/>
    <tableColumn id="13" xr3:uid="{78AA824C-B13F-429B-94FD-D39E31754843}" name="id_prefix" dataDxfId="38">
      <calculatedColumnFormula>IF(B2="","","AB"&amp;"_"&amp;IFERROR(VLOOKUP(B2,LOOKUPS!$K$2:$L$9,2,FALSE),"UNK")&amp;"_"&amp;IFERROR(VLOOKUP(C2,LOOKUPS!$N$2:$O$10,2,FALSE),"UNK")&amp;"_"&amp;UPPER(L2))</calculatedColumnFormula>
    </tableColumn>
    <tableColumn id="14" xr3:uid="{57DABC95-1398-407F-818F-E602994B1CF6}" name="next_seq" dataDxfId="37">
      <calculatedColumnFormula>IF(M2="","",COUNTIF($M$2:M2,M2))</calculatedColumnFormula>
    </tableColumn>
    <tableColumn id="15" xr3:uid="{9B2B78EF-2FEE-4BC0-A5FA-D4C2889E74AC}" name="prompt_template" dataDxfId="36"/>
    <tableColumn id="16" xr3:uid="{A8DA9CBD-4C5A-43D0-919E-806E91BEF2EC}" name="gap_count" dataDxfId="35"/>
    <tableColumn id="17" xr3:uid="{F27057E5-A92F-418A-9046-13198E5C9905}" name="choice_a" dataDxfId="34"/>
    <tableColumn id="18" xr3:uid="{E02B27C2-2A44-4E0C-BB94-33C75571BE39}" name="choice_b" dataDxfId="33"/>
    <tableColumn id="19" xr3:uid="{BE479B0C-524B-4C87-AA56-13D53F5D58D5}" name="gap1_correct" dataDxfId="32"/>
    <tableColumn id="20" xr3:uid="{FB5A250C-A156-41E2-8727-D9FA40DA2A74}" name="gap1_allow_repeat" dataDxfId="31"/>
    <tableColumn id="21" xr3:uid="{C7905FE7-BED4-4E80-837C-A5AFDEA02E55}" name="gap2_correct" dataDxfId="30"/>
    <tableColumn id="22" xr3:uid="{2BEB549B-37F9-46B5-B769-4E7075E6757F}" name="gap2_allow_repeat" dataDxfId="29"/>
    <tableColumn id="23" xr3:uid="{143FD944-31A1-40F2-A55D-2870E48C6692}" name="gap3_correct" dataDxfId="28"/>
    <tableColumn id="24" xr3:uid="{E4C97B71-682B-49DE-9CAA-066517D57069}" name="gap3_allow_repeat" dataDxfId="27"/>
    <tableColumn id="25" xr3:uid="{F5BF61B5-9AFD-48D4-9EAB-F4AED68F034F}" name="gap4_correct" dataDxfId="26"/>
    <tableColumn id="26" xr3:uid="{E77B49CD-93F0-4B8D-84D6-8F89A4EE54B3}" name="gap4_allow_repeat" dataDxfId="25"/>
    <tableColumn id="27" xr3:uid="{E73C4452-41C3-40FA-9EA3-93520038EF24}" name="gap5_correct" dataDxfId="24"/>
    <tableColumn id="28" xr3:uid="{67789CB9-B40B-4D48-9861-1F300F9603FA}" name="gap5_allow_repeat" dataDxfId="23"/>
    <tableColumn id="29" xr3:uid="{0524B72D-170D-4329-A999-A8626F98ECC5}" name="explanation" dataDxfId="22"/>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111" dataDxfId="110">
  <autoFilter ref="A1:AG200" xr:uid="{E9B73698-D520-45DF-BE06-581F3140E2CF}"/>
  <tableColumns count="33">
    <tableColumn id="1" xr3:uid="{23420D1D-4A05-4D96-AC71-540C3566B6D4}" name="question_id" dataDxfId="109">
      <calculatedColumnFormula>IF(M2="","",M2&amp;"_"&amp;TEXT(N2,"000"))</calculatedColumnFormula>
    </tableColumn>
    <tableColumn id="2" xr3:uid="{DC8B6EB1-DEA7-4C27-ACC9-69DC66E4B88E}" name="topic" dataDxfId="108"/>
    <tableColumn id="3" xr3:uid="{9FF86C9D-41D3-4FA4-B52D-DE409BE4A75A}" name="component" dataDxfId="107"/>
    <tableColumn id="4" xr3:uid="{CF05BD93-E736-4B25-8614-DACA00DAE906}" name="subtopic" dataDxfId="106"/>
    <tableColumn id="5" xr3:uid="{3B32BF91-E453-4825-B02A-C9BC262C6501}" name="question_type" dataDxfId="105"/>
    <tableColumn id="6" xr3:uid="{C453CAE0-2DF7-4300-96BF-5974156B83E9}" name="difficulty" dataDxfId="104"/>
    <tableColumn id="7" xr3:uid="{B0E77438-C755-4693-AFFA-FE5BF50CA179}" name="priority" dataDxfId="103"/>
    <tableColumn id="8" xr3:uid="{BD79D28D-84B7-48E4-9C88-D55EFAAC128A}" name="active" dataDxfId="102"/>
    <tableColumn id="9" xr3:uid="{3600A004-FB06-48AA-A47D-E8E1DBCBBD75}" name="tags" dataDxfId="101"/>
    <tableColumn id="10" xr3:uid="{484D9A70-6E15-4F60-B434-8A4FB8281401}" name="source_ref" dataDxfId="100"/>
    <tableColumn id="11" xr3:uid="{EE94405E-C69D-448E-AC70-52FDAF43EBE9}" name="version" dataDxfId="99"/>
    <tableColumn id="12" xr3:uid="{EDE5DE77-4198-4D58-92AD-0C6FF2D96198}" name="subtopic_code" dataDxfId="98"/>
    <tableColumn id="13" xr3:uid="{7AB24E72-5B7E-414E-A308-A75760161DBB}" name="id_prefix" dataDxfId="97">
      <calculatedColumnFormula>IF(B2="","","LIST"&amp;"_"&amp;IFERROR(VLOOKUP(B2,LOOKUPS!$K$2:$L$9,2,FALSE),"UNK")&amp;"_"&amp;IFERROR(VLOOKUP(C2,LOOKUPS!$N$2:$O$10,2,FALSE),"UNK")&amp;"_"&amp;UPPER(L2))</calculatedColumnFormula>
    </tableColumn>
    <tableColumn id="14" xr3:uid="{4B76C721-244D-449D-BF23-744114658180}" name="next_seq" dataDxfId="96">
      <calculatedColumnFormula>IF(M2="","",COUNTIF($M$2:M2,M2))</calculatedColumnFormula>
    </tableColumn>
    <tableColumn id="15" xr3:uid="{D95D8A12-9CCC-4D04-88FC-E4C479D3FA48}" name="prompt_template" dataDxfId="95"/>
    <tableColumn id="16" xr3:uid="{DFEE9D8B-25D0-47D1-91CD-27BAF5A2B0C6}" name="gap_count" dataDxfId="94"/>
    <tableColumn id="17" xr3:uid="{4B54EDED-BB6C-4CF9-B4BD-77B72C1AE74B}" name="gap1_options" dataDxfId="93"/>
    <tableColumn id="18" xr3:uid="{18BD33FC-339C-4F30-A820-1E4DADAE51D5}" name="gap1_correct" dataDxfId="92"/>
    <tableColumn id="19" xr3:uid="{43A9E514-1D21-4695-925C-920775974EE5}" name="gap1_allow_repeat" dataDxfId="91"/>
    <tableColumn id="20" xr3:uid="{0C92276E-A5F9-4842-B3B7-DF3087088063}" name="gap2_options" dataDxfId="90"/>
    <tableColumn id="21" xr3:uid="{5406E7DC-2332-49A6-8E05-AA02BA020D80}" name="gap2_correct" dataDxfId="89"/>
    <tableColumn id="22" xr3:uid="{88025412-F321-4D67-AF51-1887302619F1}" name="gap2_allow_repeat" dataDxfId="88"/>
    <tableColumn id="23" xr3:uid="{D286A38F-0421-4573-AB37-656CD478776B}" name="gap3_options" dataDxfId="87"/>
    <tableColumn id="24" xr3:uid="{285479CE-E217-4634-9381-0B4A5327983D}" name="gap3_correct" dataDxfId="86"/>
    <tableColumn id="25" xr3:uid="{1E85105A-3EF1-497C-A227-9A9786DE5761}" name="gap3_allow_repeat" dataDxfId="85"/>
    <tableColumn id="26" xr3:uid="{17D4F9FA-2E8F-40B3-A782-CE1712FEF429}" name="gap4_options" dataDxfId="84"/>
    <tableColumn id="27" xr3:uid="{7FCD686D-B135-4FC9-984F-86069B94E23E}" name="gap4_correct" dataDxfId="83"/>
    <tableColumn id="28" xr3:uid="{01ACCF42-786E-4349-917F-438AB0CFCDAB}" name="gap4_allow_repeat" dataDxfId="82"/>
    <tableColumn id="29" xr3:uid="{AEFF6A1F-711E-4299-8776-D2354BA5BACA}" name="gap5_options" dataDxfId="81"/>
    <tableColumn id="30" xr3:uid="{4C9D15DF-0AEF-4A21-8E7F-C25F24B38036}" name="gap5_correct" dataDxfId="80"/>
    <tableColumn id="31" xr3:uid="{BD273472-5A00-4BB3-9ABB-71585A886E01}" name="gap5_allow_repeat" dataDxfId="79"/>
    <tableColumn id="32" xr3:uid="{85590086-C385-442F-8B44-596E3C01119B}" name="enforce_unique_across_gaps" dataDxfId="78"/>
    <tableColumn id="33" xr3:uid="{B392F52E-81DF-4D51-B364-73E4418D1CA5}" name="explanation" dataDxfId="77"/>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21" dataDxfId="20">
  <autoFilter ref="A1:T200" xr:uid="{9AF4D9C1-FF64-473A-A14E-7E8B7794D33C}"/>
  <tableColumns count="20">
    <tableColumn id="1" xr3:uid="{DF3953CC-F6CA-48A8-B362-3DB144A28B1C}" name="question_id" dataDxfId="19">
      <calculatedColumnFormula>IF(M2="","",M2&amp;"_"&amp;TEXT(N2,"000"))</calculatedColumnFormula>
    </tableColumn>
    <tableColumn id="2" xr3:uid="{B7C3FEC2-CD62-499C-AC65-1F88F7098C32}" name="topic" dataDxfId="18"/>
    <tableColumn id="3" xr3:uid="{FE2F0177-731D-432C-8A5B-9F9373EFFDA5}" name="component" dataDxfId="17"/>
    <tableColumn id="4" xr3:uid="{4240EBF3-C5BF-470A-9949-BE30D5F7F009}" name="subtopic" dataDxfId="16"/>
    <tableColumn id="5" xr3:uid="{7D620D70-554F-4F3D-A441-36BD6B9D4B3F}" name="question_type" dataDxfId="15"/>
    <tableColumn id="6" xr3:uid="{F134E6DC-3407-49BF-BDD9-CC17691B59DA}" name="difficulty" dataDxfId="14"/>
    <tableColumn id="7" xr3:uid="{297F4083-A338-49A2-9858-3CA99B7566DA}" name="priority" dataDxfId="13"/>
    <tableColumn id="8" xr3:uid="{EADB0D92-DBBA-4595-86A9-CC225D6BF45E}" name="active" dataDxfId="12"/>
    <tableColumn id="9" xr3:uid="{5CDF48CA-7DE2-4FC2-AE5B-76546C51FA76}" name="tags" dataDxfId="11"/>
    <tableColumn id="10" xr3:uid="{CBB40C3B-89F6-492E-9EF7-1608F76B6960}" name="source_ref" dataDxfId="10"/>
    <tableColumn id="11" xr3:uid="{8162DE10-7559-4F34-8269-8312D2CD8D8C}" name="version" dataDxfId="9"/>
    <tableColumn id="12" xr3:uid="{AC0FD800-8ECC-40D0-957C-7E8F2A52221F}" name="subtopic_code" dataDxfId="8"/>
    <tableColumn id="13" xr3:uid="{8621D83B-892D-4532-A540-AFA1F548F6CF}" name="id_prefix" dataDxfId="7">
      <calculatedColumnFormula>IF(B2="","","PF"&amp;"_"&amp;IFERROR(VLOOKUP(B2,LOOKUPS!$K$2:$L$9,2,FALSE),"UNK")&amp;"_"&amp;IFERROR(VLOOKUP(C2,LOOKUPS!$N$2:$O$10,2,FALSE),"UNK")&amp;"_"&amp;UPPER(L2))</calculatedColumnFormula>
    </tableColumn>
    <tableColumn id="14" xr3:uid="{C3522ADD-7243-49BF-A9FD-2035E3CF75D7}" name="next_seq" dataDxfId="6">
      <calculatedColumnFormula>IF(M2="","",COUNTIF($M$2:M2,M2))</calculatedColumnFormula>
    </tableColumn>
    <tableColumn id="15" xr3:uid="{9904B470-9EB2-41C4-9CF4-2292C9367D4C}" name="title" dataDxfId="5"/>
    <tableColumn id="16" xr3:uid="{12F4188F-DD37-47E9-8CEC-8967DB411266}" name="instructions" dataDxfId="4"/>
    <tableColumn id="30" xr3:uid="{2EEA9DB6-3F69-4882-BCD6-27607A87326B}" name="slot_labels_json" dataDxfId="3"/>
    <tableColumn id="27" xr3:uid="{668C5D89-6268-47EA-853F-948B6093BF67}" name="correct_line_ids_json" dataDxfId="2"/>
    <tableColumn id="28" xr3:uid="{1BE0DD35-7F1B-4867-A45B-FBF2F9983BC3}" name="lines_json" dataDxfId="1"/>
    <tableColumn id="29" xr3:uid="{963B0537-5B12-4702-8EDA-F4424960ECC9}" name="explanation"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
  <sheetViews>
    <sheetView workbookViewId="0">
      <pane ySplit="1" topLeftCell="A2" activePane="bottomLeft" state="frozen"/>
      <selection pane="bottomLeft" activeCell="P9" sqref="P9"/>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818</v>
      </c>
      <c r="K8" t="s">
        <v>47</v>
      </c>
      <c r="L8" t="s">
        <v>49</v>
      </c>
      <c r="N8" t="s">
        <v>818</v>
      </c>
      <c r="O8" t="s">
        <v>819</v>
      </c>
    </row>
    <row r="9" spans="1:15" x14ac:dyDescent="0.3">
      <c r="A9" t="s">
        <v>51</v>
      </c>
      <c r="C9" t="s">
        <v>820</v>
      </c>
      <c r="K9" t="s">
        <v>51</v>
      </c>
      <c r="L9" t="s">
        <v>51</v>
      </c>
      <c r="N9" t="s">
        <v>820</v>
      </c>
      <c r="O9" t="s">
        <v>821</v>
      </c>
    </row>
    <row r="10" spans="1:15" x14ac:dyDescent="0.3">
      <c r="C10" t="s">
        <v>48</v>
      </c>
      <c r="N10" t="s">
        <v>48</v>
      </c>
      <c r="O10" t="s">
        <v>50</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topLeftCell="A55" workbookViewId="0">
      <pane xSplit="3" topLeftCell="D1" activePane="topRight" state="frozen"/>
      <selection pane="topRight" activeCell="M59" sqref="M59:N67"/>
    </sheetView>
  </sheetViews>
  <sheetFormatPr defaultRowHeight="14.4" x14ac:dyDescent="0.3"/>
  <cols>
    <col min="1" max="2" width="22" style="6" customWidth="1"/>
    <col min="3" max="3" width="18" style="6" customWidth="1"/>
    <col min="4" max="4" width="30.77734375"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IF(B2="","","MCQ"&amp;"_"&amp;IFERROR(VLOOKUP(B2,LOOKUPS!$K$2:$L$9,2,FALSE),"UNK")&amp;"_"&amp;IFERROR(VLOOKUP(C2,LOOKUPS!$N$2:$O$10,2,FALSE),"UNK")&amp;"_"&amp;UPPER(L2))</f>
        <v>MCQ_ETH_DEF_</v>
      </c>
      <c r="N2" s="3">
        <f>IF(M2="","",COUNTIF($M$2:M2,M2))</f>
        <v>1</v>
      </c>
      <c r="O2" s="3" t="s">
        <v>102</v>
      </c>
      <c r="P2" s="3" t="s">
        <v>108</v>
      </c>
      <c r="Q2" s="3" t="s">
        <v>110</v>
      </c>
      <c r="R2" s="3" t="s">
        <v>107</v>
      </c>
      <c r="S2" s="3" t="s">
        <v>109</v>
      </c>
      <c r="T2" s="3" t="s">
        <v>111</v>
      </c>
      <c r="U2" s="3" t="s">
        <v>223</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IF(B3="","","MCQ"&amp;"_"&amp;IFERROR(VLOOKUP(B3,LOOKUPS!$K$2:$L$9,2,FALSE),"UNK")&amp;"_"&amp;IFERROR(VLOOKUP(C3,LOOKUPS!$N$2:$O$10,2,FALSE),"UNK")&amp;"_"&amp;UPPER(L3))</f>
        <v>MCQ_ETH_DEF_</v>
      </c>
      <c r="N3" s="3">
        <f>IF(M3="","",COUNTIF($M$2:M3,M3))</f>
        <v>2</v>
      </c>
      <c r="O3" s="3" t="s">
        <v>103</v>
      </c>
      <c r="P3" s="3" t="s">
        <v>107</v>
      </c>
      <c r="Q3" s="3" t="s">
        <v>111</v>
      </c>
      <c r="R3" s="3" t="s">
        <v>109</v>
      </c>
      <c r="S3" s="3" t="s">
        <v>110</v>
      </c>
      <c r="T3" s="3" t="s">
        <v>108</v>
      </c>
      <c r="U3" s="3" t="s">
        <v>224</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IF(B4="","","MCQ"&amp;"_"&amp;IFERROR(VLOOKUP(B4,LOOKUPS!$K$2:$L$9,2,FALSE),"UNK")&amp;"_"&amp;IFERROR(VLOOKUP(C4,LOOKUPS!$N$2:$O$10,2,FALSE),"UNK")&amp;"_"&amp;UPPER(L4))</f>
        <v>MCQ_ETH_DEF_</v>
      </c>
      <c r="N4" s="3">
        <f>IF(M4="","",COUNTIF($M$2:M4,M4))</f>
        <v>3</v>
      </c>
      <c r="O4" s="3" t="s">
        <v>104</v>
      </c>
      <c r="P4" s="3" t="s">
        <v>109</v>
      </c>
      <c r="Q4" s="3" t="s">
        <v>108</v>
      </c>
      <c r="R4" s="3" t="s">
        <v>111</v>
      </c>
      <c r="S4" s="3" t="s">
        <v>107</v>
      </c>
      <c r="T4" s="3" t="s">
        <v>110</v>
      </c>
      <c r="U4" s="3" t="s">
        <v>131</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IF(B5="","","MCQ"&amp;"_"&amp;IFERROR(VLOOKUP(B5,LOOKUPS!$K$2:$L$9,2,FALSE),"UNK")&amp;"_"&amp;IFERROR(VLOOKUP(C5,LOOKUPS!$N$2:$O$10,2,FALSE),"UNK")&amp;"_"&amp;UPPER(L5))</f>
        <v>MCQ_ETH_DEF_</v>
      </c>
      <c r="N5" s="3">
        <f>IF(M5="","",COUNTIF($M$2:M5,M5))</f>
        <v>4</v>
      </c>
      <c r="O5" s="3" t="s">
        <v>105</v>
      </c>
      <c r="P5" s="3" t="s">
        <v>107</v>
      </c>
      <c r="Q5" s="3" t="s">
        <v>110</v>
      </c>
      <c r="R5" s="3" t="s">
        <v>108</v>
      </c>
      <c r="S5" s="3" t="s">
        <v>111</v>
      </c>
      <c r="T5" s="3" t="s">
        <v>109</v>
      </c>
      <c r="U5" s="3" t="s">
        <v>225</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IF(B6="","","MCQ"&amp;"_"&amp;IFERROR(VLOOKUP(B6,LOOKUPS!$K$2:$L$9,2,FALSE),"UNK")&amp;"_"&amp;IFERROR(VLOOKUP(C6,LOOKUPS!$N$2:$O$10,2,FALSE),"UNK")&amp;"_"&amp;UPPER(L6))</f>
        <v>MCQ_ETH_DEF_</v>
      </c>
      <c r="N6" s="3">
        <f>IF(M6="","",COUNTIF($M$2:M6,M6))</f>
        <v>5</v>
      </c>
      <c r="O6" s="3" t="s">
        <v>106</v>
      </c>
      <c r="P6" s="3" t="s">
        <v>108</v>
      </c>
      <c r="Q6" s="3" t="s">
        <v>109</v>
      </c>
      <c r="R6" s="3" t="s">
        <v>110</v>
      </c>
      <c r="S6" s="3" t="s">
        <v>111</v>
      </c>
      <c r="T6" s="3" t="s">
        <v>107</v>
      </c>
      <c r="U6" s="3" t="s">
        <v>226</v>
      </c>
      <c r="V6" s="3" t="s">
        <v>111</v>
      </c>
    </row>
    <row r="7" spans="1:22" ht="86.4" x14ac:dyDescent="0.3">
      <c r="A7" s="3" t="str">
        <f t="shared" si="0"/>
        <v>MCQ_ITNIC_REQ_EIS_001</v>
      </c>
      <c r="B7" s="3" t="s">
        <v>21</v>
      </c>
      <c r="C7" s="6" t="s">
        <v>22</v>
      </c>
      <c r="D7" s="6" t="s">
        <v>815</v>
      </c>
      <c r="E7" s="3" t="s">
        <v>18</v>
      </c>
      <c r="F7" s="3">
        <v>3</v>
      </c>
      <c r="G7" s="3" t="s">
        <v>16</v>
      </c>
      <c r="H7" s="3" t="s">
        <v>17</v>
      </c>
      <c r="I7" s="3" t="s">
        <v>123</v>
      </c>
      <c r="J7" s="3" t="s">
        <v>124</v>
      </c>
      <c r="K7" s="3">
        <v>1</v>
      </c>
      <c r="L7" s="3" t="s">
        <v>125</v>
      </c>
      <c r="M7" s="3" t="str">
        <f>IF(B7="","","MCQ"&amp;"_"&amp;IFERROR(VLOOKUP(B7,LOOKUPS!$K$2:$L$9,2,FALSE),"UNK")&amp;"_"&amp;IFERROR(VLOOKUP(C7,LOOKUPS!$N$2:$O$10,2,FALSE),"UNK")&amp;"_"&amp;UPPER(L7))</f>
        <v>MCQ_ITNIC_REQ_EIS</v>
      </c>
      <c r="N7" s="3">
        <f>IF(M7="","",COUNTIF($M$2:M7,M7))</f>
        <v>1</v>
      </c>
      <c r="O7" s="3" t="s">
        <v>676</v>
      </c>
      <c r="P7" s="3" t="s">
        <v>126</v>
      </c>
      <c r="Q7" s="3" t="s">
        <v>127</v>
      </c>
      <c r="R7" s="3" t="s">
        <v>128</v>
      </c>
      <c r="S7" s="3" t="s">
        <v>129</v>
      </c>
      <c r="T7" s="3" t="s">
        <v>130</v>
      </c>
      <c r="U7" s="3" t="s">
        <v>131</v>
      </c>
      <c r="V7" s="3" t="s">
        <v>677</v>
      </c>
    </row>
    <row r="8" spans="1:22" ht="72" x14ac:dyDescent="0.3">
      <c r="A8" s="3" t="str">
        <f t="shared" si="0"/>
        <v>MCQ_ITNIC_CALC_EIS_001</v>
      </c>
      <c r="B8" s="3" t="s">
        <v>21</v>
      </c>
      <c r="C8" s="6" t="s">
        <v>40</v>
      </c>
      <c r="D8" s="6" t="s">
        <v>815</v>
      </c>
      <c r="E8" s="3" t="s">
        <v>18</v>
      </c>
      <c r="F8" s="3">
        <v>3</v>
      </c>
      <c r="G8" s="3" t="s">
        <v>16</v>
      </c>
      <c r="H8" s="3" t="s">
        <v>17</v>
      </c>
      <c r="I8" s="3" t="s">
        <v>123</v>
      </c>
      <c r="J8" s="3" t="s">
        <v>124</v>
      </c>
      <c r="K8" s="3">
        <v>1</v>
      </c>
      <c r="L8" s="3" t="s">
        <v>125</v>
      </c>
      <c r="M8" s="3" t="str">
        <f>IF(B8="","","MCQ"&amp;"_"&amp;IFERROR(VLOOKUP(B8,LOOKUPS!$K$2:$L$9,2,FALSE),"UNK")&amp;"_"&amp;IFERROR(VLOOKUP(C8,LOOKUPS!$N$2:$O$10,2,FALSE),"UNK")&amp;"_"&amp;UPPER(L8))</f>
        <v>MCQ_ITNIC_CALC_EIS</v>
      </c>
      <c r="N8" s="3">
        <f>IF(M8="","",COUNTIF($M$2:M8,M8))</f>
        <v>1</v>
      </c>
      <c r="O8" s="3" t="s">
        <v>789</v>
      </c>
      <c r="P8" s="3" t="s">
        <v>232</v>
      </c>
      <c r="Q8" s="3" t="s">
        <v>132</v>
      </c>
      <c r="R8" s="3" t="s">
        <v>133</v>
      </c>
      <c r="S8" s="3" t="s">
        <v>233</v>
      </c>
      <c r="T8" s="3" t="s">
        <v>134</v>
      </c>
      <c r="U8" s="3" t="s">
        <v>226</v>
      </c>
      <c r="V8" s="3" t="s">
        <v>135</v>
      </c>
    </row>
    <row r="9" spans="1:22" ht="100.8" x14ac:dyDescent="0.3">
      <c r="A9" s="3" t="str">
        <f t="shared" si="0"/>
        <v>MCQ_ITNIC_T_EIS_001</v>
      </c>
      <c r="B9" s="3" t="s">
        <v>21</v>
      </c>
      <c r="C9" s="6" t="s">
        <v>820</v>
      </c>
      <c r="D9" s="6" t="s">
        <v>815</v>
      </c>
      <c r="E9" s="3" t="s">
        <v>18</v>
      </c>
      <c r="F9" s="3">
        <v>3</v>
      </c>
      <c r="G9" s="3" t="s">
        <v>16</v>
      </c>
      <c r="H9" s="3" t="s">
        <v>17</v>
      </c>
      <c r="I9" s="3" t="s">
        <v>123</v>
      </c>
      <c r="J9" s="3" t="s">
        <v>124</v>
      </c>
      <c r="K9" s="3">
        <v>1</v>
      </c>
      <c r="L9" s="3" t="s">
        <v>125</v>
      </c>
      <c r="M9" s="3" t="str">
        <f>IF(B9="","","MCQ"&amp;"_"&amp;IFERROR(VLOOKUP(B9,LOOKUPS!$K$2:$L$9,2,FALSE),"UNK")&amp;"_"&amp;IFERROR(VLOOKUP(C9,LOOKUPS!$N$2:$O$10,2,FALSE),"UNK")&amp;"_"&amp;UPPER(L9))</f>
        <v>MCQ_ITNIC_T_EIS</v>
      </c>
      <c r="N9" s="3">
        <f>IF(M9="","",COUNTIF($M$2:M9,M9))</f>
        <v>1</v>
      </c>
      <c r="O9" s="3" t="s">
        <v>773</v>
      </c>
      <c r="P9" s="3" t="s">
        <v>234</v>
      </c>
      <c r="Q9" s="3" t="s">
        <v>136</v>
      </c>
      <c r="R9" s="3" t="s">
        <v>137</v>
      </c>
      <c r="S9" s="3" t="s">
        <v>138</v>
      </c>
      <c r="T9" s="3" t="s">
        <v>235</v>
      </c>
      <c r="U9" s="3" t="s">
        <v>224</v>
      </c>
      <c r="V9" s="3" t="s">
        <v>139</v>
      </c>
    </row>
    <row r="10" spans="1:22" ht="100.8" x14ac:dyDescent="0.3">
      <c r="A10" s="3" t="str">
        <f t="shared" si="0"/>
        <v>MCQ_ITNIC_P_PSC_001</v>
      </c>
      <c r="B10" s="3" t="s">
        <v>21</v>
      </c>
      <c r="C10" s="3" t="s">
        <v>818</v>
      </c>
      <c r="D10" s="3" t="s">
        <v>155</v>
      </c>
      <c r="E10" s="3" t="s">
        <v>18</v>
      </c>
      <c r="F10" s="3">
        <v>3</v>
      </c>
      <c r="G10" s="3" t="s">
        <v>16</v>
      </c>
      <c r="H10" s="3" t="s">
        <v>17</v>
      </c>
      <c r="I10" s="3" t="s">
        <v>156</v>
      </c>
      <c r="J10" s="3" t="s">
        <v>124</v>
      </c>
      <c r="K10" s="3">
        <v>1</v>
      </c>
      <c r="L10" s="3" t="s">
        <v>157</v>
      </c>
      <c r="M10" s="3" t="str">
        <f>IF(B10="","","MCQ"&amp;"_"&amp;IFERROR(VLOOKUP(B10,LOOKUPS!$K$2:$L$9,2,FALSE),"UNK")&amp;"_"&amp;IFERROR(VLOOKUP(C10,LOOKUPS!$N$2:$O$10,2,FALSE),"UNK")&amp;"_"&amp;UPPER(L10))</f>
        <v>MCQ_ITNIC_P_PSC</v>
      </c>
      <c r="N10" s="3">
        <f>IF(M10="","",COUNTIF($M$2:M10,M10))</f>
        <v>1</v>
      </c>
      <c r="O10" s="3" t="s">
        <v>158</v>
      </c>
      <c r="P10" s="3" t="s">
        <v>159</v>
      </c>
      <c r="Q10" s="3" t="s">
        <v>160</v>
      </c>
      <c r="R10" s="3" t="s">
        <v>161</v>
      </c>
      <c r="S10" s="3" t="s">
        <v>162</v>
      </c>
      <c r="T10" s="3" t="s">
        <v>163</v>
      </c>
      <c r="U10" s="3" t="s">
        <v>131</v>
      </c>
      <c r="V10" s="3" t="s">
        <v>164</v>
      </c>
    </row>
    <row r="11" spans="1:22" ht="100.8" x14ac:dyDescent="0.3">
      <c r="A11" s="3" t="str">
        <f t="shared" si="0"/>
        <v>MCQ_ITNIC_T_PSC_001</v>
      </c>
      <c r="B11" s="3" t="s">
        <v>21</v>
      </c>
      <c r="C11" s="3" t="s">
        <v>820</v>
      </c>
      <c r="D11" s="3" t="s">
        <v>155</v>
      </c>
      <c r="E11" s="3" t="s">
        <v>18</v>
      </c>
      <c r="F11" s="3">
        <v>3</v>
      </c>
      <c r="G11" s="3" t="s">
        <v>16</v>
      </c>
      <c r="H11" s="3" t="s">
        <v>17</v>
      </c>
      <c r="I11" s="3" t="s">
        <v>165</v>
      </c>
      <c r="J11" s="3" t="s">
        <v>124</v>
      </c>
      <c r="K11" s="3">
        <v>1</v>
      </c>
      <c r="L11" s="3" t="s">
        <v>157</v>
      </c>
      <c r="M11" s="3" t="str">
        <f>IF(B11="","","MCQ"&amp;"_"&amp;IFERROR(VLOOKUP(B11,LOOKUPS!$K$2:$L$9,2,FALSE),"UNK")&amp;"_"&amp;IFERROR(VLOOKUP(C11,LOOKUPS!$N$2:$O$10,2,FALSE),"UNK")&amp;"_"&amp;UPPER(L11))</f>
        <v>MCQ_ITNIC_T_PSC</v>
      </c>
      <c r="N11" s="3">
        <f>IF(M11="","",COUNTIF($M$2:M11,M11))</f>
        <v>1</v>
      </c>
      <c r="O11" s="3" t="s">
        <v>774</v>
      </c>
      <c r="P11" s="3" t="s">
        <v>236</v>
      </c>
      <c r="Q11" s="3" t="s">
        <v>237</v>
      </c>
      <c r="R11" s="3" t="s">
        <v>166</v>
      </c>
      <c r="S11" s="3" t="s">
        <v>167</v>
      </c>
      <c r="T11" s="3" t="s">
        <v>168</v>
      </c>
      <c r="U11" s="3" t="s">
        <v>225</v>
      </c>
      <c r="V11" s="3" t="s">
        <v>788</v>
      </c>
    </row>
    <row r="12" spans="1:22" ht="86.4" x14ac:dyDescent="0.3">
      <c r="A12" s="3" t="str">
        <f t="shared" si="0"/>
        <v>MCQ_ITNIC_REQ_PSC_001</v>
      </c>
      <c r="B12" s="3" t="s">
        <v>21</v>
      </c>
      <c r="C12" s="3" t="s">
        <v>22</v>
      </c>
      <c r="D12" s="3" t="s">
        <v>155</v>
      </c>
      <c r="E12" s="3" t="s">
        <v>18</v>
      </c>
      <c r="F12" s="3">
        <v>3</v>
      </c>
      <c r="G12" s="3" t="s">
        <v>16</v>
      </c>
      <c r="H12" s="3" t="s">
        <v>17</v>
      </c>
      <c r="I12" s="3" t="s">
        <v>169</v>
      </c>
      <c r="J12" s="3" t="s">
        <v>124</v>
      </c>
      <c r="K12" s="3">
        <v>1</v>
      </c>
      <c r="L12" s="3" t="s">
        <v>157</v>
      </c>
      <c r="M12" s="3" t="str">
        <f>IF(B12="","","MCQ"&amp;"_"&amp;IFERROR(VLOOKUP(B12,LOOKUPS!$K$2:$L$9,2,FALSE),"UNK")&amp;"_"&amp;IFERROR(VLOOKUP(C12,LOOKUPS!$N$2:$O$10,2,FALSE),"UNK")&amp;"_"&amp;UPPER(L12))</f>
        <v>MCQ_ITNIC_REQ_PSC</v>
      </c>
      <c r="N12" s="3">
        <f>IF(M12="","",COUNTIF($M$2:M12,M12))</f>
        <v>1</v>
      </c>
      <c r="O12" s="3" t="s">
        <v>775</v>
      </c>
      <c r="P12" s="3" t="s">
        <v>238</v>
      </c>
      <c r="Q12" s="3" t="s">
        <v>170</v>
      </c>
      <c r="R12" s="3" t="s">
        <v>171</v>
      </c>
      <c r="S12" s="3" t="s">
        <v>239</v>
      </c>
      <c r="T12" s="3" t="s">
        <v>172</v>
      </c>
      <c r="U12" s="3" t="s">
        <v>226</v>
      </c>
      <c r="V12" s="3" t="s">
        <v>792</v>
      </c>
    </row>
    <row r="13" spans="1:22" ht="100.8" x14ac:dyDescent="0.3">
      <c r="A13" s="3" t="str">
        <f t="shared" si="0"/>
        <v>MCQ_ITNIC_DEF_SHS_001</v>
      </c>
      <c r="B13" s="3" t="s">
        <v>21</v>
      </c>
      <c r="C13" s="3" t="s">
        <v>15</v>
      </c>
      <c r="D13" s="3" t="s">
        <v>352</v>
      </c>
      <c r="E13" s="3" t="s">
        <v>18</v>
      </c>
      <c r="F13" s="3">
        <v>3</v>
      </c>
      <c r="G13" s="3" t="s">
        <v>16</v>
      </c>
      <c r="H13" s="3" t="s">
        <v>17</v>
      </c>
      <c r="I13" s="3" t="s">
        <v>198</v>
      </c>
      <c r="J13" s="3" t="s">
        <v>124</v>
      </c>
      <c r="K13" s="3">
        <v>1</v>
      </c>
      <c r="L13" s="3" t="s">
        <v>199</v>
      </c>
      <c r="M13" s="3" t="str">
        <f>IF(B13="","","MCQ"&amp;"_"&amp;IFERROR(VLOOKUP(B13,LOOKUPS!$K$2:$L$9,2,FALSE),"UNK")&amp;"_"&amp;IFERROR(VLOOKUP(C13,LOOKUPS!$N$2:$O$10,2,FALSE),"UNK")&amp;"_"&amp;UPPER(L13))</f>
        <v>MCQ_ITNIC_DEF_SHS</v>
      </c>
      <c r="N13" s="3">
        <f>IF(M13="","",COUNTIF($M$2:M13,M13))</f>
        <v>1</v>
      </c>
      <c r="O13" s="3" t="s">
        <v>799</v>
      </c>
      <c r="P13" s="3" t="s">
        <v>200</v>
      </c>
      <c r="Q13" s="3" t="s">
        <v>201</v>
      </c>
      <c r="R13" s="3" t="s">
        <v>688</v>
      </c>
      <c r="S13" s="3" t="s">
        <v>689</v>
      </c>
      <c r="T13" s="3" t="s">
        <v>690</v>
      </c>
      <c r="U13" s="3" t="s">
        <v>131</v>
      </c>
      <c r="V13" s="3" t="s">
        <v>202</v>
      </c>
    </row>
    <row r="14" spans="1:22" ht="115.2" x14ac:dyDescent="0.3">
      <c r="A14" s="3" t="str">
        <f t="shared" si="0"/>
        <v>MCQ_ITNIC_DEF_SHS_002</v>
      </c>
      <c r="B14" s="3" t="s">
        <v>21</v>
      </c>
      <c r="C14" s="3" t="s">
        <v>15</v>
      </c>
      <c r="D14" s="3" t="s">
        <v>352</v>
      </c>
      <c r="E14" s="3" t="s">
        <v>18</v>
      </c>
      <c r="F14" s="3">
        <v>3</v>
      </c>
      <c r="G14" s="3" t="s">
        <v>16</v>
      </c>
      <c r="H14" s="3" t="s">
        <v>17</v>
      </c>
      <c r="I14" s="3" t="s">
        <v>203</v>
      </c>
      <c r="J14" s="3" t="s">
        <v>124</v>
      </c>
      <c r="K14" s="3">
        <v>1</v>
      </c>
      <c r="L14" s="3" t="s">
        <v>199</v>
      </c>
      <c r="M14" s="3" t="str">
        <f>IF(B14="","","MCQ"&amp;"_"&amp;IFERROR(VLOOKUP(B14,LOOKUPS!$K$2:$L$9,2,FALSE),"UNK")&amp;"_"&amp;IFERROR(VLOOKUP(C14,LOOKUPS!$N$2:$O$10,2,FALSE),"UNK")&amp;"_"&amp;UPPER(L14))</f>
        <v>MCQ_ITNIC_DEF_SHS</v>
      </c>
      <c r="N14" s="3">
        <f>IF(M14="","",COUNTIF($M$2:M14,M14))</f>
        <v>2</v>
      </c>
      <c r="O14" s="3" t="s">
        <v>790</v>
      </c>
      <c r="P14" s="3" t="s">
        <v>730</v>
      </c>
      <c r="Q14" s="3" t="s">
        <v>204</v>
      </c>
      <c r="R14" s="3" t="s">
        <v>205</v>
      </c>
      <c r="S14" s="3" t="s">
        <v>206</v>
      </c>
      <c r="T14" s="3" t="s">
        <v>240</v>
      </c>
      <c r="U14" s="3" t="s">
        <v>224</v>
      </c>
      <c r="V14" s="3" t="s">
        <v>735</v>
      </c>
    </row>
    <row r="15" spans="1:22" ht="115.2" x14ac:dyDescent="0.3">
      <c r="A15" s="3" t="str">
        <f t="shared" si="0"/>
        <v>MCQ_ITNIC_T_SHS_001</v>
      </c>
      <c r="B15" s="3" t="s">
        <v>21</v>
      </c>
      <c r="C15" s="3" t="s">
        <v>820</v>
      </c>
      <c r="D15" s="3" t="s">
        <v>352</v>
      </c>
      <c r="E15" s="3" t="s">
        <v>18</v>
      </c>
      <c r="F15" s="3">
        <v>3</v>
      </c>
      <c r="G15" s="3" t="s">
        <v>16</v>
      </c>
      <c r="H15" s="3" t="s">
        <v>17</v>
      </c>
      <c r="I15" s="3" t="s">
        <v>207</v>
      </c>
      <c r="J15" s="3" t="s">
        <v>124</v>
      </c>
      <c r="K15" s="3">
        <v>1</v>
      </c>
      <c r="L15" s="3" t="s">
        <v>199</v>
      </c>
      <c r="M15" s="3" t="str">
        <f>IF(B15="","","MCQ"&amp;"_"&amp;IFERROR(VLOOKUP(B15,LOOKUPS!$K$2:$L$9,2,FALSE),"UNK")&amp;"_"&amp;IFERROR(VLOOKUP(C15,LOOKUPS!$N$2:$O$10,2,FALSE),"UNK")&amp;"_"&amp;UPPER(L15))</f>
        <v>MCQ_ITNIC_T_SHS</v>
      </c>
      <c r="N15" s="3">
        <f>IF(M15="","",COUNTIF($M$2:M15,M15))</f>
        <v>1</v>
      </c>
      <c r="O15" s="3" t="s">
        <v>791</v>
      </c>
      <c r="P15" s="3" t="s">
        <v>241</v>
      </c>
      <c r="Q15" s="3" t="s">
        <v>691</v>
      </c>
      <c r="R15" s="3" t="s">
        <v>312</v>
      </c>
      <c r="S15" s="3" t="s">
        <v>208</v>
      </c>
      <c r="T15" s="3" t="s">
        <v>209</v>
      </c>
      <c r="U15" s="3" t="s">
        <v>223</v>
      </c>
      <c r="V15" s="3" t="s">
        <v>692</v>
      </c>
    </row>
    <row r="16" spans="1:22" ht="57.6" x14ac:dyDescent="0.3">
      <c r="A16" s="3" t="str">
        <f t="shared" si="0"/>
        <v>MCQ_ITNIC_REQ_EMI_001</v>
      </c>
      <c r="B16" s="6" t="s">
        <v>21</v>
      </c>
      <c r="C16" s="6" t="s">
        <v>22</v>
      </c>
      <c r="D16" s="3" t="s">
        <v>352</v>
      </c>
      <c r="E16" s="6" t="s">
        <v>18</v>
      </c>
      <c r="F16" s="6">
        <v>3</v>
      </c>
      <c r="G16" s="6" t="s">
        <v>16</v>
      </c>
      <c r="H16" s="6" t="s">
        <v>17</v>
      </c>
      <c r="I16" s="6" t="s">
        <v>251</v>
      </c>
      <c r="J16" s="6" t="s">
        <v>124</v>
      </c>
      <c r="K16" s="6">
        <v>1</v>
      </c>
      <c r="L16" s="6" t="s">
        <v>252</v>
      </c>
      <c r="M16" s="3" t="str">
        <f>IF(B16="","","MCQ"&amp;"_"&amp;IFERROR(VLOOKUP(B16,LOOKUPS!$K$2:$L$9,2,FALSE),"UNK")&amp;"_"&amp;IFERROR(VLOOKUP(C16,LOOKUPS!$N$2:$O$10,2,FALSE),"UNK")&amp;"_"&amp;UPPER(L16))</f>
        <v>MCQ_ITNIC_REQ_EMI</v>
      </c>
      <c r="N16" s="3">
        <f>IF(M16="","",COUNTIF($M$2:M16,M16))</f>
        <v>1</v>
      </c>
      <c r="O16" s="6" t="s">
        <v>776</v>
      </c>
      <c r="P16" s="6" t="s">
        <v>253</v>
      </c>
      <c r="Q16" s="3" t="s">
        <v>254</v>
      </c>
      <c r="R16" s="3" t="s">
        <v>255</v>
      </c>
      <c r="S16" s="3" t="s">
        <v>256</v>
      </c>
      <c r="T16" s="3" t="s">
        <v>257</v>
      </c>
      <c r="U16" s="3" t="s">
        <v>131</v>
      </c>
      <c r="V16" s="3" t="s">
        <v>793</v>
      </c>
    </row>
    <row r="17" spans="1:22" ht="100.8" x14ac:dyDescent="0.3">
      <c r="A17" s="3" t="str">
        <f t="shared" si="0"/>
        <v>MCQ_ITNIC_REQ_EMI_002</v>
      </c>
      <c r="B17" s="6" t="s">
        <v>21</v>
      </c>
      <c r="C17" s="6" t="s">
        <v>22</v>
      </c>
      <c r="D17" s="3" t="s">
        <v>352</v>
      </c>
      <c r="E17" s="6" t="s">
        <v>18</v>
      </c>
      <c r="F17" s="6">
        <v>3</v>
      </c>
      <c r="G17" s="6" t="s">
        <v>16</v>
      </c>
      <c r="H17" s="6" t="s">
        <v>17</v>
      </c>
      <c r="I17" s="6" t="s">
        <v>251</v>
      </c>
      <c r="J17" s="6" t="s">
        <v>124</v>
      </c>
      <c r="K17" s="6">
        <v>1</v>
      </c>
      <c r="L17" s="6" t="s">
        <v>252</v>
      </c>
      <c r="M17" s="3" t="str">
        <f>IF(B17="","","MCQ"&amp;"_"&amp;IFERROR(VLOOKUP(B17,LOOKUPS!$K$2:$L$9,2,FALSE),"UNK")&amp;"_"&amp;IFERROR(VLOOKUP(C17,LOOKUPS!$N$2:$O$10,2,FALSE),"UNK")&amp;"_"&amp;UPPER(L17))</f>
        <v>MCQ_ITNIC_REQ_EMI</v>
      </c>
      <c r="N17" s="3">
        <f>IF(M17="","",COUNTIF($M$2:M17,M17))</f>
        <v>2</v>
      </c>
      <c r="O17" s="6" t="s">
        <v>777</v>
      </c>
      <c r="P17" s="6" t="s">
        <v>693</v>
      </c>
      <c r="Q17" s="3" t="s">
        <v>694</v>
      </c>
      <c r="R17" s="3" t="s">
        <v>258</v>
      </c>
      <c r="S17" s="3" t="s">
        <v>695</v>
      </c>
      <c r="T17" s="3" t="s">
        <v>259</v>
      </c>
      <c r="U17" s="3" t="s">
        <v>225</v>
      </c>
      <c r="V17" s="3" t="s">
        <v>260</v>
      </c>
    </row>
    <row r="18" spans="1:22" ht="43.2" x14ac:dyDescent="0.3">
      <c r="A18" s="3" t="str">
        <f t="shared" si="0"/>
        <v>MCQ_ITNIC_REQ_EMI_003</v>
      </c>
      <c r="B18" s="6" t="s">
        <v>21</v>
      </c>
      <c r="C18" s="6" t="s">
        <v>22</v>
      </c>
      <c r="D18" s="3" t="s">
        <v>352</v>
      </c>
      <c r="E18" s="6" t="s">
        <v>18</v>
      </c>
      <c r="F18" s="6">
        <v>3</v>
      </c>
      <c r="G18" s="6" t="s">
        <v>16</v>
      </c>
      <c r="H18" s="6" t="s">
        <v>17</v>
      </c>
      <c r="I18" s="6" t="s">
        <v>251</v>
      </c>
      <c r="J18" s="6" t="s">
        <v>124</v>
      </c>
      <c r="K18" s="6">
        <v>1</v>
      </c>
      <c r="L18" s="6" t="s">
        <v>252</v>
      </c>
      <c r="M18" s="3" t="str">
        <f>IF(B18="","","MCQ"&amp;"_"&amp;IFERROR(VLOOKUP(B18,LOOKUPS!$K$2:$L$9,2,FALSE),"UNK")&amp;"_"&amp;IFERROR(VLOOKUP(C18,LOOKUPS!$N$2:$O$10,2,FALSE),"UNK")&amp;"_"&amp;UPPER(L18))</f>
        <v>MCQ_ITNIC_REQ_EMI</v>
      </c>
      <c r="N18" s="3">
        <f>IF(M18="","",COUNTIF($M$2:M18,M18))</f>
        <v>3</v>
      </c>
      <c r="O18" s="6" t="s">
        <v>778</v>
      </c>
      <c r="P18" s="6" t="s">
        <v>261</v>
      </c>
      <c r="Q18" s="3" t="s">
        <v>262</v>
      </c>
      <c r="R18" s="3" t="s">
        <v>263</v>
      </c>
      <c r="S18" s="3" t="s">
        <v>264</v>
      </c>
      <c r="T18" s="3" t="s">
        <v>265</v>
      </c>
      <c r="U18" s="3" t="s">
        <v>223</v>
      </c>
      <c r="V18" s="3" t="s">
        <v>794</v>
      </c>
    </row>
    <row r="19" spans="1:22" ht="57.6" x14ac:dyDescent="0.3">
      <c r="A19" s="3" t="str">
        <f t="shared" si="0"/>
        <v>MCQ_ITNIC_REQ_EMI_004</v>
      </c>
      <c r="B19" s="6" t="s">
        <v>21</v>
      </c>
      <c r="C19" s="6" t="s">
        <v>22</v>
      </c>
      <c r="D19" s="3" t="s">
        <v>352</v>
      </c>
      <c r="E19" s="6" t="s">
        <v>18</v>
      </c>
      <c r="F19" s="6">
        <v>3</v>
      </c>
      <c r="G19" s="6" t="s">
        <v>16</v>
      </c>
      <c r="H19" s="6" t="s">
        <v>17</v>
      </c>
      <c r="I19" s="6" t="s">
        <v>251</v>
      </c>
      <c r="J19" s="6" t="s">
        <v>124</v>
      </c>
      <c r="K19" s="6">
        <v>1</v>
      </c>
      <c r="L19" s="6" t="s">
        <v>252</v>
      </c>
      <c r="M19" s="3" t="str">
        <f>IF(B19="","","MCQ"&amp;"_"&amp;IFERROR(VLOOKUP(B19,LOOKUPS!$K$2:$L$9,2,FALSE),"UNK")&amp;"_"&amp;IFERROR(VLOOKUP(C19,LOOKUPS!$N$2:$O$10,2,FALSE),"UNK")&amp;"_"&amp;UPPER(L19))</f>
        <v>MCQ_ITNIC_REQ_EMI</v>
      </c>
      <c r="N19" s="3">
        <f>IF(M19="","",COUNTIF($M$2:M19,M19))</f>
        <v>4</v>
      </c>
      <c r="O19" s="6" t="s">
        <v>779</v>
      </c>
      <c r="P19" s="6" t="s">
        <v>266</v>
      </c>
      <c r="Q19" s="3" t="s">
        <v>267</v>
      </c>
      <c r="R19" s="3" t="s">
        <v>268</v>
      </c>
      <c r="S19" s="3" t="s">
        <v>269</v>
      </c>
      <c r="T19" s="3" t="s">
        <v>270</v>
      </c>
      <c r="U19" s="3" t="s">
        <v>226</v>
      </c>
      <c r="V19" s="3" t="s">
        <v>271</v>
      </c>
    </row>
    <row r="20" spans="1:22" ht="72" x14ac:dyDescent="0.3">
      <c r="A20" s="3" t="str">
        <f t="shared" si="0"/>
        <v>MCQ_ITNIC_REQ_EMI_005</v>
      </c>
      <c r="B20" s="3" t="s">
        <v>21</v>
      </c>
      <c r="C20" s="3" t="s">
        <v>22</v>
      </c>
      <c r="D20" s="3" t="s">
        <v>352</v>
      </c>
      <c r="E20" s="3" t="s">
        <v>18</v>
      </c>
      <c r="F20" s="3">
        <v>3</v>
      </c>
      <c r="G20" s="3" t="s">
        <v>16</v>
      </c>
      <c r="H20" s="3" t="s">
        <v>17</v>
      </c>
      <c r="I20" s="3" t="s">
        <v>251</v>
      </c>
      <c r="J20" s="3" t="s">
        <v>124</v>
      </c>
      <c r="K20" s="3">
        <v>1</v>
      </c>
      <c r="L20" s="3" t="s">
        <v>252</v>
      </c>
      <c r="M20" s="3" t="str">
        <f>IF(B20="","","MCQ"&amp;"_"&amp;IFERROR(VLOOKUP(B20,LOOKUPS!$K$2:$L$9,2,FALSE),"UNK")&amp;"_"&amp;IFERROR(VLOOKUP(C20,LOOKUPS!$N$2:$O$10,2,FALSE),"UNK")&amp;"_"&amp;UPPER(L20))</f>
        <v>MCQ_ITNIC_REQ_EMI</v>
      </c>
      <c r="N20" s="3">
        <f>IF(M20="","",COUNTIF($M$2:M20,M20))</f>
        <v>5</v>
      </c>
      <c r="O20" s="3" t="s">
        <v>780</v>
      </c>
      <c r="P20" s="3" t="s">
        <v>272</v>
      </c>
      <c r="Q20" s="3" t="s">
        <v>273</v>
      </c>
      <c r="R20" s="3" t="s">
        <v>274</v>
      </c>
      <c r="S20" s="3" t="s">
        <v>696</v>
      </c>
      <c r="T20" s="3" t="s">
        <v>275</v>
      </c>
      <c r="U20" s="3" t="s">
        <v>224</v>
      </c>
      <c r="V20" s="3" t="s">
        <v>795</v>
      </c>
    </row>
    <row r="21" spans="1:22" ht="72" x14ac:dyDescent="0.3">
      <c r="A21" s="3" t="str">
        <f t="shared" si="0"/>
        <v>MCQ_ITNIC_REQ_EMI_006</v>
      </c>
      <c r="B21" s="3" t="s">
        <v>21</v>
      </c>
      <c r="C21" s="3" t="s">
        <v>22</v>
      </c>
      <c r="D21" s="3" t="s">
        <v>352</v>
      </c>
      <c r="E21" s="3" t="s">
        <v>18</v>
      </c>
      <c r="F21" s="3">
        <v>3</v>
      </c>
      <c r="G21" s="3" t="s">
        <v>16</v>
      </c>
      <c r="H21" s="3" t="s">
        <v>17</v>
      </c>
      <c r="I21" s="3" t="s">
        <v>276</v>
      </c>
      <c r="J21" s="3" t="s">
        <v>124</v>
      </c>
      <c r="K21" s="3">
        <v>1</v>
      </c>
      <c r="L21" s="3" t="s">
        <v>252</v>
      </c>
      <c r="M21" s="3" t="str">
        <f>IF(B21="","","MCQ"&amp;"_"&amp;IFERROR(VLOOKUP(B21,LOOKUPS!$K$2:$L$9,2,FALSE),"UNK")&amp;"_"&amp;IFERROR(VLOOKUP(C21,LOOKUPS!$N$2:$O$10,2,FALSE),"UNK")&amp;"_"&amp;UPPER(L21))</f>
        <v>MCQ_ITNIC_REQ_EMI</v>
      </c>
      <c r="N21" s="3">
        <f>IF(M21="","",COUNTIF($M$2:M21,M21))</f>
        <v>6</v>
      </c>
      <c r="O21" s="3" t="s">
        <v>781</v>
      </c>
      <c r="P21" s="3" t="s">
        <v>277</v>
      </c>
      <c r="Q21" s="3" t="s">
        <v>278</v>
      </c>
      <c r="R21" s="3" t="s">
        <v>279</v>
      </c>
      <c r="S21" s="3" t="s">
        <v>280</v>
      </c>
      <c r="T21" s="3" t="s">
        <v>281</v>
      </c>
      <c r="U21" s="3" t="s">
        <v>224</v>
      </c>
      <c r="V21" s="3" t="s">
        <v>282</v>
      </c>
    </row>
    <row r="22" spans="1:22" ht="57.6" x14ac:dyDescent="0.3">
      <c r="A22" s="3" t="str">
        <f t="shared" si="0"/>
        <v>MCQ_ITNIC_REQ_EMI_007</v>
      </c>
      <c r="B22" s="3" t="s">
        <v>21</v>
      </c>
      <c r="C22" s="3" t="s">
        <v>22</v>
      </c>
      <c r="D22" s="3" t="s">
        <v>352</v>
      </c>
      <c r="E22" s="3" t="s">
        <v>18</v>
      </c>
      <c r="F22" s="3">
        <v>3</v>
      </c>
      <c r="G22" s="3" t="s">
        <v>16</v>
      </c>
      <c r="H22" s="3" t="s">
        <v>17</v>
      </c>
      <c r="I22" s="3" t="s">
        <v>276</v>
      </c>
      <c r="J22" s="3" t="s">
        <v>124</v>
      </c>
      <c r="K22" s="3">
        <v>1</v>
      </c>
      <c r="L22" s="3" t="s">
        <v>252</v>
      </c>
      <c r="M22" s="3" t="str">
        <f>IF(B22="","","MCQ"&amp;"_"&amp;IFERROR(VLOOKUP(B22,LOOKUPS!$K$2:$L$9,2,FALSE),"UNK")&amp;"_"&amp;IFERROR(VLOOKUP(C22,LOOKUPS!$N$2:$O$10,2,FALSE),"UNK")&amp;"_"&amp;UPPER(L22))</f>
        <v>MCQ_ITNIC_REQ_EMI</v>
      </c>
      <c r="N22" s="3">
        <f>IF(M22="","",COUNTIF($M$2:M22,M22))</f>
        <v>7</v>
      </c>
      <c r="O22" s="3" t="s">
        <v>782</v>
      </c>
      <c r="P22" s="3" t="s">
        <v>283</v>
      </c>
      <c r="Q22" s="3" t="s">
        <v>284</v>
      </c>
      <c r="R22" s="3" t="s">
        <v>285</v>
      </c>
      <c r="S22" s="3" t="s">
        <v>286</v>
      </c>
      <c r="T22" s="3" t="s">
        <v>287</v>
      </c>
      <c r="U22" s="3" t="s">
        <v>226</v>
      </c>
      <c r="V22" s="3" t="s">
        <v>796</v>
      </c>
    </row>
    <row r="23" spans="1:22" ht="86.4" x14ac:dyDescent="0.3">
      <c r="A23" s="3" t="str">
        <f t="shared" si="0"/>
        <v>MCQ_ITNIC_REQ_EMI_008</v>
      </c>
      <c r="B23" s="3" t="s">
        <v>21</v>
      </c>
      <c r="C23" s="3" t="s">
        <v>22</v>
      </c>
      <c r="D23" s="3" t="s">
        <v>352</v>
      </c>
      <c r="E23" s="3" t="s">
        <v>18</v>
      </c>
      <c r="F23" s="3">
        <v>3</v>
      </c>
      <c r="G23" s="3" t="s">
        <v>16</v>
      </c>
      <c r="H23" s="3" t="s">
        <v>17</v>
      </c>
      <c r="I23" s="3" t="s">
        <v>288</v>
      </c>
      <c r="J23" s="3" t="s">
        <v>124</v>
      </c>
      <c r="K23" s="3">
        <v>1</v>
      </c>
      <c r="L23" s="3" t="s">
        <v>252</v>
      </c>
      <c r="M23" s="3" t="str">
        <f>IF(B23="","","MCQ"&amp;"_"&amp;IFERROR(VLOOKUP(B23,LOOKUPS!$K$2:$L$9,2,FALSE),"UNK")&amp;"_"&amp;IFERROR(VLOOKUP(C23,LOOKUPS!$N$2:$O$10,2,FALSE),"UNK")&amp;"_"&amp;UPPER(L23))</f>
        <v>MCQ_ITNIC_REQ_EMI</v>
      </c>
      <c r="N23" s="3">
        <f>IF(M23="","",COUNTIF($M$2:M23,M23))</f>
        <v>8</v>
      </c>
      <c r="O23" s="3" t="s">
        <v>783</v>
      </c>
      <c r="P23" s="3" t="s">
        <v>289</v>
      </c>
      <c r="Q23" s="3" t="s">
        <v>290</v>
      </c>
      <c r="R23" s="3" t="s">
        <v>291</v>
      </c>
      <c r="S23" s="3" t="s">
        <v>292</v>
      </c>
      <c r="T23" s="3" t="s">
        <v>293</v>
      </c>
      <c r="U23" s="3" t="s">
        <v>223</v>
      </c>
      <c r="V23" s="3" t="s">
        <v>294</v>
      </c>
    </row>
    <row r="24" spans="1:22" ht="43.2" x14ac:dyDescent="0.3">
      <c r="A24" s="3" t="str">
        <f t="shared" si="0"/>
        <v>MCQ_ITNIC_REQ_EMI_009</v>
      </c>
      <c r="B24" s="3" t="s">
        <v>21</v>
      </c>
      <c r="C24" s="3" t="s">
        <v>22</v>
      </c>
      <c r="D24" s="3" t="s">
        <v>352</v>
      </c>
      <c r="E24" s="3" t="s">
        <v>18</v>
      </c>
      <c r="F24" s="3">
        <v>3</v>
      </c>
      <c r="G24" s="3" t="s">
        <v>16</v>
      </c>
      <c r="H24" s="3" t="s">
        <v>17</v>
      </c>
      <c r="I24" s="3" t="s">
        <v>295</v>
      </c>
      <c r="J24" s="3" t="s">
        <v>124</v>
      </c>
      <c r="K24" s="3">
        <v>1</v>
      </c>
      <c r="L24" s="3" t="s">
        <v>252</v>
      </c>
      <c r="M24" s="3" t="str">
        <f>IF(B24="","","MCQ"&amp;"_"&amp;IFERROR(VLOOKUP(B24,LOOKUPS!$K$2:$L$9,2,FALSE),"UNK")&amp;"_"&amp;IFERROR(VLOOKUP(C24,LOOKUPS!$N$2:$O$10,2,FALSE),"UNK")&amp;"_"&amp;UPPER(L24))</f>
        <v>MCQ_ITNIC_REQ_EMI</v>
      </c>
      <c r="N24" s="3">
        <f>IF(M24="","",COUNTIF($M$2:M24,M24))</f>
        <v>9</v>
      </c>
      <c r="O24" s="3" t="s">
        <v>784</v>
      </c>
      <c r="P24" s="3" t="s">
        <v>296</v>
      </c>
      <c r="Q24" s="3" t="s">
        <v>297</v>
      </c>
      <c r="R24" s="3" t="s">
        <v>298</v>
      </c>
      <c r="S24" s="3" t="s">
        <v>299</v>
      </c>
      <c r="T24" s="3" t="s">
        <v>300</v>
      </c>
      <c r="U24" s="3" t="s">
        <v>225</v>
      </c>
      <c r="V24" s="3" t="s">
        <v>797</v>
      </c>
    </row>
    <row r="25" spans="1:22" ht="43.2" x14ac:dyDescent="0.3">
      <c r="A25" s="3" t="str">
        <f t="shared" si="0"/>
        <v>MCQ_ITNIC_REQ_EMI_010</v>
      </c>
      <c r="B25" s="3" t="s">
        <v>21</v>
      </c>
      <c r="C25" s="3" t="s">
        <v>22</v>
      </c>
      <c r="D25" s="3" t="s">
        <v>352</v>
      </c>
      <c r="E25" s="3" t="s">
        <v>18</v>
      </c>
      <c r="F25" s="3">
        <v>3</v>
      </c>
      <c r="G25" s="3" t="s">
        <v>16</v>
      </c>
      <c r="H25" s="3" t="s">
        <v>17</v>
      </c>
      <c r="I25" s="3" t="s">
        <v>295</v>
      </c>
      <c r="J25" s="3" t="s">
        <v>124</v>
      </c>
      <c r="K25" s="3">
        <v>1</v>
      </c>
      <c r="L25" s="3" t="s">
        <v>252</v>
      </c>
      <c r="M25" s="3" t="str">
        <f>IF(B25="","","MCQ"&amp;"_"&amp;IFERROR(VLOOKUP(B25,LOOKUPS!$K$2:$L$9,2,FALSE),"UNK")&amp;"_"&amp;IFERROR(VLOOKUP(C25,LOOKUPS!$N$2:$O$10,2,FALSE),"UNK")&amp;"_"&amp;UPPER(L25))</f>
        <v>MCQ_ITNIC_REQ_EMI</v>
      </c>
      <c r="N25" s="3">
        <f>IF(M25="","",COUNTIF($M$2:M25,M25))</f>
        <v>10</v>
      </c>
      <c r="O25" s="3" t="s">
        <v>785</v>
      </c>
      <c r="P25" s="3" t="s">
        <v>301</v>
      </c>
      <c r="Q25" s="3" t="s">
        <v>297</v>
      </c>
      <c r="R25" s="3" t="s">
        <v>302</v>
      </c>
      <c r="S25" s="3" t="s">
        <v>303</v>
      </c>
      <c r="T25" s="3" t="s">
        <v>304</v>
      </c>
      <c r="U25" s="3" t="s">
        <v>131</v>
      </c>
      <c r="V25" s="3" t="s">
        <v>305</v>
      </c>
    </row>
    <row r="26" spans="1:22" ht="86.4" x14ac:dyDescent="0.3">
      <c r="A26" s="3" t="str">
        <f t="shared" si="0"/>
        <v>MCQ_ITNIC_REQ_EMI_011</v>
      </c>
      <c r="B26" s="3" t="s">
        <v>21</v>
      </c>
      <c r="C26" s="3" t="s">
        <v>22</v>
      </c>
      <c r="D26" s="3" t="s">
        <v>352</v>
      </c>
      <c r="E26" s="3" t="s">
        <v>18</v>
      </c>
      <c r="F26" s="3">
        <v>3</v>
      </c>
      <c r="G26" s="3" t="s">
        <v>16</v>
      </c>
      <c r="H26" s="3" t="s">
        <v>17</v>
      </c>
      <c r="I26" s="3" t="s">
        <v>295</v>
      </c>
      <c r="J26" s="3" t="s">
        <v>124</v>
      </c>
      <c r="K26" s="3">
        <v>1</v>
      </c>
      <c r="L26" s="3" t="s">
        <v>252</v>
      </c>
      <c r="M26" s="3" t="str">
        <f>IF(B26="","","MCQ"&amp;"_"&amp;IFERROR(VLOOKUP(B26,LOOKUPS!$K$2:$L$9,2,FALSE),"UNK")&amp;"_"&amp;IFERROR(VLOOKUP(C26,LOOKUPS!$N$2:$O$10,2,FALSE),"UNK")&amp;"_"&amp;UPPER(L26))</f>
        <v>MCQ_ITNIC_REQ_EMI</v>
      </c>
      <c r="N26" s="3">
        <f>IF(M26="","",COUNTIF($M$2:M26,M26))</f>
        <v>11</v>
      </c>
      <c r="O26" s="3" t="s">
        <v>786</v>
      </c>
      <c r="P26" s="3" t="s">
        <v>697</v>
      </c>
      <c r="Q26" s="3" t="s">
        <v>698</v>
      </c>
      <c r="R26" s="3" t="s">
        <v>699</v>
      </c>
      <c r="S26" s="3" t="s">
        <v>700</v>
      </c>
      <c r="T26" s="3" t="s">
        <v>701</v>
      </c>
      <c r="U26" s="3" t="s">
        <v>223</v>
      </c>
      <c r="V26" s="3" t="s">
        <v>798</v>
      </c>
    </row>
    <row r="27" spans="1:22" ht="100.8" x14ac:dyDescent="0.3">
      <c r="A27" s="3" t="str">
        <f t="shared" si="0"/>
        <v>MCQ_ITNIC_P_EMI_001</v>
      </c>
      <c r="B27" s="3" t="s">
        <v>21</v>
      </c>
      <c r="C27" s="3" t="s">
        <v>818</v>
      </c>
      <c r="D27" s="3" t="s">
        <v>352</v>
      </c>
      <c r="E27" s="3" t="s">
        <v>18</v>
      </c>
      <c r="F27" s="3">
        <v>3</v>
      </c>
      <c r="G27" s="3" t="s">
        <v>16</v>
      </c>
      <c r="H27" s="3" t="s">
        <v>17</v>
      </c>
      <c r="I27" s="3" t="s">
        <v>306</v>
      </c>
      <c r="J27" s="3" t="s">
        <v>124</v>
      </c>
      <c r="K27" s="3">
        <v>1</v>
      </c>
      <c r="L27" s="3" t="s">
        <v>252</v>
      </c>
      <c r="M27" s="3" t="str">
        <f>IF(B27="","","MCQ"&amp;"_"&amp;IFERROR(VLOOKUP(B27,LOOKUPS!$K$2:$L$9,2,FALSE),"UNK")&amp;"_"&amp;IFERROR(VLOOKUP(C27,LOOKUPS!$N$2:$O$10,2,FALSE),"UNK")&amp;"_"&amp;UPPER(L27))</f>
        <v>MCQ_ITNIC_P_EMI</v>
      </c>
      <c r="N27" s="3">
        <f>IF(M27="","",COUNTIF($M$2:M27,M27))</f>
        <v>1</v>
      </c>
      <c r="O27" s="3" t="s">
        <v>787</v>
      </c>
      <c r="P27" s="3" t="s">
        <v>752</v>
      </c>
      <c r="Q27" s="3" t="s">
        <v>731</v>
      </c>
      <c r="R27" s="3" t="s">
        <v>732</v>
      </c>
      <c r="S27" s="3" t="s">
        <v>733</v>
      </c>
      <c r="T27" s="3" t="s">
        <v>734</v>
      </c>
      <c r="U27" s="3" t="s">
        <v>224</v>
      </c>
      <c r="V27" s="3" t="s">
        <v>736</v>
      </c>
    </row>
    <row r="28" spans="1:22" ht="57.6" x14ac:dyDescent="0.3">
      <c r="A28" s="3" t="str">
        <f t="shared" si="0"/>
        <v>MCQ_CGT_REQ_RESDOM_001</v>
      </c>
      <c r="B28" s="3" t="s">
        <v>28</v>
      </c>
      <c r="C28" s="3" t="s">
        <v>22</v>
      </c>
      <c r="D28" s="3" t="s">
        <v>471</v>
      </c>
      <c r="E28" s="3" t="s">
        <v>18</v>
      </c>
      <c r="F28" s="3">
        <v>3</v>
      </c>
      <c r="G28" s="3" t="s">
        <v>16</v>
      </c>
      <c r="H28" s="3" t="s">
        <v>17</v>
      </c>
      <c r="I28" s="3" t="s">
        <v>472</v>
      </c>
      <c r="J28" s="3" t="s">
        <v>430</v>
      </c>
      <c r="K28" s="3">
        <v>1</v>
      </c>
      <c r="L28" s="3" t="s">
        <v>473</v>
      </c>
      <c r="M28" s="3" t="str">
        <f>IF(B28="","","MCQ"&amp;"_"&amp;IFERROR(VLOOKUP(B28,LOOKUPS!$K$2:$L$9,2,FALSE),"UNK")&amp;"_"&amp;IFERROR(VLOOKUP(C28,LOOKUPS!$N$2:$O$10,2,FALSE),"UNK")&amp;"_"&amp;UPPER(L28))</f>
        <v>MCQ_CGT_REQ_RESDOM</v>
      </c>
      <c r="N28" s="3">
        <f>IF(M28="","",COUNTIF($M$2:M28,M28))</f>
        <v>1</v>
      </c>
      <c r="O28" s="3" t="s">
        <v>588</v>
      </c>
      <c r="P28" s="3" t="s">
        <v>822</v>
      </c>
      <c r="Q28" s="3" t="s">
        <v>587</v>
      </c>
      <c r="R28" s="3" t="s">
        <v>586</v>
      </c>
      <c r="S28" s="3" t="s">
        <v>585</v>
      </c>
      <c r="T28" s="3"/>
      <c r="U28" s="3" t="s">
        <v>131</v>
      </c>
      <c r="V28" s="3" t="s">
        <v>584</v>
      </c>
    </row>
    <row r="29" spans="1:22" ht="57.6" x14ac:dyDescent="0.3">
      <c r="A29" s="3" t="str">
        <f t="shared" si="0"/>
        <v>MCQ_CGT_REQ_RESDOM_002</v>
      </c>
      <c r="B29" s="3" t="s">
        <v>28</v>
      </c>
      <c r="C29" s="3" t="s">
        <v>22</v>
      </c>
      <c r="D29" s="3" t="s">
        <v>471</v>
      </c>
      <c r="E29" s="3" t="s">
        <v>18</v>
      </c>
      <c r="F29" s="3">
        <v>3</v>
      </c>
      <c r="G29" s="3" t="s">
        <v>16</v>
      </c>
      <c r="H29" s="3" t="s">
        <v>17</v>
      </c>
      <c r="I29" s="3" t="s">
        <v>472</v>
      </c>
      <c r="J29" s="3" t="s">
        <v>430</v>
      </c>
      <c r="K29" s="3">
        <v>1</v>
      </c>
      <c r="L29" s="3" t="s">
        <v>473</v>
      </c>
      <c r="M29" s="3" t="str">
        <f>IF(B29="","","MCQ"&amp;"_"&amp;IFERROR(VLOOKUP(B29,LOOKUPS!$K$2:$L$9,2,FALSE),"UNK")&amp;"_"&amp;IFERROR(VLOOKUP(C29,LOOKUPS!$N$2:$O$10,2,FALSE),"UNK")&amp;"_"&amp;UPPER(L29))</f>
        <v>MCQ_CGT_REQ_RESDOM</v>
      </c>
      <c r="N29" s="3">
        <f>IF(M29="","",COUNTIF($M$2:M29,M29))</f>
        <v>2</v>
      </c>
      <c r="O29" s="3" t="s">
        <v>583</v>
      </c>
      <c r="P29" s="3" t="s">
        <v>823</v>
      </c>
      <c r="Q29" s="3" t="s">
        <v>582</v>
      </c>
      <c r="R29" s="3" t="s">
        <v>581</v>
      </c>
      <c r="S29" s="3" t="s">
        <v>580</v>
      </c>
      <c r="T29" s="3"/>
      <c r="U29" s="3" t="s">
        <v>225</v>
      </c>
      <c r="V29" s="3" t="s">
        <v>579</v>
      </c>
    </row>
    <row r="30" spans="1:22" ht="28.8" x14ac:dyDescent="0.3">
      <c r="A30" s="3" t="str">
        <f t="shared" si="0"/>
        <v>MCQ_CGT_REQ_RESDOM_003</v>
      </c>
      <c r="B30" s="3" t="s">
        <v>28</v>
      </c>
      <c r="C30" s="3" t="s">
        <v>22</v>
      </c>
      <c r="D30" s="3" t="s">
        <v>471</v>
      </c>
      <c r="E30" s="3" t="s">
        <v>18</v>
      </c>
      <c r="F30" s="3">
        <v>3</v>
      </c>
      <c r="G30" s="3" t="s">
        <v>16</v>
      </c>
      <c r="H30" s="3" t="s">
        <v>17</v>
      </c>
      <c r="I30" s="3" t="s">
        <v>481</v>
      </c>
      <c r="J30" s="3" t="s">
        <v>430</v>
      </c>
      <c r="K30" s="3">
        <v>1</v>
      </c>
      <c r="L30" s="3" t="s">
        <v>473</v>
      </c>
      <c r="M30" s="3" t="str">
        <f>IF(B30="","","MCQ"&amp;"_"&amp;IFERROR(VLOOKUP(B30,LOOKUPS!$K$2:$L$9,2,FALSE),"UNK")&amp;"_"&amp;IFERROR(VLOOKUP(C30,LOOKUPS!$N$2:$O$10,2,FALSE),"UNK")&amp;"_"&amp;UPPER(L30))</f>
        <v>MCQ_CGT_REQ_RESDOM</v>
      </c>
      <c r="N30" s="3">
        <f>IF(M30="","",COUNTIF($M$2:M30,M30))</f>
        <v>3</v>
      </c>
      <c r="O30" s="3" t="s">
        <v>578</v>
      </c>
      <c r="P30" s="3" t="s">
        <v>824</v>
      </c>
      <c r="Q30" s="3" t="s">
        <v>577</v>
      </c>
      <c r="R30" s="3" t="s">
        <v>576</v>
      </c>
      <c r="S30" s="3" t="s">
        <v>575</v>
      </c>
      <c r="T30" s="3"/>
      <c r="U30" s="3" t="s">
        <v>223</v>
      </c>
      <c r="V30" s="3" t="s">
        <v>574</v>
      </c>
    </row>
    <row r="31" spans="1:22" ht="43.2" x14ac:dyDescent="0.3">
      <c r="A31" s="3" t="str">
        <f t="shared" si="0"/>
        <v>MCQ_CGT_REQ_RESDOM_004</v>
      </c>
      <c r="B31" s="3" t="s">
        <v>28</v>
      </c>
      <c r="C31" s="3" t="s">
        <v>22</v>
      </c>
      <c r="D31" s="3" t="s">
        <v>471</v>
      </c>
      <c r="E31" s="3" t="s">
        <v>18</v>
      </c>
      <c r="F31" s="3">
        <v>3</v>
      </c>
      <c r="G31" s="3" t="s">
        <v>16</v>
      </c>
      <c r="H31" s="3" t="s">
        <v>17</v>
      </c>
      <c r="I31" s="3" t="s">
        <v>486</v>
      </c>
      <c r="J31" s="3" t="s">
        <v>430</v>
      </c>
      <c r="K31" s="3">
        <v>1</v>
      </c>
      <c r="L31" s="3" t="s">
        <v>473</v>
      </c>
      <c r="M31" s="3" t="str">
        <f>IF(B31="","","MCQ"&amp;"_"&amp;IFERROR(VLOOKUP(B31,LOOKUPS!$K$2:$L$9,2,FALSE),"UNK")&amp;"_"&amp;IFERROR(VLOOKUP(C31,LOOKUPS!$N$2:$O$10,2,FALSE),"UNK")&amp;"_"&amp;UPPER(L31))</f>
        <v>MCQ_CGT_REQ_RESDOM</v>
      </c>
      <c r="N31" s="3">
        <f>IF(M31="","",COUNTIF($M$2:M31,M31))</f>
        <v>4</v>
      </c>
      <c r="O31" s="3" t="s">
        <v>573</v>
      </c>
      <c r="P31" s="3" t="s">
        <v>825</v>
      </c>
      <c r="Q31" s="3" t="s">
        <v>572</v>
      </c>
      <c r="R31" s="3" t="s">
        <v>571</v>
      </c>
      <c r="S31" s="3" t="s">
        <v>570</v>
      </c>
      <c r="T31" s="3"/>
      <c r="U31" s="3" t="s">
        <v>225</v>
      </c>
      <c r="V31" s="3" t="s">
        <v>569</v>
      </c>
    </row>
    <row r="32" spans="1:22" ht="43.2" x14ac:dyDescent="0.3">
      <c r="A32" s="3" t="str">
        <f t="shared" si="0"/>
        <v>MCQ_CGT_DEF_RESDOM_001</v>
      </c>
      <c r="B32" s="3" t="s">
        <v>28</v>
      </c>
      <c r="C32" s="3" t="s">
        <v>15</v>
      </c>
      <c r="D32" s="3" t="s">
        <v>471</v>
      </c>
      <c r="E32" s="3" t="s">
        <v>18</v>
      </c>
      <c r="F32" s="3">
        <v>3</v>
      </c>
      <c r="G32" s="3" t="s">
        <v>16</v>
      </c>
      <c r="H32" s="3" t="s">
        <v>17</v>
      </c>
      <c r="I32" s="3" t="s">
        <v>492</v>
      </c>
      <c r="J32" s="3" t="s">
        <v>430</v>
      </c>
      <c r="K32" s="3">
        <v>1</v>
      </c>
      <c r="L32" s="3" t="s">
        <v>473</v>
      </c>
      <c r="M32" s="3" t="str">
        <f>IF(B32="","","MCQ"&amp;"_"&amp;IFERROR(VLOOKUP(B32,LOOKUPS!$K$2:$L$9,2,FALSE),"UNK")&amp;"_"&amp;IFERROR(VLOOKUP(C32,LOOKUPS!$N$2:$O$10,2,FALSE),"UNK")&amp;"_"&amp;UPPER(L32))</f>
        <v>MCQ_CGT_DEF_RESDOM</v>
      </c>
      <c r="N32" s="3">
        <f>IF(M32="","",COUNTIF($M$2:M32,M32))</f>
        <v>1</v>
      </c>
      <c r="O32" s="3" t="s">
        <v>568</v>
      </c>
      <c r="P32" s="3" t="s">
        <v>826</v>
      </c>
      <c r="Q32" s="3" t="s">
        <v>567</v>
      </c>
      <c r="R32" s="3" t="s">
        <v>566</v>
      </c>
      <c r="S32" s="3" t="s">
        <v>565</v>
      </c>
      <c r="T32" s="3"/>
      <c r="U32" s="3" t="s">
        <v>223</v>
      </c>
      <c r="V32" s="3" t="s">
        <v>564</v>
      </c>
    </row>
    <row r="33" spans="1:27" ht="43.2" x14ac:dyDescent="0.3">
      <c r="A33" s="3" t="str">
        <f t="shared" si="0"/>
        <v>MCQ_CGT_REQ_RESDOM_005</v>
      </c>
      <c r="B33" s="3" t="s">
        <v>28</v>
      </c>
      <c r="C33" s="3" t="s">
        <v>22</v>
      </c>
      <c r="D33" s="3" t="s">
        <v>471</v>
      </c>
      <c r="E33" s="3" t="s">
        <v>18</v>
      </c>
      <c r="F33" s="3">
        <v>3</v>
      </c>
      <c r="G33" s="3" t="s">
        <v>16</v>
      </c>
      <c r="H33" s="3" t="s">
        <v>17</v>
      </c>
      <c r="I33" s="3" t="s">
        <v>563</v>
      </c>
      <c r="J33" s="3" t="s">
        <v>430</v>
      </c>
      <c r="K33" s="3">
        <v>1</v>
      </c>
      <c r="L33" s="3" t="s">
        <v>473</v>
      </c>
      <c r="M33" s="3" t="str">
        <f>IF(B33="","","MCQ"&amp;"_"&amp;IFERROR(VLOOKUP(B33,LOOKUPS!$K$2:$L$9,2,FALSE),"UNK")&amp;"_"&amp;IFERROR(VLOOKUP(C33,LOOKUPS!$N$2:$O$10,2,FALSE),"UNK")&amp;"_"&amp;UPPER(L33))</f>
        <v>MCQ_CGT_REQ_RESDOM</v>
      </c>
      <c r="N33" s="3">
        <f>IF(M33="","",COUNTIF($M$2:M33,M33))</f>
        <v>5</v>
      </c>
      <c r="O33" s="3" t="s">
        <v>562</v>
      </c>
      <c r="P33" s="3" t="s">
        <v>827</v>
      </c>
      <c r="Q33" s="3" t="s">
        <v>561</v>
      </c>
      <c r="R33" s="3" t="s">
        <v>560</v>
      </c>
      <c r="S33" s="3" t="s">
        <v>559</v>
      </c>
      <c r="T33" s="3"/>
      <c r="U33" s="3" t="s">
        <v>131</v>
      </c>
      <c r="V33" s="3" t="s">
        <v>558</v>
      </c>
    </row>
    <row r="34" spans="1:27" ht="43.2" x14ac:dyDescent="0.3">
      <c r="A34" s="3" t="str">
        <f t="shared" si="0"/>
        <v>MCQ_CGT_REQ_RESDOM_006</v>
      </c>
      <c r="B34" s="3" t="s">
        <v>28</v>
      </c>
      <c r="C34" s="3" t="s">
        <v>22</v>
      </c>
      <c r="D34" s="3" t="s">
        <v>471</v>
      </c>
      <c r="E34" s="3" t="s">
        <v>18</v>
      </c>
      <c r="F34" s="3">
        <v>3</v>
      </c>
      <c r="G34" s="3" t="s">
        <v>16</v>
      </c>
      <c r="H34" s="3" t="s">
        <v>17</v>
      </c>
      <c r="I34" s="3" t="s">
        <v>557</v>
      </c>
      <c r="J34" s="3" t="s">
        <v>430</v>
      </c>
      <c r="K34" s="3">
        <v>1</v>
      </c>
      <c r="L34" s="3" t="s">
        <v>473</v>
      </c>
      <c r="M34" s="3" t="str">
        <f>IF(B34="","","MCQ"&amp;"_"&amp;IFERROR(VLOOKUP(B34,LOOKUPS!$K$2:$L$9,2,FALSE),"UNK")&amp;"_"&amp;IFERROR(VLOOKUP(C34,LOOKUPS!$N$2:$O$10,2,FALSE),"UNK")&amp;"_"&amp;UPPER(L34))</f>
        <v>MCQ_CGT_REQ_RESDOM</v>
      </c>
      <c r="N34" s="3">
        <f>IF(M34="","",COUNTIF($M$2:M34,M34))</f>
        <v>6</v>
      </c>
      <c r="O34" s="3" t="s">
        <v>556</v>
      </c>
      <c r="P34" s="3" t="s">
        <v>828</v>
      </c>
      <c r="Q34" s="3" t="s">
        <v>555</v>
      </c>
      <c r="R34" s="3" t="s">
        <v>554</v>
      </c>
      <c r="S34" s="3" t="s">
        <v>553</v>
      </c>
      <c r="T34" s="3"/>
      <c r="U34" s="3" t="s">
        <v>223</v>
      </c>
      <c r="V34" s="3" t="s">
        <v>552</v>
      </c>
    </row>
    <row r="35" spans="1:27" ht="43.2" x14ac:dyDescent="0.3">
      <c r="A35" s="3" t="str">
        <f t="shared" si="0"/>
        <v>MCQ_CGT_REQ_RESDOM_007</v>
      </c>
      <c r="B35" s="6" t="s">
        <v>28</v>
      </c>
      <c r="C35" s="6" t="s">
        <v>22</v>
      </c>
      <c r="D35" s="6" t="s">
        <v>471</v>
      </c>
      <c r="E35" s="6" t="s">
        <v>18</v>
      </c>
      <c r="F35" s="6">
        <v>3</v>
      </c>
      <c r="G35" s="6" t="s">
        <v>16</v>
      </c>
      <c r="H35" s="6" t="s">
        <v>17</v>
      </c>
      <c r="I35" s="6" t="s">
        <v>551</v>
      </c>
      <c r="J35" s="6" t="s">
        <v>430</v>
      </c>
      <c r="K35" s="6">
        <v>1</v>
      </c>
      <c r="L35" s="6" t="s">
        <v>473</v>
      </c>
      <c r="M35" s="3" t="str">
        <f>IF(B35="","","MCQ"&amp;"_"&amp;IFERROR(VLOOKUP(B35,LOOKUPS!$K$2:$L$9,2,FALSE),"UNK")&amp;"_"&amp;IFERROR(VLOOKUP(C35,LOOKUPS!$N$2:$O$10,2,FALSE),"UNK")&amp;"_"&amp;UPPER(L35))</f>
        <v>MCQ_CGT_REQ_RESDOM</v>
      </c>
      <c r="N35" s="3">
        <f>IF(M35="","",COUNTIF($M$2:M35,M35))</f>
        <v>7</v>
      </c>
      <c r="O35" s="6" t="s">
        <v>829</v>
      </c>
      <c r="P35" s="6" t="s">
        <v>830</v>
      </c>
      <c r="Q35" s="6" t="s">
        <v>550</v>
      </c>
      <c r="R35" s="6" t="s">
        <v>549</v>
      </c>
      <c r="S35" s="6" t="s">
        <v>548</v>
      </c>
      <c r="U35" s="6" t="s">
        <v>225</v>
      </c>
      <c r="V35" s="6" t="s">
        <v>547</v>
      </c>
    </row>
    <row r="36" spans="1:27" ht="43.2" x14ac:dyDescent="0.3">
      <c r="A36" s="3" t="str">
        <f t="shared" si="0"/>
        <v>MCQ_CGT_P_SPLITYR_001</v>
      </c>
      <c r="B36" s="6" t="s">
        <v>28</v>
      </c>
      <c r="C36" s="6" t="s">
        <v>818</v>
      </c>
      <c r="D36" s="6" t="s">
        <v>428</v>
      </c>
      <c r="E36" s="6" t="s">
        <v>18</v>
      </c>
      <c r="F36" s="6">
        <v>3</v>
      </c>
      <c r="G36" s="6" t="s">
        <v>16</v>
      </c>
      <c r="H36" s="6" t="s">
        <v>17</v>
      </c>
      <c r="I36" s="6" t="s">
        <v>429</v>
      </c>
      <c r="J36" s="6" t="s">
        <v>430</v>
      </c>
      <c r="K36" s="6">
        <v>1</v>
      </c>
      <c r="L36" s="6" t="s">
        <v>431</v>
      </c>
      <c r="M36" s="3" t="str">
        <f>IF(B36="","","MCQ"&amp;"_"&amp;IFERROR(VLOOKUP(B36,LOOKUPS!$K$2:$L$9,2,FALSE),"UNK")&amp;"_"&amp;IFERROR(VLOOKUP(C36,LOOKUPS!$N$2:$O$10,2,FALSE),"UNK")&amp;"_"&amp;UPPER(L36))</f>
        <v>MCQ_CGT_P_SPLITYR</v>
      </c>
      <c r="N36" s="3">
        <f>IF(M36="","",COUNTIF($M$2:M36,M36))</f>
        <v>1</v>
      </c>
      <c r="O36" s="6" t="s">
        <v>546</v>
      </c>
      <c r="P36" s="6" t="s">
        <v>545</v>
      </c>
      <c r="Q36" s="6" t="s">
        <v>544</v>
      </c>
      <c r="R36" s="6" t="s">
        <v>543</v>
      </c>
      <c r="S36" s="6" t="s">
        <v>542</v>
      </c>
      <c r="U36" s="6" t="s">
        <v>131</v>
      </c>
      <c r="V36" s="6" t="s">
        <v>541</v>
      </c>
    </row>
    <row r="37" spans="1:27" ht="43.2" x14ac:dyDescent="0.3">
      <c r="A37" s="3" t="str">
        <f t="shared" si="0"/>
        <v>MCQ_CGT_P_SPLITYR_002</v>
      </c>
      <c r="B37" s="6" t="s">
        <v>28</v>
      </c>
      <c r="C37" s="6" t="s">
        <v>818</v>
      </c>
      <c r="D37" s="6" t="s">
        <v>428</v>
      </c>
      <c r="E37" s="6" t="s">
        <v>18</v>
      </c>
      <c r="F37" s="6">
        <v>3</v>
      </c>
      <c r="G37" s="6" t="s">
        <v>16</v>
      </c>
      <c r="H37" s="6" t="s">
        <v>17</v>
      </c>
      <c r="I37" s="6" t="s">
        <v>438</v>
      </c>
      <c r="J37" s="6" t="s">
        <v>430</v>
      </c>
      <c r="K37" s="6">
        <v>1</v>
      </c>
      <c r="L37" s="6" t="s">
        <v>431</v>
      </c>
      <c r="M37" s="3" t="str">
        <f>IF(B37="","","MCQ"&amp;"_"&amp;IFERROR(VLOOKUP(B37,LOOKUPS!$K$2:$L$9,2,FALSE),"UNK")&amp;"_"&amp;IFERROR(VLOOKUP(C37,LOOKUPS!$N$2:$O$10,2,FALSE),"UNK")&amp;"_"&amp;UPPER(L37))</f>
        <v>MCQ_CGT_P_SPLITYR</v>
      </c>
      <c r="N37" s="3">
        <f>IF(M37="","",COUNTIF($M$2:M37,M37))</f>
        <v>2</v>
      </c>
      <c r="O37" s="6" t="s">
        <v>540</v>
      </c>
      <c r="P37" s="6" t="s">
        <v>539</v>
      </c>
      <c r="Q37" s="6" t="s">
        <v>538</v>
      </c>
      <c r="R37" s="6" t="s">
        <v>537</v>
      </c>
      <c r="S37" s="6" t="s">
        <v>536</v>
      </c>
      <c r="U37" s="6" t="s">
        <v>225</v>
      </c>
      <c r="V37" s="6" t="s">
        <v>535</v>
      </c>
    </row>
    <row r="38" spans="1:27" ht="43.2" x14ac:dyDescent="0.3">
      <c r="A38" s="3" t="str">
        <f t="shared" si="0"/>
        <v>MCQ_CGT_P_SPLITYR_003</v>
      </c>
      <c r="B38" s="6" t="s">
        <v>28</v>
      </c>
      <c r="C38" s="6" t="s">
        <v>818</v>
      </c>
      <c r="D38" s="6" t="s">
        <v>428</v>
      </c>
      <c r="E38" s="6" t="s">
        <v>18</v>
      </c>
      <c r="F38" s="6">
        <v>3</v>
      </c>
      <c r="G38" s="6" t="s">
        <v>16</v>
      </c>
      <c r="H38" s="6" t="s">
        <v>17</v>
      </c>
      <c r="I38" s="6" t="s">
        <v>534</v>
      </c>
      <c r="J38" s="6" t="s">
        <v>430</v>
      </c>
      <c r="K38" s="6">
        <v>1</v>
      </c>
      <c r="L38" s="6" t="s">
        <v>431</v>
      </c>
      <c r="M38" s="3" t="str">
        <f>IF(B38="","","MCQ"&amp;"_"&amp;IFERROR(VLOOKUP(B38,LOOKUPS!$K$2:$L$9,2,FALSE),"UNK")&amp;"_"&amp;IFERROR(VLOOKUP(C38,LOOKUPS!$N$2:$O$10,2,FALSE),"UNK")&amp;"_"&amp;UPPER(L38))</f>
        <v>MCQ_CGT_P_SPLITYR</v>
      </c>
      <c r="N38" s="3">
        <f>IF(M38="","",COUNTIF($M$2:M38,M38))</f>
        <v>3</v>
      </c>
      <c r="O38" s="6" t="s">
        <v>805</v>
      </c>
      <c r="P38" s="6" t="s">
        <v>533</v>
      </c>
      <c r="Q38" s="6" t="s">
        <v>532</v>
      </c>
      <c r="R38" s="6" t="s">
        <v>531</v>
      </c>
      <c r="S38" s="6" t="s">
        <v>530</v>
      </c>
      <c r="U38" s="6" t="s">
        <v>131</v>
      </c>
      <c r="V38" s="6" t="s">
        <v>529</v>
      </c>
    </row>
    <row r="39" spans="1:27" ht="43.2" x14ac:dyDescent="0.3">
      <c r="A39" s="3" t="str">
        <f t="shared" si="0"/>
        <v>MCQ_CGT_P_SPLITYR_004</v>
      </c>
      <c r="B39" s="6" t="s">
        <v>28</v>
      </c>
      <c r="C39" s="6" t="s">
        <v>818</v>
      </c>
      <c r="D39" s="6" t="s">
        <v>428</v>
      </c>
      <c r="E39" s="6" t="s">
        <v>18</v>
      </c>
      <c r="F39" s="6">
        <v>3</v>
      </c>
      <c r="G39" s="6" t="s">
        <v>16</v>
      </c>
      <c r="H39" s="6" t="s">
        <v>17</v>
      </c>
      <c r="I39" s="6" t="s">
        <v>528</v>
      </c>
      <c r="J39" s="6" t="s">
        <v>430</v>
      </c>
      <c r="K39" s="6">
        <v>1</v>
      </c>
      <c r="L39" s="6" t="s">
        <v>431</v>
      </c>
      <c r="M39" s="3" t="str">
        <f>IF(B39="","","MCQ"&amp;"_"&amp;IFERROR(VLOOKUP(B39,LOOKUPS!$K$2:$L$9,2,FALSE),"UNK")&amp;"_"&amp;IFERROR(VLOOKUP(C39,LOOKUPS!$N$2:$O$10,2,FALSE),"UNK")&amp;"_"&amp;UPPER(L39))</f>
        <v>MCQ_CGT_P_SPLITYR</v>
      </c>
      <c r="N39" s="3">
        <f>IF(M39="","",COUNTIF($M$2:M39,M39))</f>
        <v>4</v>
      </c>
      <c r="O39" s="6" t="s">
        <v>831</v>
      </c>
      <c r="P39" s="6" t="s">
        <v>527</v>
      </c>
      <c r="Q39" s="6" t="s">
        <v>526</v>
      </c>
      <c r="R39" s="6" t="s">
        <v>525</v>
      </c>
      <c r="S39" s="6" t="s">
        <v>524</v>
      </c>
      <c r="U39" s="6" t="s">
        <v>223</v>
      </c>
      <c r="V39" s="6" t="s">
        <v>523</v>
      </c>
    </row>
    <row r="40" spans="1:27" ht="57.6" x14ac:dyDescent="0.3">
      <c r="A40" s="3" t="str">
        <f t="shared" si="0"/>
        <v>MCQ_CGT_REQ_SPLITYR_001</v>
      </c>
      <c r="B40" s="6" t="s">
        <v>28</v>
      </c>
      <c r="C40" s="6" t="s">
        <v>22</v>
      </c>
      <c r="D40" s="6" t="s">
        <v>428</v>
      </c>
      <c r="E40" s="6" t="s">
        <v>18</v>
      </c>
      <c r="F40" s="6">
        <v>3</v>
      </c>
      <c r="G40" s="6" t="s">
        <v>16</v>
      </c>
      <c r="H40" s="6" t="s">
        <v>17</v>
      </c>
      <c r="I40" s="6" t="s">
        <v>452</v>
      </c>
      <c r="J40" s="6" t="s">
        <v>430</v>
      </c>
      <c r="K40" s="6">
        <v>1</v>
      </c>
      <c r="L40" s="6" t="s">
        <v>431</v>
      </c>
      <c r="M40" s="3" t="str">
        <f>IF(B40="","","MCQ"&amp;"_"&amp;IFERROR(VLOOKUP(B40,LOOKUPS!$K$2:$L$9,2,FALSE),"UNK")&amp;"_"&amp;IFERROR(VLOOKUP(C40,LOOKUPS!$N$2:$O$10,2,FALSE),"UNK")&amp;"_"&amp;UPPER(L40))</f>
        <v>MCQ_CGT_REQ_SPLITYR</v>
      </c>
      <c r="N40" s="3">
        <f>IF(M40="","",COUNTIF($M$2:M40,M40))</f>
        <v>1</v>
      </c>
      <c r="O40" s="6" t="s">
        <v>522</v>
      </c>
      <c r="P40" s="6" t="s">
        <v>521</v>
      </c>
      <c r="Q40" s="6" t="s">
        <v>520</v>
      </c>
      <c r="R40" s="6" t="s">
        <v>519</v>
      </c>
      <c r="S40" s="6" t="s">
        <v>518</v>
      </c>
      <c r="U40" s="6" t="s">
        <v>225</v>
      </c>
      <c r="V40" s="6" t="s">
        <v>517</v>
      </c>
    </row>
    <row r="41" spans="1:27" ht="28.8" x14ac:dyDescent="0.3">
      <c r="A41" s="3" t="str">
        <f t="shared" si="0"/>
        <v>MCQ_CGT_REQ_SPLITYR_002</v>
      </c>
      <c r="B41" s="6" t="s">
        <v>28</v>
      </c>
      <c r="C41" s="6" t="s">
        <v>22</v>
      </c>
      <c r="D41" s="6" t="s">
        <v>428</v>
      </c>
      <c r="E41" s="6" t="s">
        <v>18</v>
      </c>
      <c r="F41" s="6">
        <v>3</v>
      </c>
      <c r="G41" s="6" t="s">
        <v>16</v>
      </c>
      <c r="H41" s="6" t="s">
        <v>17</v>
      </c>
      <c r="I41" s="6" t="s">
        <v>459</v>
      </c>
      <c r="J41" s="6" t="s">
        <v>430</v>
      </c>
      <c r="K41" s="6">
        <v>1</v>
      </c>
      <c r="L41" s="6" t="s">
        <v>431</v>
      </c>
      <c r="M41" s="3" t="str">
        <f>IF(B41="","","MCQ"&amp;"_"&amp;IFERROR(VLOOKUP(B41,LOOKUPS!$K$2:$L$9,2,FALSE),"UNK")&amp;"_"&amp;IFERROR(VLOOKUP(C41,LOOKUPS!$N$2:$O$10,2,FALSE),"UNK")&amp;"_"&amp;UPPER(L41))</f>
        <v>MCQ_CGT_REQ_SPLITYR</v>
      </c>
      <c r="N41" s="3">
        <f>IF(M41="","",COUNTIF($M$2:M41,M41))</f>
        <v>2</v>
      </c>
      <c r="O41" s="6" t="s">
        <v>832</v>
      </c>
      <c r="P41" s="6" t="s">
        <v>516</v>
      </c>
      <c r="Q41" s="6" t="s">
        <v>515</v>
      </c>
      <c r="R41" s="6" t="s">
        <v>514</v>
      </c>
      <c r="S41" s="6" t="s">
        <v>513</v>
      </c>
      <c r="U41" s="6" t="s">
        <v>223</v>
      </c>
      <c r="V41" s="6" t="s">
        <v>512</v>
      </c>
    </row>
    <row r="42" spans="1:27" ht="57.6" x14ac:dyDescent="0.3">
      <c r="A42" s="3" t="str">
        <f t="shared" si="0"/>
        <v>MCQ_CGT_P_SPLITYR_005</v>
      </c>
      <c r="B42" s="6" t="s">
        <v>28</v>
      </c>
      <c r="C42" s="6" t="s">
        <v>818</v>
      </c>
      <c r="D42" s="6" t="s">
        <v>428</v>
      </c>
      <c r="E42" s="6" t="s">
        <v>18</v>
      </c>
      <c r="F42" s="6">
        <v>3</v>
      </c>
      <c r="G42" s="6" t="s">
        <v>16</v>
      </c>
      <c r="H42" s="6" t="s">
        <v>17</v>
      </c>
      <c r="I42" s="6" t="s">
        <v>465</v>
      </c>
      <c r="J42" s="6" t="s">
        <v>430</v>
      </c>
      <c r="K42" s="6">
        <v>1</v>
      </c>
      <c r="L42" s="6" t="s">
        <v>431</v>
      </c>
      <c r="M42" s="3" t="str">
        <f>IF(B42="","","MCQ"&amp;"_"&amp;IFERROR(VLOOKUP(B42,LOOKUPS!$K$2:$L$9,2,FALSE),"UNK")&amp;"_"&amp;IFERROR(VLOOKUP(C42,LOOKUPS!$N$2:$O$10,2,FALSE),"UNK")&amp;"_"&amp;UPPER(L42))</f>
        <v>MCQ_CGT_P_SPLITYR</v>
      </c>
      <c r="N42" s="3">
        <f>IF(M42="","",COUNTIF($M$2:M42,M42))</f>
        <v>5</v>
      </c>
      <c r="O42" s="6" t="s">
        <v>833</v>
      </c>
      <c r="P42" s="6" t="s">
        <v>511</v>
      </c>
      <c r="Q42" s="6" t="s">
        <v>510</v>
      </c>
      <c r="R42" s="6" t="s">
        <v>509</v>
      </c>
      <c r="S42" s="6" t="s">
        <v>508</v>
      </c>
      <c r="U42" s="6" t="s">
        <v>225</v>
      </c>
      <c r="V42" s="6" t="s">
        <v>507</v>
      </c>
    </row>
    <row r="43" spans="1:27" customFormat="1" ht="86.4" x14ac:dyDescent="0.3">
      <c r="A43" s="3" t="str">
        <f t="shared" si="0"/>
        <v>MCQ_IHT_REQ_DOMICILE_001</v>
      </c>
      <c r="B43" s="6" t="s">
        <v>34</v>
      </c>
      <c r="C43" s="6" t="s">
        <v>22</v>
      </c>
      <c r="D43" s="6" t="s">
        <v>608</v>
      </c>
      <c r="E43" s="6" t="s">
        <v>18</v>
      </c>
      <c r="F43" s="6">
        <v>3</v>
      </c>
      <c r="G43" s="6" t="s">
        <v>16</v>
      </c>
      <c r="H43" s="6" t="s">
        <v>17</v>
      </c>
      <c r="I43" s="6" t="s">
        <v>589</v>
      </c>
      <c r="J43" s="6" t="s">
        <v>590</v>
      </c>
      <c r="K43" s="6">
        <v>1</v>
      </c>
      <c r="L43" s="6" t="s">
        <v>642</v>
      </c>
      <c r="M43" s="3" t="str">
        <f>IF(B43="","","MCQ"&amp;"_"&amp;IFERROR(VLOOKUP(B43,LOOKUPS!$K$2:$L$9,2,FALSE),"UNK")&amp;"_"&amp;IFERROR(VLOOKUP(C43,LOOKUPS!$N$2:$O$10,2,FALSE),"UNK")&amp;"_"&amp;UPPER(L43))</f>
        <v>MCQ_IHT_REQ_DOMICILE</v>
      </c>
      <c r="N43" s="3">
        <f>IF(M43="","",COUNTIF($M$2:M43,M43))</f>
        <v>1</v>
      </c>
      <c r="O43" s="6" t="s">
        <v>592</v>
      </c>
      <c r="P43" s="6" t="s">
        <v>609</v>
      </c>
      <c r="Q43" s="10" t="s">
        <v>610</v>
      </c>
      <c r="R43" s="10" t="s">
        <v>611</v>
      </c>
      <c r="S43" s="6" t="s">
        <v>612</v>
      </c>
      <c r="T43" s="6"/>
      <c r="U43" s="11" t="s">
        <v>225</v>
      </c>
      <c r="V43" s="6" t="s">
        <v>835</v>
      </c>
      <c r="X43" s="4"/>
      <c r="AA43" s="5"/>
    </row>
    <row r="44" spans="1:27" customFormat="1" ht="43.2" x14ac:dyDescent="0.3">
      <c r="A44" s="3" t="str">
        <f t="shared" si="0"/>
        <v>MCQ_IHT_REQ_DOMICILE_002</v>
      </c>
      <c r="B44" s="6" t="s">
        <v>34</v>
      </c>
      <c r="C44" s="6" t="s">
        <v>22</v>
      </c>
      <c r="D44" s="6" t="s">
        <v>608</v>
      </c>
      <c r="E44" s="6" t="s">
        <v>18</v>
      </c>
      <c r="F44" s="6">
        <v>3</v>
      </c>
      <c r="G44" s="6" t="s">
        <v>16</v>
      </c>
      <c r="H44" s="6" t="s">
        <v>17</v>
      </c>
      <c r="I44" s="6" t="s">
        <v>593</v>
      </c>
      <c r="J44" s="6" t="s">
        <v>590</v>
      </c>
      <c r="K44" s="6">
        <v>1</v>
      </c>
      <c r="L44" s="6" t="s">
        <v>642</v>
      </c>
      <c r="M44" s="3" t="str">
        <f>IF(B44="","","MCQ"&amp;"_"&amp;IFERROR(VLOOKUP(B44,LOOKUPS!$K$2:$L$9,2,FALSE),"UNK")&amp;"_"&amp;IFERROR(VLOOKUP(C44,LOOKUPS!$N$2:$O$10,2,FALSE),"UNK")&amp;"_"&amp;UPPER(L44))</f>
        <v>MCQ_IHT_REQ_DOMICILE</v>
      </c>
      <c r="N44" s="3">
        <f>IF(M44="","",COUNTIF($M$2:M44,M44))</f>
        <v>2</v>
      </c>
      <c r="O44" s="6" t="s">
        <v>836</v>
      </c>
      <c r="P44" s="6" t="s">
        <v>613</v>
      </c>
      <c r="Q44" s="11" t="s">
        <v>614</v>
      </c>
      <c r="R44" s="6" t="s">
        <v>615</v>
      </c>
      <c r="S44" s="6" t="s">
        <v>616</v>
      </c>
      <c r="T44" s="6"/>
      <c r="U44" s="6" t="s">
        <v>223</v>
      </c>
      <c r="V44" s="6" t="s">
        <v>617</v>
      </c>
    </row>
    <row r="45" spans="1:27" customFormat="1" ht="57.6" x14ac:dyDescent="0.3">
      <c r="A45" s="3" t="str">
        <f t="shared" si="0"/>
        <v>MCQ_IHT_REQ_DOMICILE_003</v>
      </c>
      <c r="B45" s="6" t="s">
        <v>34</v>
      </c>
      <c r="C45" s="6" t="s">
        <v>22</v>
      </c>
      <c r="D45" s="6" t="s">
        <v>608</v>
      </c>
      <c r="E45" s="6" t="s">
        <v>18</v>
      </c>
      <c r="F45" s="6">
        <v>3</v>
      </c>
      <c r="G45" s="6" t="s">
        <v>16</v>
      </c>
      <c r="H45" s="6" t="s">
        <v>17</v>
      </c>
      <c r="I45" s="6" t="s">
        <v>596</v>
      </c>
      <c r="J45" s="6" t="s">
        <v>590</v>
      </c>
      <c r="K45" s="6">
        <v>1</v>
      </c>
      <c r="L45" s="6" t="s">
        <v>642</v>
      </c>
      <c r="M45" s="3" t="str">
        <f>IF(B45="","","MCQ"&amp;"_"&amp;IFERROR(VLOOKUP(B45,LOOKUPS!$K$2:$L$9,2,FALSE),"UNK")&amp;"_"&amp;IFERROR(VLOOKUP(C45,LOOKUPS!$N$2:$O$10,2,FALSE),"UNK")&amp;"_"&amp;UPPER(L45))</f>
        <v>MCQ_IHT_REQ_DOMICILE</v>
      </c>
      <c r="N45" s="3">
        <f>IF(M45="","",COUNTIF($M$2:M45,M45))</f>
        <v>3</v>
      </c>
      <c r="O45" s="6" t="s">
        <v>597</v>
      </c>
      <c r="P45" s="6" t="s">
        <v>618</v>
      </c>
      <c r="Q45" s="11" t="s">
        <v>619</v>
      </c>
      <c r="R45" s="6" t="s">
        <v>620</v>
      </c>
      <c r="S45" s="6" t="s">
        <v>621</v>
      </c>
      <c r="T45" s="6"/>
      <c r="U45" s="6" t="s">
        <v>131</v>
      </c>
      <c r="V45" s="6" t="s">
        <v>622</v>
      </c>
    </row>
    <row r="46" spans="1:27" customFormat="1" ht="43.2" x14ac:dyDescent="0.3">
      <c r="A46" s="3" t="str">
        <f t="shared" si="0"/>
        <v>MCQ_IHT_REQ_DOMICILE_004</v>
      </c>
      <c r="B46" s="6" t="s">
        <v>34</v>
      </c>
      <c r="C46" s="6" t="s">
        <v>22</v>
      </c>
      <c r="D46" s="6" t="s">
        <v>608</v>
      </c>
      <c r="E46" s="6" t="s">
        <v>18</v>
      </c>
      <c r="F46" s="6">
        <v>3</v>
      </c>
      <c r="G46" s="6" t="s">
        <v>16</v>
      </c>
      <c r="H46" s="6" t="s">
        <v>17</v>
      </c>
      <c r="I46" s="6" t="s">
        <v>598</v>
      </c>
      <c r="J46" s="6" t="s">
        <v>590</v>
      </c>
      <c r="K46" s="6">
        <v>1</v>
      </c>
      <c r="L46" s="6" t="s">
        <v>642</v>
      </c>
      <c r="M46" s="3" t="str">
        <f>IF(B46="","","MCQ"&amp;"_"&amp;IFERROR(VLOOKUP(B46,LOOKUPS!$K$2:$L$9,2,FALSE),"UNK")&amp;"_"&amp;IFERROR(VLOOKUP(C46,LOOKUPS!$N$2:$O$10,2,FALSE),"UNK")&amp;"_"&amp;UPPER(L46))</f>
        <v>MCQ_IHT_REQ_DOMICILE</v>
      </c>
      <c r="N46" s="3">
        <f>IF(M46="","",COUNTIF($M$2:M46,M46))</f>
        <v>4</v>
      </c>
      <c r="O46" s="6" t="s">
        <v>599</v>
      </c>
      <c r="P46" s="6" t="s">
        <v>623</v>
      </c>
      <c r="Q46" s="6" t="s">
        <v>624</v>
      </c>
      <c r="R46" s="6" t="s">
        <v>625</v>
      </c>
      <c r="S46" s="6" t="s">
        <v>626</v>
      </c>
      <c r="T46" s="6"/>
      <c r="U46" s="6" t="s">
        <v>225</v>
      </c>
      <c r="V46" s="6" t="s">
        <v>627</v>
      </c>
    </row>
    <row r="47" spans="1:27" customFormat="1" ht="43.2" x14ac:dyDescent="0.3">
      <c r="A47" s="3" t="str">
        <f t="shared" si="0"/>
        <v>MCQ_IHT_REQ_DOMICILE_005</v>
      </c>
      <c r="B47" s="6" t="s">
        <v>34</v>
      </c>
      <c r="C47" s="6" t="s">
        <v>22</v>
      </c>
      <c r="D47" s="6" t="s">
        <v>608</v>
      </c>
      <c r="E47" s="6" t="s">
        <v>18</v>
      </c>
      <c r="F47" s="6">
        <v>3</v>
      </c>
      <c r="G47" s="6" t="s">
        <v>16</v>
      </c>
      <c r="H47" s="6" t="s">
        <v>17</v>
      </c>
      <c r="I47" s="6" t="s">
        <v>600</v>
      </c>
      <c r="J47" s="6" t="s">
        <v>590</v>
      </c>
      <c r="K47" s="6">
        <v>1</v>
      </c>
      <c r="L47" s="6" t="s">
        <v>642</v>
      </c>
      <c r="M47" s="3" t="str">
        <f>IF(B47="","","MCQ"&amp;"_"&amp;IFERROR(VLOOKUP(B47,LOOKUPS!$K$2:$L$9,2,FALSE),"UNK")&amp;"_"&amp;IFERROR(VLOOKUP(C47,LOOKUPS!$N$2:$O$10,2,FALSE),"UNK")&amp;"_"&amp;UPPER(L47))</f>
        <v>MCQ_IHT_REQ_DOMICILE</v>
      </c>
      <c r="N47" s="3">
        <f>IF(M47="","",COUNTIF($M$2:M47,M47))</f>
        <v>5</v>
      </c>
      <c r="O47" s="6" t="s">
        <v>628</v>
      </c>
      <c r="P47" s="6" t="s">
        <v>629</v>
      </c>
      <c r="Q47" s="11" t="s">
        <v>630</v>
      </c>
      <c r="R47" s="10" t="s">
        <v>631</v>
      </c>
      <c r="S47" s="6" t="s">
        <v>632</v>
      </c>
      <c r="T47" s="6"/>
      <c r="U47" s="6" t="s">
        <v>223</v>
      </c>
      <c r="V47" s="6" t="s">
        <v>633</v>
      </c>
    </row>
    <row r="48" spans="1:27" customFormat="1" ht="86.4" x14ac:dyDescent="0.3">
      <c r="A48" s="3" t="str">
        <f t="shared" si="0"/>
        <v>MCQ_IHT_REQ_DOMICILE_006</v>
      </c>
      <c r="B48" s="6" t="s">
        <v>34</v>
      </c>
      <c r="C48" s="6" t="s">
        <v>22</v>
      </c>
      <c r="D48" s="6" t="s">
        <v>608</v>
      </c>
      <c r="E48" s="6" t="s">
        <v>18</v>
      </c>
      <c r="F48" s="6">
        <v>3</v>
      </c>
      <c r="G48" s="6" t="s">
        <v>16</v>
      </c>
      <c r="H48" s="6" t="s">
        <v>17</v>
      </c>
      <c r="I48" s="6" t="s">
        <v>601</v>
      </c>
      <c r="J48" s="6" t="s">
        <v>590</v>
      </c>
      <c r="K48" s="6">
        <v>1</v>
      </c>
      <c r="L48" s="6" t="s">
        <v>642</v>
      </c>
      <c r="M48" s="3" t="str">
        <f>IF(B48="","","MCQ"&amp;"_"&amp;IFERROR(VLOOKUP(B48,LOOKUPS!$K$2:$L$9,2,FALSE),"UNK")&amp;"_"&amp;IFERROR(VLOOKUP(C48,LOOKUPS!$N$2:$O$10,2,FALSE),"UNK")&amp;"_"&amp;UPPER(L48))</f>
        <v>MCQ_IHT_REQ_DOMICILE</v>
      </c>
      <c r="N48" s="3">
        <f>IF(M48="","",COUNTIF($M$2:M48,M48))</f>
        <v>6</v>
      </c>
      <c r="O48" s="6" t="s">
        <v>837</v>
      </c>
      <c r="P48" s="10">
        <v>325000</v>
      </c>
      <c r="Q48" s="6" t="s">
        <v>838</v>
      </c>
      <c r="R48" s="6" t="s">
        <v>839</v>
      </c>
      <c r="S48" s="6" t="s">
        <v>840</v>
      </c>
      <c r="T48" s="6"/>
      <c r="U48" s="6" t="s">
        <v>225</v>
      </c>
      <c r="V48" s="6" t="s">
        <v>841</v>
      </c>
    </row>
    <row r="49" spans="1:27" customFormat="1" ht="72" x14ac:dyDescent="0.3">
      <c r="A49" s="3" t="str">
        <f t="shared" si="0"/>
        <v>MCQ_IHT_REQ_DOMICILE_007</v>
      </c>
      <c r="B49" s="6" t="s">
        <v>34</v>
      </c>
      <c r="C49" s="6" t="s">
        <v>22</v>
      </c>
      <c r="D49" s="6" t="s">
        <v>608</v>
      </c>
      <c r="E49" s="6" t="s">
        <v>18</v>
      </c>
      <c r="F49" s="6">
        <v>3</v>
      </c>
      <c r="G49" s="6" t="s">
        <v>16</v>
      </c>
      <c r="H49" s="6" t="s">
        <v>17</v>
      </c>
      <c r="I49" s="6" t="s">
        <v>602</v>
      </c>
      <c r="J49" s="6" t="s">
        <v>590</v>
      </c>
      <c r="K49" s="6">
        <v>1</v>
      </c>
      <c r="L49" s="6" t="s">
        <v>642</v>
      </c>
      <c r="M49" s="3" t="str">
        <f>IF(B49="","","MCQ"&amp;"_"&amp;IFERROR(VLOOKUP(B49,LOOKUPS!$K$2:$L$9,2,FALSE),"UNK")&amp;"_"&amp;IFERROR(VLOOKUP(C49,LOOKUPS!$N$2:$O$10,2,FALSE),"UNK")&amp;"_"&amp;UPPER(L49))</f>
        <v>MCQ_IHT_REQ_DOMICILE</v>
      </c>
      <c r="N49" s="3">
        <f>IF(M49="","",COUNTIF($M$2:M49,M49))</f>
        <v>7</v>
      </c>
      <c r="O49" s="6" t="s">
        <v>634</v>
      </c>
      <c r="P49" s="6" t="s">
        <v>603</v>
      </c>
      <c r="Q49" s="11" t="s">
        <v>604</v>
      </c>
      <c r="R49" s="11" t="s">
        <v>605</v>
      </c>
      <c r="S49" s="6" t="s">
        <v>635</v>
      </c>
      <c r="T49" s="6"/>
      <c r="U49" s="6" t="s">
        <v>131</v>
      </c>
      <c r="V49" s="6" t="s">
        <v>636</v>
      </c>
    </row>
    <row r="50" spans="1:27" customFormat="1" ht="28.8" x14ac:dyDescent="0.3">
      <c r="A50" s="3" t="str">
        <f t="shared" si="0"/>
        <v>MCQ_IHT_REQ_DOMICILE_008</v>
      </c>
      <c r="B50" s="6" t="s">
        <v>34</v>
      </c>
      <c r="C50" s="6" t="s">
        <v>22</v>
      </c>
      <c r="D50" s="6" t="s">
        <v>608</v>
      </c>
      <c r="E50" s="6" t="s">
        <v>18</v>
      </c>
      <c r="F50" s="6">
        <v>3</v>
      </c>
      <c r="G50" s="6" t="s">
        <v>16</v>
      </c>
      <c r="H50" s="6" t="s">
        <v>17</v>
      </c>
      <c r="I50" s="6" t="s">
        <v>606</v>
      </c>
      <c r="J50" s="6" t="s">
        <v>590</v>
      </c>
      <c r="K50" s="6">
        <v>1</v>
      </c>
      <c r="L50" s="6" t="s">
        <v>642</v>
      </c>
      <c r="M50" s="3" t="str">
        <f>IF(B50="","","MCQ"&amp;"_"&amp;IFERROR(VLOOKUP(B50,LOOKUPS!$K$2:$L$9,2,FALSE),"UNK")&amp;"_"&amp;IFERROR(VLOOKUP(C50,LOOKUPS!$N$2:$O$10,2,FALSE),"UNK")&amp;"_"&amp;UPPER(L50))</f>
        <v>MCQ_IHT_REQ_DOMICILE</v>
      </c>
      <c r="N50" s="3">
        <f>IF(M50="","",COUNTIF($M$2:M50,M50))</f>
        <v>8</v>
      </c>
      <c r="O50" s="6" t="s">
        <v>834</v>
      </c>
      <c r="P50" s="6" t="s">
        <v>637</v>
      </c>
      <c r="Q50" s="6" t="s">
        <v>638</v>
      </c>
      <c r="R50" s="6" t="s">
        <v>639</v>
      </c>
      <c r="S50" s="6" t="s">
        <v>640</v>
      </c>
      <c r="T50" s="6"/>
      <c r="U50" s="6" t="s">
        <v>223</v>
      </c>
      <c r="V50" s="6" t="s">
        <v>641</v>
      </c>
    </row>
    <row r="51" spans="1:27" customFormat="1" x14ac:dyDescent="0.3">
      <c r="A51" s="3" t="str">
        <f t="shared" si="0"/>
        <v>MCQ_ITNIC_CALC_DISALLOW_001</v>
      </c>
      <c r="B51" t="s">
        <v>21</v>
      </c>
      <c r="C51" t="s">
        <v>40</v>
      </c>
      <c r="D51" t="s">
        <v>868</v>
      </c>
      <c r="E51" t="s">
        <v>18</v>
      </c>
      <c r="F51">
        <v>3</v>
      </c>
      <c r="G51" t="s">
        <v>16</v>
      </c>
      <c r="H51" t="s">
        <v>17</v>
      </c>
      <c r="I51" t="s">
        <v>869</v>
      </c>
      <c r="J51" t="s">
        <v>870</v>
      </c>
      <c r="K51">
        <v>1</v>
      </c>
      <c r="L51" t="s">
        <v>871</v>
      </c>
      <c r="M51" s="3" t="str">
        <f>IF(B51="","","MCQ"&amp;"_"&amp;IFERROR(VLOOKUP(B51,LOOKUPS!$K$2:$L$9,2,FALSE),"UNK")&amp;"_"&amp;IFERROR(VLOOKUP(C51,LOOKUPS!$N$2:$O$10,2,FALSE),"UNK")&amp;"_"&amp;UPPER(L51))</f>
        <v>MCQ_ITNIC_CALC_DISALLOW</v>
      </c>
      <c r="N51" s="3">
        <f>IF(M51="","",COUNTIF($M$2:M51,M51))</f>
        <v>1</v>
      </c>
      <c r="O51" t="s">
        <v>872</v>
      </c>
      <c r="P51" t="s">
        <v>873</v>
      </c>
      <c r="Q51" s="4" t="s">
        <v>911</v>
      </c>
      <c r="R51" s="4" t="s">
        <v>874</v>
      </c>
      <c r="S51" t="s">
        <v>875</v>
      </c>
      <c r="T51" t="s">
        <v>876</v>
      </c>
      <c r="U51" s="5" t="s">
        <v>223</v>
      </c>
      <c r="V51" t="s">
        <v>877</v>
      </c>
      <c r="X51" s="4"/>
      <c r="AA51" s="5"/>
    </row>
    <row r="52" spans="1:27" customFormat="1" x14ac:dyDescent="0.3">
      <c r="A52" s="3" t="str">
        <f t="shared" si="0"/>
        <v>MCQ_ITNIC_CALC_DISALLOW_002</v>
      </c>
      <c r="B52" t="s">
        <v>21</v>
      </c>
      <c r="C52" t="s">
        <v>40</v>
      </c>
      <c r="D52" t="s">
        <v>868</v>
      </c>
      <c r="E52" t="s">
        <v>18</v>
      </c>
      <c r="F52">
        <v>3</v>
      </c>
      <c r="G52" t="s">
        <v>16</v>
      </c>
      <c r="H52" t="s">
        <v>17</v>
      </c>
      <c r="I52" t="s">
        <v>878</v>
      </c>
      <c r="J52" t="s">
        <v>870</v>
      </c>
      <c r="K52">
        <v>1</v>
      </c>
      <c r="L52" t="s">
        <v>871</v>
      </c>
      <c r="M52" s="3" t="str">
        <f>IF(B52="","","MCQ"&amp;"_"&amp;IFERROR(VLOOKUP(B52,LOOKUPS!$K$2:$L$9,2,FALSE),"UNK")&amp;"_"&amp;IFERROR(VLOOKUP(C52,LOOKUPS!$N$2:$O$10,2,FALSE),"UNK")&amp;"_"&amp;UPPER(L52))</f>
        <v>MCQ_ITNIC_CALC_DISALLOW</v>
      </c>
      <c r="N52" s="3">
        <f>IF(M52="","",COUNTIF($M$2:M52,M52))</f>
        <v>2</v>
      </c>
      <c r="O52" t="s">
        <v>879</v>
      </c>
      <c r="P52" t="s">
        <v>880</v>
      </c>
      <c r="Q52" s="5" t="s">
        <v>881</v>
      </c>
      <c r="R52" t="s">
        <v>882</v>
      </c>
      <c r="S52" t="s">
        <v>883</v>
      </c>
      <c r="T52" t="s">
        <v>912</v>
      </c>
      <c r="U52" t="s">
        <v>226</v>
      </c>
      <c r="V52" t="s">
        <v>884</v>
      </c>
    </row>
    <row r="53" spans="1:27" customFormat="1" x14ac:dyDescent="0.3">
      <c r="A53" s="3" t="str">
        <f t="shared" si="0"/>
        <v>MCQ_ITNIC_CALC_DISALLOW_003</v>
      </c>
      <c r="B53" t="s">
        <v>21</v>
      </c>
      <c r="C53" t="s">
        <v>40</v>
      </c>
      <c r="D53" t="s">
        <v>868</v>
      </c>
      <c r="E53" t="s">
        <v>18</v>
      </c>
      <c r="F53">
        <v>3</v>
      </c>
      <c r="G53" t="s">
        <v>16</v>
      </c>
      <c r="H53" t="s">
        <v>17</v>
      </c>
      <c r="I53" t="s">
        <v>885</v>
      </c>
      <c r="J53" t="s">
        <v>870</v>
      </c>
      <c r="K53">
        <v>1</v>
      </c>
      <c r="L53" t="s">
        <v>871</v>
      </c>
      <c r="M53" s="3" t="str">
        <f>IF(B53="","","MCQ"&amp;"_"&amp;IFERROR(VLOOKUP(B53,LOOKUPS!$K$2:$L$9,2,FALSE),"UNK")&amp;"_"&amp;IFERROR(VLOOKUP(C53,LOOKUPS!$N$2:$O$10,2,FALSE),"UNK")&amp;"_"&amp;UPPER(L53))</f>
        <v>MCQ_ITNIC_CALC_DISALLOW</v>
      </c>
      <c r="N53" s="3">
        <f>IF(M53="","",COUNTIF($M$2:M53,M53))</f>
        <v>3</v>
      </c>
      <c r="O53" t="s">
        <v>886</v>
      </c>
      <c r="P53" t="s">
        <v>914</v>
      </c>
      <c r="Q53" s="5" t="s">
        <v>915</v>
      </c>
      <c r="R53" t="s">
        <v>887</v>
      </c>
      <c r="S53" t="s">
        <v>888</v>
      </c>
      <c r="T53" t="s">
        <v>913</v>
      </c>
      <c r="U53" t="s">
        <v>223</v>
      </c>
      <c r="V53" t="s">
        <v>889</v>
      </c>
    </row>
    <row r="54" spans="1:27" customFormat="1" x14ac:dyDescent="0.3">
      <c r="A54" s="3" t="str">
        <f t="shared" si="0"/>
        <v>MCQ_ITNIC_CALC_DISALLOW_004</v>
      </c>
      <c r="B54" t="s">
        <v>21</v>
      </c>
      <c r="C54" t="s">
        <v>40</v>
      </c>
      <c r="D54" t="s">
        <v>868</v>
      </c>
      <c r="E54" t="s">
        <v>18</v>
      </c>
      <c r="F54">
        <v>3</v>
      </c>
      <c r="G54" t="s">
        <v>16</v>
      </c>
      <c r="H54" t="s">
        <v>17</v>
      </c>
      <c r="I54" t="s">
        <v>890</v>
      </c>
      <c r="J54" t="s">
        <v>870</v>
      </c>
      <c r="K54">
        <v>1</v>
      </c>
      <c r="L54" t="s">
        <v>871</v>
      </c>
      <c r="M54" s="3" t="str">
        <f>IF(B54="","","MCQ"&amp;"_"&amp;IFERROR(VLOOKUP(B54,LOOKUPS!$K$2:$L$9,2,FALSE),"UNK")&amp;"_"&amp;IFERROR(VLOOKUP(C54,LOOKUPS!$N$2:$O$10,2,FALSE),"UNK")&amp;"_"&amp;UPPER(L54))</f>
        <v>MCQ_ITNIC_CALC_DISALLOW</v>
      </c>
      <c r="N54" s="3">
        <f>IF(M54="","",COUNTIF($M$2:M54,M54))</f>
        <v>4</v>
      </c>
      <c r="O54" t="s">
        <v>891</v>
      </c>
      <c r="P54" t="s">
        <v>892</v>
      </c>
      <c r="Q54" t="s">
        <v>893</v>
      </c>
      <c r="R54" t="s">
        <v>917</v>
      </c>
      <c r="S54" t="s">
        <v>916</v>
      </c>
      <c r="T54" t="s">
        <v>894</v>
      </c>
      <c r="U54" t="s">
        <v>225</v>
      </c>
      <c r="V54" t="s">
        <v>895</v>
      </c>
    </row>
    <row r="55" spans="1:27" customFormat="1" x14ac:dyDescent="0.3">
      <c r="A55" s="3" t="str">
        <f t="shared" si="0"/>
        <v>MCQ_ITNIC_CALC_DISALLOW_005</v>
      </c>
      <c r="B55" t="s">
        <v>21</v>
      </c>
      <c r="C55" t="s">
        <v>40</v>
      </c>
      <c r="D55" t="s">
        <v>868</v>
      </c>
      <c r="E55" t="s">
        <v>18</v>
      </c>
      <c r="F55">
        <v>3</v>
      </c>
      <c r="G55" t="s">
        <v>16</v>
      </c>
      <c r="H55" t="s">
        <v>17</v>
      </c>
      <c r="I55" t="s">
        <v>896</v>
      </c>
      <c r="J55" t="s">
        <v>870</v>
      </c>
      <c r="K55">
        <v>1</v>
      </c>
      <c r="L55" t="s">
        <v>871</v>
      </c>
      <c r="M55" s="3" t="str">
        <f>IF(B55="","","MCQ"&amp;"_"&amp;IFERROR(VLOOKUP(B55,LOOKUPS!$K$2:$L$9,2,FALSE),"UNK")&amp;"_"&amp;IFERROR(VLOOKUP(C55,LOOKUPS!$N$2:$O$10,2,FALSE),"UNK")&amp;"_"&amp;UPPER(L55))</f>
        <v>MCQ_ITNIC_CALC_DISALLOW</v>
      </c>
      <c r="N55" s="3">
        <f>IF(M55="","",COUNTIF($M$2:M55,M55))</f>
        <v>5</v>
      </c>
      <c r="O55" t="s">
        <v>918</v>
      </c>
      <c r="P55" s="4" t="s">
        <v>898</v>
      </c>
      <c r="Q55" s="5" t="s">
        <v>897</v>
      </c>
      <c r="R55" t="s">
        <v>919</v>
      </c>
      <c r="S55" t="s">
        <v>899</v>
      </c>
      <c r="T55" t="s">
        <v>900</v>
      </c>
      <c r="U55" t="s">
        <v>131</v>
      </c>
      <c r="V55" t="s">
        <v>920</v>
      </c>
    </row>
    <row r="56" spans="1:27" customFormat="1" x14ac:dyDescent="0.3">
      <c r="A56" s="3" t="str">
        <f t="shared" si="0"/>
        <v>MCQ_ITNIC_CALC_DISALLOW_006</v>
      </c>
      <c r="B56" t="s">
        <v>21</v>
      </c>
      <c r="C56" t="s">
        <v>40</v>
      </c>
      <c r="D56" t="s">
        <v>868</v>
      </c>
      <c r="E56" t="s">
        <v>18</v>
      </c>
      <c r="F56">
        <v>3</v>
      </c>
      <c r="G56" t="s">
        <v>16</v>
      </c>
      <c r="H56" t="s">
        <v>17</v>
      </c>
      <c r="I56" t="s">
        <v>901</v>
      </c>
      <c r="J56" t="s">
        <v>870</v>
      </c>
      <c r="K56">
        <v>1</v>
      </c>
      <c r="L56" t="s">
        <v>871</v>
      </c>
      <c r="M56" s="3" t="str">
        <f>IF(B56="","","MCQ"&amp;"_"&amp;IFERROR(VLOOKUP(B56,LOOKUPS!$K$2:$L$9,2,FALSE),"UNK")&amp;"_"&amp;IFERROR(VLOOKUP(C56,LOOKUPS!$N$2:$O$10,2,FALSE),"UNK")&amp;"_"&amp;UPPER(L56))</f>
        <v>MCQ_ITNIC_CALC_DISALLOW</v>
      </c>
      <c r="N56" s="3">
        <f>IF(M56="","",COUNTIF($M$2:M56,M56))</f>
        <v>6</v>
      </c>
      <c r="O56" t="s">
        <v>902</v>
      </c>
      <c r="P56" t="s">
        <v>903</v>
      </c>
      <c r="Q56" t="s">
        <v>904</v>
      </c>
      <c r="R56" t="s">
        <v>905</v>
      </c>
      <c r="S56" t="s">
        <v>906</v>
      </c>
      <c r="T56" t="s">
        <v>921</v>
      </c>
      <c r="U56" t="s">
        <v>225</v>
      </c>
      <c r="V56" t="s">
        <v>907</v>
      </c>
    </row>
    <row r="57" spans="1:27" customFormat="1" x14ac:dyDescent="0.3">
      <c r="A57" s="3" t="str">
        <f t="shared" si="0"/>
        <v>MCQ_ITNIC_CALC_DISALLOW_007</v>
      </c>
      <c r="B57" t="s">
        <v>21</v>
      </c>
      <c r="C57" t="s">
        <v>40</v>
      </c>
      <c r="D57" t="s">
        <v>868</v>
      </c>
      <c r="E57" t="s">
        <v>18</v>
      </c>
      <c r="F57">
        <v>3</v>
      </c>
      <c r="G57" t="s">
        <v>16</v>
      </c>
      <c r="H57" t="s">
        <v>17</v>
      </c>
      <c r="I57" t="s">
        <v>908</v>
      </c>
      <c r="J57" t="s">
        <v>870</v>
      </c>
      <c r="K57">
        <v>1</v>
      </c>
      <c r="L57" t="s">
        <v>871</v>
      </c>
      <c r="M57" s="3" t="str">
        <f>IF(B57="","","MCQ"&amp;"_"&amp;IFERROR(VLOOKUP(B57,LOOKUPS!$K$2:$L$9,2,FALSE),"UNK")&amp;"_"&amp;IFERROR(VLOOKUP(C57,LOOKUPS!$N$2:$O$10,2,FALSE),"UNK")&amp;"_"&amp;UPPER(L57))</f>
        <v>MCQ_ITNIC_CALC_DISALLOW</v>
      </c>
      <c r="N57" s="3">
        <f>IF(M57="","",COUNTIF($M$2:M57,M57))</f>
        <v>7</v>
      </c>
      <c r="O57" t="s">
        <v>925</v>
      </c>
      <c r="P57" t="s">
        <v>922</v>
      </c>
      <c r="Q57" s="4">
        <v>12570</v>
      </c>
      <c r="R57" s="5" t="s">
        <v>924</v>
      </c>
      <c r="S57" s="4" t="s">
        <v>923</v>
      </c>
      <c r="T57" t="s">
        <v>926</v>
      </c>
      <c r="U57" t="s">
        <v>226</v>
      </c>
      <c r="V57" t="s">
        <v>927</v>
      </c>
    </row>
    <row r="58" spans="1:27" customFormat="1" x14ac:dyDescent="0.3">
      <c r="A58" s="3" t="str">
        <f t="shared" si="0"/>
        <v>MCQ_ITNIC_CALC_DISALLOW_008</v>
      </c>
      <c r="B58" t="s">
        <v>21</v>
      </c>
      <c r="C58" t="s">
        <v>40</v>
      </c>
      <c r="D58" t="s">
        <v>868</v>
      </c>
      <c r="E58" t="s">
        <v>18</v>
      </c>
      <c r="F58">
        <v>3</v>
      </c>
      <c r="G58" t="s">
        <v>16</v>
      </c>
      <c r="H58" t="s">
        <v>17</v>
      </c>
      <c r="I58" t="s">
        <v>909</v>
      </c>
      <c r="J58" t="s">
        <v>870</v>
      </c>
      <c r="K58">
        <v>1</v>
      </c>
      <c r="L58" t="s">
        <v>871</v>
      </c>
      <c r="M58" s="3" t="str">
        <f>IF(B58="","","MCQ"&amp;"_"&amp;IFERROR(VLOOKUP(B58,LOOKUPS!$K$2:$L$9,2,FALSE),"UNK")&amp;"_"&amp;IFERROR(VLOOKUP(C58,LOOKUPS!$N$2:$O$10,2,FALSE),"UNK")&amp;"_"&amp;UPPER(L58))</f>
        <v>MCQ_ITNIC_CALC_DISALLOW</v>
      </c>
      <c r="N58" s="3">
        <f>IF(M58="","",COUNTIF($M$2:M58,M58))</f>
        <v>8</v>
      </c>
      <c r="O58" t="s">
        <v>928</v>
      </c>
      <c r="P58" t="s">
        <v>929</v>
      </c>
      <c r="Q58" t="s">
        <v>930</v>
      </c>
      <c r="R58" t="s">
        <v>931</v>
      </c>
      <c r="S58" t="s">
        <v>934</v>
      </c>
      <c r="T58" t="s">
        <v>933</v>
      </c>
      <c r="U58" t="s">
        <v>223</v>
      </c>
      <c r="V58" t="s">
        <v>932</v>
      </c>
    </row>
    <row r="59" spans="1:27" customFormat="1" x14ac:dyDescent="0.3">
      <c r="A59" s="3" t="str">
        <f t="shared" si="0"/>
        <v>MCQ_ITNIC_CALC_DISALLOW_009</v>
      </c>
      <c r="B59" t="s">
        <v>21</v>
      </c>
      <c r="C59" t="s">
        <v>40</v>
      </c>
      <c r="D59" t="s">
        <v>868</v>
      </c>
      <c r="E59" t="s">
        <v>18</v>
      </c>
      <c r="F59">
        <v>3</v>
      </c>
      <c r="G59" t="s">
        <v>16</v>
      </c>
      <c r="H59" t="s">
        <v>17</v>
      </c>
      <c r="I59" t="s">
        <v>910</v>
      </c>
      <c r="J59" t="s">
        <v>870</v>
      </c>
      <c r="K59">
        <v>1</v>
      </c>
      <c r="L59" t="s">
        <v>871</v>
      </c>
      <c r="M59" s="3" t="str">
        <f>IF(B59="","","MCQ"&amp;"_"&amp;IFERROR(VLOOKUP(B59,LOOKUPS!$K$2:$L$9,2,FALSE),"UNK")&amp;"_"&amp;IFERROR(VLOOKUP(C59,LOOKUPS!$N$2:$O$10,2,FALSE),"UNK")&amp;"_"&amp;UPPER(L59))</f>
        <v>MCQ_ITNIC_CALC_DISALLOW</v>
      </c>
      <c r="N59" s="3">
        <f>IF(M59="","",COUNTIF($M$2:M59,M59))</f>
        <v>9</v>
      </c>
      <c r="O59" t="s">
        <v>935</v>
      </c>
      <c r="P59" t="s">
        <v>937</v>
      </c>
      <c r="Q59" t="s">
        <v>938</v>
      </c>
      <c r="R59" t="s">
        <v>939</v>
      </c>
      <c r="S59" t="s">
        <v>940</v>
      </c>
      <c r="T59" t="s">
        <v>936</v>
      </c>
      <c r="U59" t="s">
        <v>224</v>
      </c>
      <c r="V59" t="s">
        <v>941</v>
      </c>
    </row>
    <row r="60" spans="1:27" ht="25.2" customHeight="1" x14ac:dyDescent="0.3">
      <c r="A60" s="3" t="str">
        <f t="shared" si="0"/>
        <v>MCQ_ITNIC_DEF_BADGES_001</v>
      </c>
      <c r="B60" s="6" t="s">
        <v>21</v>
      </c>
      <c r="C60" s="6" t="s">
        <v>15</v>
      </c>
      <c r="D60" s="6" t="s">
        <v>970</v>
      </c>
      <c r="E60" s="6" t="s">
        <v>18</v>
      </c>
      <c r="F60" s="6">
        <v>3</v>
      </c>
      <c r="G60" s="6" t="s">
        <v>16</v>
      </c>
      <c r="H60" s="6" t="s">
        <v>17</v>
      </c>
      <c r="I60" s="6" t="s">
        <v>971</v>
      </c>
      <c r="J60" s="6" t="s">
        <v>870</v>
      </c>
      <c r="K60" s="6">
        <v>1</v>
      </c>
      <c r="L60" s="6" t="s">
        <v>972</v>
      </c>
      <c r="M60" s="3" t="str">
        <f>IF(B60="","","MCQ"&amp;"_"&amp;IFERROR(VLOOKUP(B60,LOOKUPS!$K$2:$L$9,2,FALSE),"UNK")&amp;"_"&amp;IFERROR(VLOOKUP(C60,LOOKUPS!$N$2:$O$10,2,FALSE),"UNK")&amp;"_"&amp;UPPER(L60))</f>
        <v>MCQ_ITNIC_DEF_BADGES</v>
      </c>
      <c r="N60" s="3">
        <f>IF(M60="","",COUNTIF($M$2:M60,M60))</f>
        <v>1</v>
      </c>
      <c r="O60" s="6" t="s">
        <v>973</v>
      </c>
      <c r="P60" s="6" t="s">
        <v>974</v>
      </c>
      <c r="Q60" s="10" t="s">
        <v>975</v>
      </c>
      <c r="R60" s="10" t="s">
        <v>976</v>
      </c>
      <c r="S60" s="6" t="s">
        <v>977</v>
      </c>
      <c r="T60" s="6" t="s">
        <v>978</v>
      </c>
      <c r="U60" s="11" t="s">
        <v>225</v>
      </c>
      <c r="V60" s="6" t="s">
        <v>979</v>
      </c>
      <c r="X60" s="10"/>
      <c r="AA60" s="11"/>
    </row>
    <row r="61" spans="1:27" ht="25.2" customHeight="1" x14ac:dyDescent="0.3">
      <c r="A61" s="3" t="str">
        <f t="shared" si="0"/>
        <v>MCQ_ITNIC_DEF_BADGES_002</v>
      </c>
      <c r="B61" s="6" t="s">
        <v>21</v>
      </c>
      <c r="C61" s="6" t="s">
        <v>15</v>
      </c>
      <c r="D61" s="6" t="s">
        <v>970</v>
      </c>
      <c r="E61" s="6" t="s">
        <v>18</v>
      </c>
      <c r="F61" s="6">
        <v>3</v>
      </c>
      <c r="G61" s="6" t="s">
        <v>16</v>
      </c>
      <c r="H61" s="6" t="s">
        <v>17</v>
      </c>
      <c r="I61" s="6" t="s">
        <v>980</v>
      </c>
      <c r="J61" s="6" t="s">
        <v>870</v>
      </c>
      <c r="K61" s="6">
        <v>1</v>
      </c>
      <c r="L61" s="6" t="s">
        <v>972</v>
      </c>
      <c r="M61" s="3" t="str">
        <f>IF(B61="","","MCQ"&amp;"_"&amp;IFERROR(VLOOKUP(B61,LOOKUPS!$K$2:$L$9,2,FALSE),"UNK")&amp;"_"&amp;IFERROR(VLOOKUP(C61,LOOKUPS!$N$2:$O$10,2,FALSE),"UNK")&amp;"_"&amp;UPPER(L61))</f>
        <v>MCQ_ITNIC_DEF_BADGES</v>
      </c>
      <c r="N61" s="3">
        <f>IF(M61="","",COUNTIF($M$2:M61,M61))</f>
        <v>2</v>
      </c>
      <c r="O61" s="6" t="s">
        <v>981</v>
      </c>
      <c r="P61" s="6" t="s">
        <v>982</v>
      </c>
      <c r="Q61" s="11" t="s">
        <v>976</v>
      </c>
      <c r="R61" s="6" t="s">
        <v>978</v>
      </c>
      <c r="S61" s="6" t="s">
        <v>983</v>
      </c>
      <c r="T61" s="6" t="s">
        <v>975</v>
      </c>
      <c r="U61" s="6" t="s">
        <v>223</v>
      </c>
      <c r="V61" s="6" t="s">
        <v>984</v>
      </c>
    </row>
    <row r="62" spans="1:27" ht="25.2" customHeight="1" x14ac:dyDescent="0.3">
      <c r="A62" s="3" t="str">
        <f t="shared" si="0"/>
        <v>MCQ_ITNIC_DEF_BADGES_003</v>
      </c>
      <c r="B62" s="6" t="s">
        <v>21</v>
      </c>
      <c r="C62" s="6" t="s">
        <v>15</v>
      </c>
      <c r="D62" s="6" t="s">
        <v>970</v>
      </c>
      <c r="E62" s="6" t="s">
        <v>18</v>
      </c>
      <c r="F62" s="6">
        <v>3</v>
      </c>
      <c r="G62" s="6" t="s">
        <v>16</v>
      </c>
      <c r="H62" s="6" t="s">
        <v>17</v>
      </c>
      <c r="I62" s="6" t="s">
        <v>989</v>
      </c>
      <c r="J62" s="6" t="s">
        <v>870</v>
      </c>
      <c r="K62" s="6">
        <v>1</v>
      </c>
      <c r="L62" s="6" t="s">
        <v>972</v>
      </c>
      <c r="M62" s="3" t="str">
        <f>IF(B62="","","MCQ"&amp;"_"&amp;IFERROR(VLOOKUP(B62,LOOKUPS!$K$2:$L$9,2,FALSE),"UNK")&amp;"_"&amp;IFERROR(VLOOKUP(C62,LOOKUPS!$N$2:$O$10,2,FALSE),"UNK")&amp;"_"&amp;UPPER(L62))</f>
        <v>MCQ_ITNIC_DEF_BADGES</v>
      </c>
      <c r="N62" s="3">
        <f>IF(M62="","",COUNTIF($M$2:M62,M62))</f>
        <v>3</v>
      </c>
      <c r="O62" s="6" t="s">
        <v>990</v>
      </c>
      <c r="P62" s="6" t="s">
        <v>991</v>
      </c>
      <c r="Q62" s="6" t="s">
        <v>975</v>
      </c>
      <c r="R62" s="6" t="s">
        <v>987</v>
      </c>
      <c r="S62" s="6" t="s">
        <v>976</v>
      </c>
      <c r="T62" s="6" t="s">
        <v>977</v>
      </c>
      <c r="U62" s="6" t="s">
        <v>131</v>
      </c>
      <c r="V62" s="6" t="s">
        <v>992</v>
      </c>
    </row>
    <row r="63" spans="1:27" ht="25.2" customHeight="1" x14ac:dyDescent="0.3">
      <c r="A63" s="3" t="str">
        <f t="shared" si="0"/>
        <v>MCQ_ITNIC_DEF_BADGES_004</v>
      </c>
      <c r="B63" s="6" t="s">
        <v>21</v>
      </c>
      <c r="C63" s="6" t="s">
        <v>15</v>
      </c>
      <c r="D63" s="6" t="s">
        <v>970</v>
      </c>
      <c r="E63" s="6" t="s">
        <v>18</v>
      </c>
      <c r="F63" s="6">
        <v>3</v>
      </c>
      <c r="G63" s="6" t="s">
        <v>16</v>
      </c>
      <c r="H63" s="6" t="s">
        <v>17</v>
      </c>
      <c r="I63" s="6" t="s">
        <v>997</v>
      </c>
      <c r="J63" s="6" t="s">
        <v>870</v>
      </c>
      <c r="K63" s="6">
        <v>1</v>
      </c>
      <c r="L63" s="6" t="s">
        <v>972</v>
      </c>
      <c r="M63" s="3" t="str">
        <f>IF(B63="","","MCQ"&amp;"_"&amp;IFERROR(VLOOKUP(B63,LOOKUPS!$K$2:$L$9,2,FALSE),"UNK")&amp;"_"&amp;IFERROR(VLOOKUP(C63,LOOKUPS!$N$2:$O$10,2,FALSE),"UNK")&amp;"_"&amp;UPPER(L63))</f>
        <v>MCQ_ITNIC_DEF_BADGES</v>
      </c>
      <c r="N63" s="3">
        <f>IF(M63="","",COUNTIF($M$2:M63,M63))</f>
        <v>4</v>
      </c>
      <c r="O63" s="6" t="s">
        <v>998</v>
      </c>
      <c r="P63" s="6" t="s">
        <v>976</v>
      </c>
      <c r="Q63" s="10" t="s">
        <v>975</v>
      </c>
      <c r="R63" s="11" t="s">
        <v>977</v>
      </c>
      <c r="S63" s="10" t="s">
        <v>987</v>
      </c>
      <c r="T63" s="6" t="s">
        <v>982</v>
      </c>
      <c r="U63" s="6" t="s">
        <v>223</v>
      </c>
      <c r="V63" s="6" t="s">
        <v>999</v>
      </c>
    </row>
    <row r="64" spans="1:27" ht="25.2" customHeight="1" x14ac:dyDescent="0.3">
      <c r="A64" s="3" t="str">
        <f t="shared" si="0"/>
        <v>MCQ_ITNIC_DEF_BADGES_005</v>
      </c>
      <c r="B64" s="6" t="s">
        <v>21</v>
      </c>
      <c r="C64" s="6" t="s">
        <v>15</v>
      </c>
      <c r="D64" s="6" t="s">
        <v>970</v>
      </c>
      <c r="E64" s="6" t="s">
        <v>18</v>
      </c>
      <c r="F64" s="6">
        <v>3</v>
      </c>
      <c r="G64" s="6" t="s">
        <v>16</v>
      </c>
      <c r="H64" s="6" t="s">
        <v>17</v>
      </c>
      <c r="I64" s="6" t="s">
        <v>1000</v>
      </c>
      <c r="J64" s="6" t="s">
        <v>870</v>
      </c>
      <c r="K64" s="6">
        <v>1</v>
      </c>
      <c r="L64" s="6" t="s">
        <v>972</v>
      </c>
      <c r="M64" s="3" t="str">
        <f>IF(B64="","","MCQ"&amp;"_"&amp;IFERROR(VLOOKUP(B64,LOOKUPS!$K$2:$L$9,2,FALSE),"UNK")&amp;"_"&amp;IFERROR(VLOOKUP(C64,LOOKUPS!$N$2:$O$10,2,FALSE),"UNK")&amp;"_"&amp;UPPER(L64))</f>
        <v>MCQ_ITNIC_DEF_BADGES</v>
      </c>
      <c r="N64" s="3">
        <f>IF(M64="","",COUNTIF($M$2:M64,M64))</f>
        <v>5</v>
      </c>
      <c r="O64" s="6" t="s">
        <v>1001</v>
      </c>
      <c r="P64" s="6" t="s">
        <v>976</v>
      </c>
      <c r="Q64" s="6" t="s">
        <v>978</v>
      </c>
      <c r="R64" s="6" t="s">
        <v>987</v>
      </c>
      <c r="S64" s="6" t="s">
        <v>983</v>
      </c>
      <c r="T64" s="6" t="s">
        <v>977</v>
      </c>
      <c r="U64" s="6" t="s">
        <v>131</v>
      </c>
      <c r="V64" s="6" t="s">
        <v>1002</v>
      </c>
    </row>
    <row r="65" spans="1:22" ht="25.2" customHeight="1" x14ac:dyDescent="0.3">
      <c r="A65" s="3" t="str">
        <f t="shared" si="0"/>
        <v>MCQ_ITNIC_DEF_BADGES_006</v>
      </c>
      <c r="B65" s="6" t="s">
        <v>21</v>
      </c>
      <c r="C65" s="6" t="s">
        <v>15</v>
      </c>
      <c r="D65" s="6" t="s">
        <v>970</v>
      </c>
      <c r="E65" s="6" t="s">
        <v>18</v>
      </c>
      <c r="F65" s="6">
        <v>3</v>
      </c>
      <c r="G65" s="6" t="s">
        <v>16</v>
      </c>
      <c r="H65" s="6" t="s">
        <v>17</v>
      </c>
      <c r="I65" s="6" t="s">
        <v>1003</v>
      </c>
      <c r="J65" s="6" t="s">
        <v>870</v>
      </c>
      <c r="K65" s="6">
        <v>1</v>
      </c>
      <c r="L65" s="6" t="s">
        <v>972</v>
      </c>
      <c r="M65" s="3" t="str">
        <f>IF(B65="","","MCQ"&amp;"_"&amp;IFERROR(VLOOKUP(B65,LOOKUPS!$K$2:$L$9,2,FALSE),"UNK")&amp;"_"&amp;IFERROR(VLOOKUP(C65,LOOKUPS!$N$2:$O$10,2,FALSE),"UNK")&amp;"_"&amp;UPPER(L65))</f>
        <v>MCQ_ITNIC_DEF_BADGES</v>
      </c>
      <c r="N65" s="3">
        <f>IF(M65="","",COUNTIF($M$2:M65,M65))</f>
        <v>6</v>
      </c>
      <c r="O65" s="6" t="s">
        <v>1004</v>
      </c>
      <c r="P65" s="6" t="s">
        <v>1005</v>
      </c>
      <c r="Q65" s="6" t="s">
        <v>1006</v>
      </c>
      <c r="R65" s="6" t="s">
        <v>1008</v>
      </c>
      <c r="S65" s="6" t="s">
        <v>1007</v>
      </c>
      <c r="T65" s="6" t="s">
        <v>1009</v>
      </c>
      <c r="U65" s="6" t="s">
        <v>226</v>
      </c>
      <c r="V65" s="6" t="s">
        <v>1010</v>
      </c>
    </row>
    <row r="66" spans="1:22" ht="25.2" customHeight="1" x14ac:dyDescent="0.3">
      <c r="A66" s="3" t="str">
        <f t="shared" si="0"/>
        <v>MCQ_ITNIC_DEF_BADGES_007</v>
      </c>
      <c r="B66" s="6" t="s">
        <v>21</v>
      </c>
      <c r="C66" s="6" t="s">
        <v>15</v>
      </c>
      <c r="D66" s="6" t="s">
        <v>970</v>
      </c>
      <c r="E66" s="6" t="s">
        <v>18</v>
      </c>
      <c r="F66" s="6">
        <v>3</v>
      </c>
      <c r="G66" s="6" t="s">
        <v>16</v>
      </c>
      <c r="H66" s="6" t="s">
        <v>17</v>
      </c>
      <c r="I66" s="6" t="s">
        <v>985</v>
      </c>
      <c r="J66" s="6" t="s">
        <v>870</v>
      </c>
      <c r="K66" s="6">
        <v>1</v>
      </c>
      <c r="L66" s="6" t="s">
        <v>972</v>
      </c>
      <c r="M66" s="3" t="str">
        <f>IF(B66="","","MCQ"&amp;"_"&amp;IFERROR(VLOOKUP(B66,LOOKUPS!$K$2:$L$9,2,FALSE),"UNK")&amp;"_"&amp;IFERROR(VLOOKUP(C66,LOOKUPS!$N$2:$O$10,2,FALSE),"UNK")&amp;"_"&amp;UPPER(L66))</f>
        <v>MCQ_ITNIC_DEF_BADGES</v>
      </c>
      <c r="N66" s="3">
        <f>IF(M66="","",COUNTIF($M$2:M66,M66))</f>
        <v>7</v>
      </c>
      <c r="O66" s="6" t="s">
        <v>986</v>
      </c>
      <c r="P66" s="6" t="s">
        <v>987</v>
      </c>
      <c r="Q66" s="11" t="s">
        <v>982</v>
      </c>
      <c r="R66" s="6" t="s">
        <v>976</v>
      </c>
      <c r="S66" s="6" t="s">
        <v>977</v>
      </c>
      <c r="T66" s="6" t="s">
        <v>978</v>
      </c>
      <c r="U66" s="6" t="s">
        <v>226</v>
      </c>
      <c r="V66" s="6" t="s">
        <v>988</v>
      </c>
    </row>
    <row r="67" spans="1:22" ht="25.2" customHeight="1" x14ac:dyDescent="0.3">
      <c r="A67" s="3" t="str">
        <f t="shared" ref="A67" si="1">IF(M67="","",M67&amp;"_"&amp;TEXT(N67,"000"))</f>
        <v>MCQ_ITNIC_DEF_BADGES_008</v>
      </c>
      <c r="B67" s="6" t="s">
        <v>21</v>
      </c>
      <c r="C67" s="6" t="s">
        <v>15</v>
      </c>
      <c r="D67" s="6" t="s">
        <v>970</v>
      </c>
      <c r="E67" s="6" t="s">
        <v>18</v>
      </c>
      <c r="F67" s="6">
        <v>3</v>
      </c>
      <c r="G67" s="6" t="s">
        <v>16</v>
      </c>
      <c r="H67" s="6" t="s">
        <v>17</v>
      </c>
      <c r="I67" s="6" t="s">
        <v>993</v>
      </c>
      <c r="J67" s="6" t="s">
        <v>870</v>
      </c>
      <c r="K67" s="6">
        <v>1</v>
      </c>
      <c r="L67" s="6" t="s">
        <v>972</v>
      </c>
      <c r="M67" s="3" t="str">
        <f>IF(B67="","","MCQ"&amp;"_"&amp;IFERROR(VLOOKUP(B67,LOOKUPS!$K$2:$L$9,2,FALSE),"UNK")&amp;"_"&amp;IFERROR(VLOOKUP(C67,LOOKUPS!$N$2:$O$10,2,FALSE),"UNK")&amp;"_"&amp;UPPER(L67))</f>
        <v>MCQ_ITNIC_DEF_BADGES</v>
      </c>
      <c r="N67" s="3">
        <f>IF(M67="","",COUNTIF($M$2:M67,M67))</f>
        <v>8</v>
      </c>
      <c r="O67" s="6" t="s">
        <v>994</v>
      </c>
      <c r="P67" s="6" t="s">
        <v>976</v>
      </c>
      <c r="Q67" s="11" t="s">
        <v>978</v>
      </c>
      <c r="R67" s="6" t="s">
        <v>982</v>
      </c>
      <c r="S67" s="6" t="s">
        <v>995</v>
      </c>
      <c r="T67" s="11" t="s">
        <v>987</v>
      </c>
      <c r="U67" s="6" t="s">
        <v>224</v>
      </c>
      <c r="V67" s="6" t="s">
        <v>996</v>
      </c>
    </row>
    <row r="68" spans="1:22" x14ac:dyDescent="0.3">
      <c r="A68" s="3" t="str">
        <f t="shared" ref="A67:A128" si="2">IF(M68="","",M68&amp;"_"&amp;TEXT(N68,"000"))</f>
        <v/>
      </c>
      <c r="B68" s="3"/>
      <c r="C68"/>
      <c r="D68" s="3"/>
      <c r="E68" s="3"/>
      <c r="F68" s="3"/>
      <c r="G68" s="3"/>
      <c r="H68" s="3"/>
      <c r="I68" s="3"/>
      <c r="J68" s="3"/>
      <c r="K68" s="3"/>
      <c r="L68" s="3"/>
      <c r="M68" s="3" t="str">
        <f>IF(B68="","","MCQ"&amp;"_"&amp;IFERROR(VLOOKUP(B68,LOOKUPS!$K$2:$L$9,2,FALSE),"UNK")&amp;"_"&amp;IFERROR(VLOOKUP(C68,LOOKUPS!$N$2:$O$10,2,FALSE),"UNK")&amp;"_"&amp;UPPER(L68))</f>
        <v/>
      </c>
      <c r="N68" s="3" t="str">
        <f>IF(M68="","",COUNTIF($M$2:M68,M68))</f>
        <v/>
      </c>
      <c r="O68" s="3"/>
      <c r="P68" s="3"/>
      <c r="Q68" s="3"/>
      <c r="R68" s="3"/>
      <c r="S68" s="3"/>
      <c r="T68" s="3"/>
      <c r="U68" s="3"/>
      <c r="V68" s="3"/>
    </row>
    <row r="69" spans="1:22" x14ac:dyDescent="0.3">
      <c r="A69" s="3" t="str">
        <f t="shared" si="2"/>
        <v/>
      </c>
      <c r="B69" s="3"/>
      <c r="C69"/>
      <c r="D69" s="3"/>
      <c r="E69" s="3"/>
      <c r="F69" s="3"/>
      <c r="G69" s="3"/>
      <c r="H69" s="3"/>
      <c r="I69" s="3"/>
      <c r="J69" s="3"/>
      <c r="K69" s="3"/>
      <c r="L69" s="3"/>
      <c r="M69" s="3" t="str">
        <f>IF(B69="","","MCQ"&amp;"_"&amp;IFERROR(VLOOKUP(B69,LOOKUPS!$K$2:$L$9,2,FALSE),"UNK")&amp;"_"&amp;IFERROR(VLOOKUP(C69,LOOKUPS!$N$2:$O$10,2,FALSE),"UNK")&amp;"_"&amp;UPPER(L69))</f>
        <v/>
      </c>
      <c r="N69" s="3" t="str">
        <f>IF(M69="","",COUNTIF($M$2:M69,M69))</f>
        <v/>
      </c>
      <c r="O69" s="3"/>
      <c r="P69" s="3"/>
      <c r="Q69" s="3"/>
      <c r="R69" s="3"/>
      <c r="S69" s="3"/>
      <c r="T69" s="3"/>
      <c r="U69" s="3"/>
      <c r="V69" s="3"/>
    </row>
    <row r="70" spans="1:22" x14ac:dyDescent="0.3">
      <c r="A70" s="3" t="str">
        <f t="shared" si="2"/>
        <v/>
      </c>
      <c r="B70" s="3"/>
      <c r="C70"/>
      <c r="D70" s="3"/>
      <c r="E70" s="3"/>
      <c r="F70" s="3"/>
      <c r="G70" s="3"/>
      <c r="H70" s="3"/>
      <c r="I70" s="3"/>
      <c r="J70" s="3"/>
      <c r="K70" s="3"/>
      <c r="L70" s="3"/>
      <c r="M70" s="3" t="str">
        <f>IF(B70="","","MCQ"&amp;"_"&amp;IFERROR(VLOOKUP(B70,LOOKUPS!$K$2:$L$9,2,FALSE),"UNK")&amp;"_"&amp;IFERROR(VLOOKUP(C70,LOOKUPS!$N$2:$O$10,2,FALSE),"UNK")&amp;"_"&amp;UPPER(L70))</f>
        <v/>
      </c>
      <c r="N70" s="3" t="str">
        <f>IF(M70="","",COUNTIF($M$2:M70,M70))</f>
        <v/>
      </c>
      <c r="O70" s="3"/>
      <c r="P70" s="3"/>
      <c r="Q70" s="3"/>
      <c r="R70" s="3"/>
      <c r="S70" s="3"/>
      <c r="T70" s="3"/>
      <c r="U70" s="3"/>
      <c r="V70" s="3"/>
    </row>
    <row r="71" spans="1:22" x14ac:dyDescent="0.3">
      <c r="A71" s="3" t="str">
        <f t="shared" si="2"/>
        <v/>
      </c>
      <c r="B71" s="3"/>
      <c r="C71"/>
      <c r="D71" s="3"/>
      <c r="E71" s="3"/>
      <c r="F71" s="3"/>
      <c r="G71" s="3"/>
      <c r="H71" s="3"/>
      <c r="I71" s="3"/>
      <c r="J71" s="3"/>
      <c r="K71" s="3"/>
      <c r="L71" s="3"/>
      <c r="M71" s="3" t="str">
        <f>IF(B71="","","MCQ"&amp;"_"&amp;IFERROR(VLOOKUP(B71,LOOKUPS!$K$2:$L$9,2,FALSE),"UNK")&amp;"_"&amp;IFERROR(VLOOKUP(C71,LOOKUPS!$N$2:$O$10,2,FALSE),"UNK")&amp;"_"&amp;UPPER(L71))</f>
        <v/>
      </c>
      <c r="N71" s="3" t="str">
        <f>IF(M71="","",COUNTIF($M$2:M71,M71))</f>
        <v/>
      </c>
      <c r="O71" s="3"/>
      <c r="P71" s="3"/>
      <c r="Q71" s="3"/>
      <c r="R71" s="3"/>
      <c r="S71" s="3"/>
      <c r="T71" s="3"/>
      <c r="U71" s="3"/>
      <c r="V71" s="3"/>
    </row>
    <row r="72" spans="1:22" x14ac:dyDescent="0.3">
      <c r="A72" s="3" t="str">
        <f t="shared" si="2"/>
        <v/>
      </c>
      <c r="B72" s="3"/>
      <c r="C72"/>
      <c r="D72" s="3"/>
      <c r="E72" s="3"/>
      <c r="F72" s="3"/>
      <c r="G72" s="3"/>
      <c r="H72" s="3"/>
      <c r="I72" s="3"/>
      <c r="J72" s="3"/>
      <c r="K72" s="3"/>
      <c r="L72" s="3"/>
      <c r="M72" s="3" t="str">
        <f>IF(B72="","","MCQ"&amp;"_"&amp;IFERROR(VLOOKUP(B72,LOOKUPS!$K$2:$L$9,2,FALSE),"UNK")&amp;"_"&amp;IFERROR(VLOOKUP(C72,LOOKUPS!$N$2:$O$10,2,FALSE),"UNK")&amp;"_"&amp;UPPER(L72))</f>
        <v/>
      </c>
      <c r="N72" s="3" t="str">
        <f>IF(M72="","",COUNTIF($M$2:M72,M72))</f>
        <v/>
      </c>
      <c r="O72" s="3"/>
      <c r="P72" s="3"/>
      <c r="Q72" s="3"/>
      <c r="R72" s="3"/>
      <c r="S72" s="3"/>
      <c r="T72" s="3"/>
      <c r="U72" s="3"/>
      <c r="V72" s="3"/>
    </row>
    <row r="73" spans="1:22" x14ac:dyDescent="0.3">
      <c r="A73" s="3" t="str">
        <f t="shared" si="2"/>
        <v/>
      </c>
      <c r="B73" s="3"/>
      <c r="C73"/>
      <c r="D73" s="3"/>
      <c r="E73" s="3"/>
      <c r="F73" s="3"/>
      <c r="G73" s="3"/>
      <c r="H73" s="3"/>
      <c r="I73" s="3"/>
      <c r="J73" s="3"/>
      <c r="K73" s="3"/>
      <c r="L73" s="3"/>
      <c r="M73" s="3" t="str">
        <f>IF(B73="","","MCQ"&amp;"_"&amp;IFERROR(VLOOKUP(B73,LOOKUPS!$K$2:$L$9,2,FALSE),"UNK")&amp;"_"&amp;IFERROR(VLOOKUP(C73,LOOKUPS!$N$2:$O$10,2,FALSE),"UNK")&amp;"_"&amp;UPPER(L73))</f>
        <v/>
      </c>
      <c r="N73" s="3" t="str">
        <f>IF(M73="","",COUNTIF($M$2:M73,M73))</f>
        <v/>
      </c>
      <c r="O73" s="3"/>
      <c r="P73" s="3"/>
      <c r="Q73" s="3"/>
      <c r="R73" s="3"/>
      <c r="S73" s="3"/>
      <c r="T73" s="3"/>
      <c r="U73" s="3"/>
      <c r="V73" s="3"/>
    </row>
    <row r="74" spans="1:22" x14ac:dyDescent="0.3">
      <c r="A74" s="3" t="str">
        <f t="shared" si="2"/>
        <v/>
      </c>
      <c r="B74" s="3"/>
      <c r="C74"/>
      <c r="D74" s="3"/>
      <c r="E74" s="3"/>
      <c r="F74" s="3"/>
      <c r="G74" s="3"/>
      <c r="H74" s="3"/>
      <c r="I74" s="3"/>
      <c r="J74" s="3"/>
      <c r="K74" s="3"/>
      <c r="L74" s="3"/>
      <c r="M74" s="3" t="str">
        <f>IF(B74="","","MCQ"&amp;"_"&amp;IFERROR(VLOOKUP(B74,LOOKUPS!$K$2:$L$9,2,FALSE),"UNK")&amp;"_"&amp;IFERROR(VLOOKUP(C74,LOOKUPS!$N$2:$O$10,2,FALSE),"UNK")&amp;"_"&amp;UPPER(L74))</f>
        <v/>
      </c>
      <c r="N74" s="3" t="str">
        <f>IF(M74="","",COUNTIF($M$2:M74,M74))</f>
        <v/>
      </c>
      <c r="O74" s="3"/>
      <c r="P74" s="3"/>
      <c r="Q74" s="3"/>
      <c r="R74" s="3"/>
      <c r="S74" s="3"/>
      <c r="T74" s="3"/>
      <c r="U74" s="3"/>
      <c r="V74" s="3"/>
    </row>
    <row r="75" spans="1:22" x14ac:dyDescent="0.3">
      <c r="A75" s="3" t="str">
        <f t="shared" si="2"/>
        <v/>
      </c>
      <c r="B75" s="3"/>
      <c r="C75"/>
      <c r="D75" s="3"/>
      <c r="E75" s="3"/>
      <c r="F75" s="3"/>
      <c r="G75" s="3"/>
      <c r="H75" s="3"/>
      <c r="I75" s="3"/>
      <c r="J75" s="3"/>
      <c r="K75" s="3"/>
      <c r="L75" s="3"/>
      <c r="M75" s="3" t="str">
        <f>IF(B75="","","MCQ"&amp;"_"&amp;IFERROR(VLOOKUP(B75,LOOKUPS!$K$2:$L$9,2,FALSE),"UNK")&amp;"_"&amp;IFERROR(VLOOKUP(C75,LOOKUPS!$N$2:$O$10,2,FALSE),"UNK")&amp;"_"&amp;UPPER(L75))</f>
        <v/>
      </c>
      <c r="N75" s="3" t="str">
        <f>IF(M75="","",COUNTIF($M$2:M75,M75))</f>
        <v/>
      </c>
      <c r="O75" s="3"/>
      <c r="P75" s="3"/>
      <c r="Q75" s="3"/>
      <c r="R75" s="3"/>
      <c r="S75" s="3"/>
      <c r="T75" s="3"/>
      <c r="U75" s="3"/>
      <c r="V75" s="3"/>
    </row>
    <row r="76" spans="1:22" x14ac:dyDescent="0.3">
      <c r="A76" s="3" t="str">
        <f t="shared" si="2"/>
        <v/>
      </c>
      <c r="B76" s="3"/>
      <c r="C76"/>
      <c r="D76" s="3"/>
      <c r="E76" s="3"/>
      <c r="F76" s="3"/>
      <c r="G76" s="3"/>
      <c r="H76" s="3"/>
      <c r="I76" s="3"/>
      <c r="J76" s="3"/>
      <c r="K76" s="3"/>
      <c r="L76" s="3"/>
      <c r="M76" s="3" t="str">
        <f>IF(B76="","","MCQ"&amp;"_"&amp;IFERROR(VLOOKUP(B76,LOOKUPS!$K$2:$L$9,2,FALSE),"UNK")&amp;"_"&amp;IFERROR(VLOOKUP(C76,LOOKUPS!$N$2:$O$10,2,FALSE),"UNK")&amp;"_"&amp;UPPER(L76))</f>
        <v/>
      </c>
      <c r="N76" s="3" t="str">
        <f>IF(M76="","",COUNTIF($M$2:M76,M76))</f>
        <v/>
      </c>
      <c r="O76" s="3"/>
      <c r="P76" s="3"/>
      <c r="Q76" s="3"/>
      <c r="R76" s="3"/>
      <c r="S76" s="3"/>
      <c r="T76" s="3"/>
      <c r="U76" s="3"/>
      <c r="V76" s="3"/>
    </row>
    <row r="77" spans="1:22" x14ac:dyDescent="0.3">
      <c r="A77" s="3" t="str">
        <f t="shared" si="2"/>
        <v/>
      </c>
      <c r="B77" s="3"/>
      <c r="C77"/>
      <c r="D77" s="3"/>
      <c r="E77" s="3"/>
      <c r="F77" s="3"/>
      <c r="G77" s="3"/>
      <c r="H77" s="3"/>
      <c r="I77" s="3"/>
      <c r="J77" s="3"/>
      <c r="K77" s="3"/>
      <c r="L77" s="3"/>
      <c r="M77" s="3" t="str">
        <f>IF(B77="","","MCQ"&amp;"_"&amp;IFERROR(VLOOKUP(B77,LOOKUPS!$K$2:$L$9,2,FALSE),"UNK")&amp;"_"&amp;IFERROR(VLOOKUP(C77,LOOKUPS!$N$2:$O$10,2,FALSE),"UNK")&amp;"_"&amp;UPPER(L77))</f>
        <v/>
      </c>
      <c r="N77" s="3" t="str">
        <f>IF(M77="","",COUNTIF($M$2:M77,M77))</f>
        <v/>
      </c>
      <c r="O77" s="3"/>
      <c r="P77" s="3"/>
      <c r="Q77" s="3"/>
      <c r="R77" s="3"/>
      <c r="S77" s="3"/>
      <c r="T77" s="3"/>
      <c r="U77" s="3"/>
      <c r="V77" s="3"/>
    </row>
    <row r="78" spans="1:22" x14ac:dyDescent="0.3">
      <c r="A78" s="3" t="str">
        <f t="shared" si="2"/>
        <v/>
      </c>
      <c r="B78" s="3"/>
      <c r="C78"/>
      <c r="D78" s="3"/>
      <c r="E78" s="3"/>
      <c r="F78" s="3"/>
      <c r="G78" s="3"/>
      <c r="H78" s="3"/>
      <c r="I78" s="3"/>
      <c r="J78" s="3"/>
      <c r="K78" s="3"/>
      <c r="L78" s="3"/>
      <c r="M78" s="3" t="str">
        <f>IF(B78="","","MCQ"&amp;"_"&amp;IFERROR(VLOOKUP(B78,LOOKUPS!$K$2:$L$9,2,FALSE),"UNK")&amp;"_"&amp;IFERROR(VLOOKUP(C78,LOOKUPS!$N$2:$O$10,2,FALSE),"UNK")&amp;"_"&amp;UPPER(L78))</f>
        <v/>
      </c>
      <c r="N78" s="3" t="str">
        <f>IF(M78="","",COUNTIF($M$2:M78,M78))</f>
        <v/>
      </c>
      <c r="O78" s="3"/>
      <c r="P78" s="3"/>
      <c r="Q78" s="3"/>
      <c r="R78" s="3"/>
      <c r="S78" s="3"/>
      <c r="T78" s="3"/>
      <c r="U78" s="3"/>
      <c r="V78" s="3"/>
    </row>
    <row r="79" spans="1:22" x14ac:dyDescent="0.3">
      <c r="A79" s="3" t="str">
        <f t="shared" si="2"/>
        <v/>
      </c>
      <c r="B79" s="3"/>
      <c r="C79"/>
      <c r="D79" s="3"/>
      <c r="E79" s="3"/>
      <c r="F79" s="3"/>
      <c r="G79" s="3"/>
      <c r="H79" s="3"/>
      <c r="I79" s="3"/>
      <c r="J79" s="3"/>
      <c r="K79" s="3"/>
      <c r="L79" s="3"/>
      <c r="M79" s="3" t="str">
        <f>IF(B79="","","MCQ"&amp;"_"&amp;IFERROR(VLOOKUP(B79,LOOKUPS!$K$2:$L$9,2,FALSE),"UNK")&amp;"_"&amp;IFERROR(VLOOKUP(C79,LOOKUPS!$N$2:$O$10,2,FALSE),"UNK")&amp;"_"&amp;UPPER(L79))</f>
        <v/>
      </c>
      <c r="N79" s="3" t="str">
        <f>IF(M79="","",COUNTIF($M$2:M79,M79))</f>
        <v/>
      </c>
      <c r="O79" s="3"/>
      <c r="P79" s="3"/>
      <c r="Q79" s="3"/>
      <c r="R79" s="3"/>
      <c r="S79" s="3"/>
      <c r="T79" s="3"/>
      <c r="U79" s="3"/>
      <c r="V79" s="3"/>
    </row>
    <row r="80" spans="1:22" x14ac:dyDescent="0.3">
      <c r="A80" s="3" t="str">
        <f t="shared" si="2"/>
        <v/>
      </c>
      <c r="B80" s="3"/>
      <c r="C80"/>
      <c r="D80" s="3"/>
      <c r="E80" s="3"/>
      <c r="F80" s="3"/>
      <c r="G80" s="3"/>
      <c r="H80" s="3"/>
      <c r="I80" s="3"/>
      <c r="J80" s="3"/>
      <c r="K80" s="3"/>
      <c r="L80" s="3"/>
      <c r="M80" s="3" t="str">
        <f>IF(B80="","","MCQ"&amp;"_"&amp;IFERROR(VLOOKUP(B80,LOOKUPS!$K$2:$L$9,2,FALSE),"UNK")&amp;"_"&amp;IFERROR(VLOOKUP(C80,LOOKUPS!$N$2:$O$10,2,FALSE),"UNK")&amp;"_"&amp;UPPER(L80))</f>
        <v/>
      </c>
      <c r="N80" s="3" t="str">
        <f>IF(M80="","",COUNTIF($M$2:M80,M80))</f>
        <v/>
      </c>
      <c r="O80" s="3"/>
      <c r="P80" s="3"/>
      <c r="Q80" s="3"/>
      <c r="R80" s="3"/>
      <c r="S80" s="3"/>
      <c r="T80" s="3"/>
      <c r="U80" s="3"/>
      <c r="V80" s="3"/>
    </row>
    <row r="81" spans="1:22" x14ac:dyDescent="0.3">
      <c r="A81" s="3" t="str">
        <f t="shared" si="2"/>
        <v/>
      </c>
      <c r="B81" s="3"/>
      <c r="C81"/>
      <c r="D81" s="3"/>
      <c r="E81" s="3"/>
      <c r="F81" s="3"/>
      <c r="G81" s="3"/>
      <c r="H81" s="3"/>
      <c r="I81" s="3"/>
      <c r="J81" s="3"/>
      <c r="K81" s="3"/>
      <c r="L81" s="3"/>
      <c r="M81" s="3" t="str">
        <f>IF(B81="","","MCQ"&amp;"_"&amp;IFERROR(VLOOKUP(B81,LOOKUPS!$K$2:$L$9,2,FALSE),"UNK")&amp;"_"&amp;IFERROR(VLOOKUP(C81,LOOKUPS!$N$2:$O$10,2,FALSE),"UNK")&amp;"_"&amp;UPPER(L81))</f>
        <v/>
      </c>
      <c r="N81" s="3" t="str">
        <f>IF(M81="","",COUNTIF($M$2:M81,M81))</f>
        <v/>
      </c>
      <c r="O81" s="3"/>
      <c r="P81" s="3"/>
      <c r="Q81" s="3"/>
      <c r="R81" s="3"/>
      <c r="S81" s="3"/>
      <c r="T81" s="3"/>
      <c r="U81" s="3"/>
      <c r="V81" s="3"/>
    </row>
    <row r="82" spans="1:22" x14ac:dyDescent="0.3">
      <c r="A82" s="3" t="str">
        <f t="shared" si="2"/>
        <v/>
      </c>
      <c r="B82" s="3"/>
      <c r="C82"/>
      <c r="D82" s="3"/>
      <c r="E82" s="3"/>
      <c r="F82" s="3"/>
      <c r="G82" s="3"/>
      <c r="H82" s="3"/>
      <c r="I82" s="3"/>
      <c r="J82" s="3"/>
      <c r="K82" s="3"/>
      <c r="L82" s="3"/>
      <c r="M82" s="3" t="str">
        <f>IF(B82="","","MCQ"&amp;"_"&amp;IFERROR(VLOOKUP(B82,LOOKUPS!$K$2:$L$9,2,FALSE),"UNK")&amp;"_"&amp;IFERROR(VLOOKUP(C82,LOOKUPS!$N$2:$O$10,2,FALSE),"UNK")&amp;"_"&amp;UPPER(L82))</f>
        <v/>
      </c>
      <c r="N82" s="3" t="str">
        <f>IF(M82="","",COUNTIF($M$2:M82,M82))</f>
        <v/>
      </c>
      <c r="O82" s="3"/>
      <c r="P82" s="3"/>
      <c r="Q82" s="3"/>
      <c r="R82" s="3"/>
      <c r="S82" s="3"/>
      <c r="T82" s="3"/>
      <c r="U82" s="3"/>
      <c r="V82" s="3"/>
    </row>
    <row r="83" spans="1:22" x14ac:dyDescent="0.3">
      <c r="A83" s="3" t="str">
        <f t="shared" si="2"/>
        <v/>
      </c>
      <c r="B83" s="3"/>
      <c r="C83"/>
      <c r="D83" s="3"/>
      <c r="E83" s="3"/>
      <c r="F83" s="3"/>
      <c r="G83" s="3"/>
      <c r="H83" s="3"/>
      <c r="I83" s="3"/>
      <c r="J83" s="3"/>
      <c r="K83" s="3"/>
      <c r="L83" s="3"/>
      <c r="M83" s="3" t="str">
        <f>IF(B83="","","MCQ"&amp;"_"&amp;IFERROR(VLOOKUP(B83,LOOKUPS!$K$2:$L$9,2,FALSE),"UNK")&amp;"_"&amp;IFERROR(VLOOKUP(C83,LOOKUPS!$N$2:$O$10,2,FALSE),"UNK")&amp;"_"&amp;UPPER(L83))</f>
        <v/>
      </c>
      <c r="N83" s="3" t="str">
        <f>IF(M83="","",COUNTIF($M$2:M83,M83))</f>
        <v/>
      </c>
      <c r="O83" s="3"/>
      <c r="P83" s="3"/>
      <c r="Q83" s="3"/>
      <c r="R83" s="3"/>
      <c r="S83" s="3"/>
      <c r="T83" s="3"/>
      <c r="U83" s="3"/>
      <c r="V83" s="3"/>
    </row>
    <row r="84" spans="1:22" x14ac:dyDescent="0.3">
      <c r="A84" s="3" t="str">
        <f t="shared" si="2"/>
        <v/>
      </c>
      <c r="B84" s="3"/>
      <c r="C84"/>
      <c r="D84" s="3"/>
      <c r="E84" s="3"/>
      <c r="F84" s="3"/>
      <c r="G84" s="3"/>
      <c r="H84" s="3"/>
      <c r="I84" s="3"/>
      <c r="J84" s="3"/>
      <c r="K84" s="3"/>
      <c r="L84" s="3"/>
      <c r="M84" s="3" t="str">
        <f>IF(B84="","","MCQ"&amp;"_"&amp;IFERROR(VLOOKUP(B84,LOOKUPS!$K$2:$L$9,2,FALSE),"UNK")&amp;"_"&amp;IFERROR(VLOOKUP(C84,LOOKUPS!$N$2:$O$10,2,FALSE),"UNK")&amp;"_"&amp;UPPER(L84))</f>
        <v/>
      </c>
      <c r="N84" s="3" t="str">
        <f>IF(M84="","",COUNTIF($M$2:M84,M84))</f>
        <v/>
      </c>
      <c r="O84" s="3"/>
      <c r="P84" s="3"/>
      <c r="Q84" s="3"/>
      <c r="R84" s="3"/>
      <c r="S84" s="3"/>
      <c r="T84" s="3"/>
      <c r="U84" s="3"/>
      <c r="V84" s="3"/>
    </row>
    <row r="85" spans="1:22" x14ac:dyDescent="0.3">
      <c r="A85" s="3" t="str">
        <f t="shared" si="2"/>
        <v/>
      </c>
      <c r="B85" s="3"/>
      <c r="C85"/>
      <c r="D85" s="3"/>
      <c r="E85" s="3"/>
      <c r="F85" s="3"/>
      <c r="G85" s="3"/>
      <c r="H85" s="3"/>
      <c r="I85" s="3"/>
      <c r="J85" s="3"/>
      <c r="K85" s="3"/>
      <c r="L85" s="3"/>
      <c r="M85" s="3" t="str">
        <f>IF(B85="","","MCQ"&amp;"_"&amp;IFERROR(VLOOKUP(B85,LOOKUPS!$K$2:$L$9,2,FALSE),"UNK")&amp;"_"&amp;IFERROR(VLOOKUP(C85,LOOKUPS!$N$2:$O$10,2,FALSE),"UNK")&amp;"_"&amp;UPPER(L85))</f>
        <v/>
      </c>
      <c r="N85" s="3" t="str">
        <f>IF(M85="","",COUNTIF($M$2:M85,M85))</f>
        <v/>
      </c>
      <c r="O85" s="3"/>
      <c r="P85" s="3"/>
      <c r="Q85" s="3"/>
      <c r="R85" s="3"/>
      <c r="S85" s="3"/>
      <c r="T85" s="3"/>
      <c r="U85" s="3"/>
      <c r="V85" s="3"/>
    </row>
    <row r="86" spans="1:22" x14ac:dyDescent="0.3">
      <c r="A86" s="3" t="str">
        <f t="shared" si="2"/>
        <v/>
      </c>
      <c r="B86" s="3"/>
      <c r="C86"/>
      <c r="D86" s="3"/>
      <c r="E86" s="3"/>
      <c r="F86" s="3"/>
      <c r="G86" s="3"/>
      <c r="H86" s="3"/>
      <c r="I86" s="3"/>
      <c r="J86" s="3"/>
      <c r="K86" s="3"/>
      <c r="L86" s="3"/>
      <c r="M86" s="3" t="str">
        <f>IF(B86="","","MCQ"&amp;"_"&amp;IFERROR(VLOOKUP(B86,LOOKUPS!$K$2:$L$9,2,FALSE),"UNK")&amp;"_"&amp;IFERROR(VLOOKUP(C86,LOOKUPS!$N$2:$O$10,2,FALSE),"UNK")&amp;"_"&amp;UPPER(L86))</f>
        <v/>
      </c>
      <c r="N86" s="3" t="str">
        <f>IF(M86="","",COUNTIF($M$2:M86,M86))</f>
        <v/>
      </c>
      <c r="O86" s="3"/>
      <c r="P86" s="3"/>
      <c r="Q86" s="3"/>
      <c r="R86" s="3"/>
      <c r="S86" s="3"/>
      <c r="T86" s="3"/>
      <c r="U86" s="3"/>
      <c r="V86" s="3"/>
    </row>
    <row r="87" spans="1:22" x14ac:dyDescent="0.3">
      <c r="A87" s="3" t="str">
        <f t="shared" si="2"/>
        <v/>
      </c>
      <c r="B87" s="3"/>
      <c r="C87"/>
      <c r="D87" s="3"/>
      <c r="E87" s="3"/>
      <c r="F87" s="3"/>
      <c r="G87" s="3"/>
      <c r="H87" s="3"/>
      <c r="I87" s="3"/>
      <c r="J87" s="3"/>
      <c r="K87" s="3"/>
      <c r="L87" s="3"/>
      <c r="M87" s="3" t="str">
        <f>IF(B87="","","MCQ"&amp;"_"&amp;IFERROR(VLOOKUP(B87,LOOKUPS!$K$2:$L$9,2,FALSE),"UNK")&amp;"_"&amp;IFERROR(VLOOKUP(C87,LOOKUPS!$N$2:$O$10,2,FALSE),"UNK")&amp;"_"&amp;UPPER(L87))</f>
        <v/>
      </c>
      <c r="N87" s="3" t="str">
        <f>IF(M87="","",COUNTIF($M$2:M87,M87))</f>
        <v/>
      </c>
      <c r="O87" s="3"/>
      <c r="P87" s="3"/>
      <c r="Q87" s="3"/>
      <c r="R87" s="3"/>
      <c r="S87" s="3"/>
      <c r="T87" s="3"/>
      <c r="U87" s="3"/>
      <c r="V87" s="3"/>
    </row>
    <row r="88" spans="1:22" x14ac:dyDescent="0.3">
      <c r="A88" s="3" t="str">
        <f t="shared" si="2"/>
        <v/>
      </c>
      <c r="B88" s="3"/>
      <c r="C88"/>
      <c r="D88" s="3"/>
      <c r="E88" s="3"/>
      <c r="F88" s="3"/>
      <c r="G88" s="3"/>
      <c r="H88" s="3"/>
      <c r="I88" s="3"/>
      <c r="J88" s="3"/>
      <c r="K88" s="3"/>
      <c r="L88" s="3"/>
      <c r="M88" s="3" t="str">
        <f>IF(B88="","","MCQ"&amp;"_"&amp;IFERROR(VLOOKUP(B88,LOOKUPS!$K$2:$L$9,2,FALSE),"UNK")&amp;"_"&amp;IFERROR(VLOOKUP(C88,LOOKUPS!$N$2:$O$10,2,FALSE),"UNK")&amp;"_"&amp;UPPER(L88))</f>
        <v/>
      </c>
      <c r="N88" s="3" t="str">
        <f>IF(M88="","",COUNTIF($M$2:M88,M88))</f>
        <v/>
      </c>
      <c r="O88" s="3"/>
      <c r="P88" s="3"/>
      <c r="Q88" s="3"/>
      <c r="R88" s="3"/>
      <c r="S88" s="3"/>
      <c r="T88" s="3"/>
      <c r="U88" s="3"/>
      <c r="V88" s="3"/>
    </row>
    <row r="89" spans="1:22" x14ac:dyDescent="0.3">
      <c r="A89" s="3" t="str">
        <f t="shared" si="2"/>
        <v/>
      </c>
      <c r="B89" s="3"/>
      <c r="C89"/>
      <c r="D89" s="3"/>
      <c r="E89" s="3"/>
      <c r="F89" s="3"/>
      <c r="G89" s="3"/>
      <c r="H89" s="3"/>
      <c r="I89" s="3"/>
      <c r="J89" s="3"/>
      <c r="K89" s="3"/>
      <c r="L89" s="3"/>
      <c r="M89" s="3" t="str">
        <f>IF(B89="","","MCQ"&amp;"_"&amp;IFERROR(VLOOKUP(B89,LOOKUPS!$K$2:$L$9,2,FALSE),"UNK")&amp;"_"&amp;IFERROR(VLOOKUP(C89,LOOKUPS!$N$2:$O$10,2,FALSE),"UNK")&amp;"_"&amp;UPPER(L89))</f>
        <v/>
      </c>
      <c r="N89" s="3" t="str">
        <f>IF(M89="","",COUNTIF($M$2:M89,M89))</f>
        <v/>
      </c>
      <c r="O89" s="3"/>
      <c r="P89" s="3"/>
      <c r="Q89" s="3"/>
      <c r="R89" s="3"/>
      <c r="S89" s="3"/>
      <c r="T89" s="3"/>
      <c r="U89" s="3"/>
      <c r="V89" s="3"/>
    </row>
    <row r="90" spans="1:22" x14ac:dyDescent="0.3">
      <c r="A90" s="3" t="str">
        <f t="shared" si="2"/>
        <v/>
      </c>
      <c r="B90" s="3"/>
      <c r="C90"/>
      <c r="D90" s="3"/>
      <c r="E90" s="3"/>
      <c r="F90" s="3"/>
      <c r="G90" s="3"/>
      <c r="H90" s="3"/>
      <c r="I90" s="3"/>
      <c r="J90" s="3"/>
      <c r="K90" s="3"/>
      <c r="L90" s="3"/>
      <c r="M90" s="3" t="str">
        <f>IF(B90="","","MCQ"&amp;"_"&amp;IFERROR(VLOOKUP(B90,LOOKUPS!$K$2:$L$9,2,FALSE),"UNK")&amp;"_"&amp;IFERROR(VLOOKUP(C90,LOOKUPS!$N$2:$O$10,2,FALSE),"UNK")&amp;"_"&amp;UPPER(L90))</f>
        <v/>
      </c>
      <c r="N90" s="3" t="str">
        <f>IF(M90="","",COUNTIF($M$2:M90,M90))</f>
        <v/>
      </c>
      <c r="O90" s="3"/>
      <c r="P90" s="3"/>
      <c r="Q90" s="3"/>
      <c r="R90" s="3"/>
      <c r="S90" s="3"/>
      <c r="T90" s="3"/>
      <c r="U90" s="3"/>
      <c r="V90" s="3"/>
    </row>
    <row r="91" spans="1:22" x14ac:dyDescent="0.3">
      <c r="A91" s="3" t="str">
        <f t="shared" si="2"/>
        <v/>
      </c>
      <c r="B91" s="3"/>
      <c r="C91"/>
      <c r="D91" s="3"/>
      <c r="E91" s="3"/>
      <c r="F91" s="3"/>
      <c r="G91" s="3"/>
      <c r="H91" s="3"/>
      <c r="I91" s="3"/>
      <c r="J91" s="3"/>
      <c r="K91" s="3"/>
      <c r="L91" s="3"/>
      <c r="M91" s="3" t="str">
        <f>IF(B91="","","MCQ"&amp;"_"&amp;IFERROR(VLOOKUP(B91,LOOKUPS!$K$2:$L$9,2,FALSE),"UNK")&amp;"_"&amp;IFERROR(VLOOKUP(C91,LOOKUPS!$N$2:$O$10,2,FALSE),"UNK")&amp;"_"&amp;UPPER(L91))</f>
        <v/>
      </c>
      <c r="N91" s="3" t="str">
        <f>IF(M91="","",COUNTIF($M$2:M91,M91))</f>
        <v/>
      </c>
      <c r="O91" s="3"/>
      <c r="P91" s="3"/>
      <c r="Q91" s="3"/>
      <c r="R91" s="3"/>
      <c r="S91" s="3"/>
      <c r="T91" s="3"/>
      <c r="U91" s="3"/>
      <c r="V91" s="3"/>
    </row>
    <row r="92" spans="1:22" x14ac:dyDescent="0.3">
      <c r="A92" s="3" t="str">
        <f t="shared" si="2"/>
        <v/>
      </c>
      <c r="B92" s="3"/>
      <c r="C92"/>
      <c r="D92" s="3"/>
      <c r="E92" s="3"/>
      <c r="F92" s="3"/>
      <c r="G92" s="3"/>
      <c r="H92" s="3"/>
      <c r="I92" s="3"/>
      <c r="J92" s="3"/>
      <c r="K92" s="3"/>
      <c r="L92" s="3"/>
      <c r="M92" s="3" t="str">
        <f>IF(B92="","","MCQ"&amp;"_"&amp;IFERROR(VLOOKUP(B92,LOOKUPS!$K$2:$L$9,2,FALSE),"UNK")&amp;"_"&amp;IFERROR(VLOOKUP(C92,LOOKUPS!$N$2:$O$10,2,FALSE),"UNK")&amp;"_"&amp;UPPER(L92))</f>
        <v/>
      </c>
      <c r="N92" s="3" t="str">
        <f>IF(M92="","",COUNTIF($M$2:M92,M92))</f>
        <v/>
      </c>
      <c r="O92" s="3"/>
      <c r="P92" s="3"/>
      <c r="Q92" s="3"/>
      <c r="R92" s="3"/>
      <c r="S92" s="3"/>
      <c r="T92" s="3"/>
      <c r="U92" s="3"/>
      <c r="V92" s="3"/>
    </row>
    <row r="93" spans="1:22" x14ac:dyDescent="0.3">
      <c r="A93" s="3" t="str">
        <f t="shared" si="2"/>
        <v/>
      </c>
      <c r="B93" s="3"/>
      <c r="C93"/>
      <c r="D93" s="3"/>
      <c r="E93" s="3"/>
      <c r="F93" s="3"/>
      <c r="G93" s="3"/>
      <c r="H93" s="3"/>
      <c r="I93" s="3"/>
      <c r="J93" s="3"/>
      <c r="K93" s="3"/>
      <c r="L93" s="3"/>
      <c r="M93" s="3" t="str">
        <f>IF(B93="","","MCQ"&amp;"_"&amp;IFERROR(VLOOKUP(B93,LOOKUPS!$K$2:$L$9,2,FALSE),"UNK")&amp;"_"&amp;IFERROR(VLOOKUP(C93,LOOKUPS!$N$2:$O$10,2,FALSE),"UNK")&amp;"_"&amp;UPPER(L93))</f>
        <v/>
      </c>
      <c r="N93" s="3" t="str">
        <f>IF(M93="","",COUNTIF($M$2:M93,M93))</f>
        <v/>
      </c>
      <c r="O93" s="3"/>
      <c r="P93" s="3"/>
      <c r="Q93" s="3"/>
      <c r="R93" s="3"/>
      <c r="S93" s="3"/>
      <c r="T93" s="3"/>
      <c r="U93" s="3"/>
      <c r="V93" s="3"/>
    </row>
    <row r="94" spans="1:22" x14ac:dyDescent="0.3">
      <c r="A94" s="3" t="str">
        <f t="shared" si="2"/>
        <v/>
      </c>
      <c r="B94" s="3"/>
      <c r="C94"/>
      <c r="D94" s="3"/>
      <c r="E94" s="3"/>
      <c r="F94" s="3"/>
      <c r="G94" s="3"/>
      <c r="H94" s="3"/>
      <c r="I94" s="3"/>
      <c r="J94" s="3"/>
      <c r="K94" s="3"/>
      <c r="L94" s="3"/>
      <c r="M94" s="3" t="str">
        <f>IF(B94="","","MCQ"&amp;"_"&amp;IFERROR(VLOOKUP(B94,LOOKUPS!$K$2:$L$9,2,FALSE),"UNK")&amp;"_"&amp;IFERROR(VLOOKUP(C94,LOOKUPS!$N$2:$O$10,2,FALSE),"UNK")&amp;"_"&amp;UPPER(L94))</f>
        <v/>
      </c>
      <c r="N94" s="3" t="str">
        <f>IF(M94="","",COUNTIF($M$2:M94,M94))</f>
        <v/>
      </c>
      <c r="O94" s="3"/>
      <c r="P94" s="3"/>
      <c r="Q94" s="3"/>
      <c r="R94" s="3"/>
      <c r="S94" s="3"/>
      <c r="T94" s="3"/>
      <c r="U94" s="3"/>
      <c r="V94" s="3"/>
    </row>
    <row r="95" spans="1:22" x14ac:dyDescent="0.3">
      <c r="A95" s="3" t="str">
        <f t="shared" si="2"/>
        <v/>
      </c>
      <c r="B95" s="3"/>
      <c r="C95"/>
      <c r="D95" s="3"/>
      <c r="E95" s="3"/>
      <c r="F95" s="3"/>
      <c r="G95" s="3"/>
      <c r="H95" s="3"/>
      <c r="I95" s="3"/>
      <c r="J95" s="3"/>
      <c r="K95" s="3"/>
      <c r="L95" s="3"/>
      <c r="M95" s="3" t="str">
        <f>IF(B95="","","MCQ"&amp;"_"&amp;IFERROR(VLOOKUP(B95,LOOKUPS!$K$2:$L$9,2,FALSE),"UNK")&amp;"_"&amp;IFERROR(VLOOKUP(C95,LOOKUPS!$N$2:$O$10,2,FALSE),"UNK")&amp;"_"&amp;UPPER(L95))</f>
        <v/>
      </c>
      <c r="N95" s="3" t="str">
        <f>IF(M95="","",COUNTIF($M$2:M95,M95))</f>
        <v/>
      </c>
      <c r="O95" s="3"/>
      <c r="P95" s="3"/>
      <c r="Q95" s="3"/>
      <c r="R95" s="3"/>
      <c r="S95" s="3"/>
      <c r="T95" s="3"/>
      <c r="U95" s="3"/>
      <c r="V95" s="3"/>
    </row>
    <row r="96" spans="1:22" x14ac:dyDescent="0.3">
      <c r="A96" s="3" t="str">
        <f t="shared" si="2"/>
        <v/>
      </c>
      <c r="B96" s="3"/>
      <c r="C96"/>
      <c r="D96" s="3"/>
      <c r="E96" s="3"/>
      <c r="F96" s="3"/>
      <c r="G96" s="3"/>
      <c r="H96" s="3"/>
      <c r="I96" s="3"/>
      <c r="J96" s="3"/>
      <c r="K96" s="3"/>
      <c r="L96" s="3"/>
      <c r="M96" s="3" t="str">
        <f>IF(B96="","","MCQ"&amp;"_"&amp;IFERROR(VLOOKUP(B96,LOOKUPS!$K$2:$L$9,2,FALSE),"UNK")&amp;"_"&amp;IFERROR(VLOOKUP(C96,LOOKUPS!$N$2:$O$10,2,FALSE),"UNK")&amp;"_"&amp;UPPER(L96))</f>
        <v/>
      </c>
      <c r="N96" s="3" t="str">
        <f>IF(M96="","",COUNTIF($M$2:M96,M96))</f>
        <v/>
      </c>
      <c r="O96" s="3"/>
      <c r="P96" s="3"/>
      <c r="Q96" s="3"/>
      <c r="R96" s="3"/>
      <c r="S96" s="3"/>
      <c r="T96" s="3"/>
      <c r="U96" s="3"/>
      <c r="V96" s="3"/>
    </row>
    <row r="97" spans="1:22" x14ac:dyDescent="0.3">
      <c r="A97" s="3" t="str">
        <f t="shared" si="2"/>
        <v/>
      </c>
      <c r="B97" s="3"/>
      <c r="C97"/>
      <c r="D97" s="3"/>
      <c r="E97" s="3"/>
      <c r="F97" s="3"/>
      <c r="G97" s="3"/>
      <c r="H97" s="3"/>
      <c r="I97" s="3"/>
      <c r="J97" s="3"/>
      <c r="K97" s="3"/>
      <c r="L97" s="3"/>
      <c r="M97" s="3" t="str">
        <f>IF(B97="","","MCQ"&amp;"_"&amp;IFERROR(VLOOKUP(B97,LOOKUPS!$K$2:$L$9,2,FALSE),"UNK")&amp;"_"&amp;IFERROR(VLOOKUP(C97,LOOKUPS!$N$2:$O$10,2,FALSE),"UNK")&amp;"_"&amp;UPPER(L97))</f>
        <v/>
      </c>
      <c r="N97" s="3" t="str">
        <f>IF(M97="","",COUNTIF($M$2:M97,M97))</f>
        <v/>
      </c>
      <c r="O97" s="3"/>
      <c r="P97" s="3"/>
      <c r="Q97" s="3"/>
      <c r="R97" s="3"/>
      <c r="S97" s="3"/>
      <c r="T97" s="3"/>
      <c r="U97" s="3"/>
      <c r="V97" s="3"/>
    </row>
    <row r="98" spans="1:22" x14ac:dyDescent="0.3">
      <c r="A98" s="3" t="str">
        <f t="shared" si="2"/>
        <v/>
      </c>
      <c r="B98" s="3"/>
      <c r="C98"/>
      <c r="D98" s="3"/>
      <c r="E98" s="3"/>
      <c r="F98" s="3"/>
      <c r="G98" s="3"/>
      <c r="H98" s="3"/>
      <c r="I98" s="3"/>
      <c r="J98" s="3"/>
      <c r="K98" s="3"/>
      <c r="L98" s="3"/>
      <c r="M98" s="3" t="str">
        <f>IF(B98="","","MCQ"&amp;"_"&amp;IFERROR(VLOOKUP(B98,LOOKUPS!$K$2:$L$9,2,FALSE),"UNK")&amp;"_"&amp;IFERROR(VLOOKUP(C98,LOOKUPS!$N$2:$O$10,2,FALSE),"UNK")&amp;"_"&amp;UPPER(L98))</f>
        <v/>
      </c>
      <c r="N98" s="3" t="str">
        <f>IF(M98="","",COUNTIF($M$2:M98,M98))</f>
        <v/>
      </c>
      <c r="O98" s="3"/>
      <c r="P98" s="3"/>
      <c r="Q98" s="3"/>
      <c r="R98" s="3"/>
      <c r="S98" s="3"/>
      <c r="T98" s="3"/>
      <c r="U98" s="3"/>
      <c r="V98" s="3"/>
    </row>
    <row r="99" spans="1:22" x14ac:dyDescent="0.3">
      <c r="A99" s="3" t="str">
        <f t="shared" si="2"/>
        <v/>
      </c>
      <c r="B99" s="3"/>
      <c r="C99"/>
      <c r="D99" s="3"/>
      <c r="E99" s="3"/>
      <c r="F99" s="3"/>
      <c r="G99" s="3"/>
      <c r="H99" s="3"/>
      <c r="I99" s="3"/>
      <c r="J99" s="3"/>
      <c r="K99" s="3"/>
      <c r="L99" s="3"/>
      <c r="M99" s="3" t="str">
        <f>IF(B99="","","MCQ"&amp;"_"&amp;IFERROR(VLOOKUP(B99,LOOKUPS!$K$2:$L$9,2,FALSE),"UNK")&amp;"_"&amp;IFERROR(VLOOKUP(C99,LOOKUPS!$N$2:$O$10,2,FALSE),"UNK")&amp;"_"&amp;UPPER(L99))</f>
        <v/>
      </c>
      <c r="N99" s="3" t="str">
        <f>IF(M99="","",COUNTIF($M$2:M99,M99))</f>
        <v/>
      </c>
      <c r="O99" s="3"/>
      <c r="P99" s="3"/>
      <c r="Q99" s="3"/>
      <c r="R99" s="3"/>
      <c r="S99" s="3"/>
      <c r="T99" s="3"/>
      <c r="U99" s="3"/>
      <c r="V99" s="3"/>
    </row>
    <row r="100" spans="1:22" x14ac:dyDescent="0.3">
      <c r="A100" s="3" t="str">
        <f t="shared" si="2"/>
        <v/>
      </c>
      <c r="B100" s="3"/>
      <c r="C100"/>
      <c r="D100" s="3"/>
      <c r="E100" s="3"/>
      <c r="F100" s="3"/>
      <c r="G100" s="3"/>
      <c r="H100" s="3"/>
      <c r="I100" s="3"/>
      <c r="J100" s="3"/>
      <c r="K100" s="3"/>
      <c r="L100" s="3"/>
      <c r="M100" s="3" t="str">
        <f>IF(B100="","","MCQ"&amp;"_"&amp;IFERROR(VLOOKUP(B100,LOOKUPS!$K$2:$L$9,2,FALSE),"UNK")&amp;"_"&amp;IFERROR(VLOOKUP(C100,LOOKUPS!$N$2:$O$10,2,FALSE),"UNK")&amp;"_"&amp;UPPER(L100))</f>
        <v/>
      </c>
      <c r="N100" s="3" t="str">
        <f>IF(M100="","",COUNTIF($M$2:M100,M100))</f>
        <v/>
      </c>
      <c r="O100" s="3"/>
      <c r="P100" s="3"/>
      <c r="Q100" s="3"/>
      <c r="R100" s="3"/>
      <c r="S100" s="3"/>
      <c r="T100" s="3"/>
      <c r="U100" s="3"/>
      <c r="V100" s="3"/>
    </row>
    <row r="101" spans="1:22" x14ac:dyDescent="0.3">
      <c r="A101" s="3" t="str">
        <f t="shared" si="2"/>
        <v/>
      </c>
      <c r="B101" s="3"/>
      <c r="C101"/>
      <c r="D101" s="3"/>
      <c r="E101" s="3"/>
      <c r="F101" s="3"/>
      <c r="G101" s="3"/>
      <c r="H101" s="3"/>
      <c r="I101" s="3"/>
      <c r="J101" s="3"/>
      <c r="K101" s="3"/>
      <c r="L101" s="3"/>
      <c r="M101" s="3" t="str">
        <f>IF(B101="","","MCQ"&amp;"_"&amp;IFERROR(VLOOKUP(B101,LOOKUPS!$K$2:$L$9,2,FALSE),"UNK")&amp;"_"&amp;IFERROR(VLOOKUP(C101,LOOKUPS!$N$2:$O$10,2,FALSE),"UNK")&amp;"_"&amp;UPPER(L101))</f>
        <v/>
      </c>
      <c r="N101" s="3" t="str">
        <f>IF(M101="","",COUNTIF($M$2:M101,M101))</f>
        <v/>
      </c>
      <c r="O101" s="3"/>
      <c r="P101" s="3"/>
      <c r="Q101" s="3"/>
      <c r="R101" s="3"/>
      <c r="S101" s="3"/>
      <c r="T101" s="3"/>
      <c r="U101" s="3"/>
      <c r="V101" s="3"/>
    </row>
    <row r="102" spans="1:22" x14ac:dyDescent="0.3">
      <c r="A102" s="3" t="str">
        <f t="shared" si="2"/>
        <v/>
      </c>
      <c r="B102" s="3"/>
      <c r="C102"/>
      <c r="D102" s="3"/>
      <c r="E102" s="3"/>
      <c r="F102" s="3"/>
      <c r="G102" s="3"/>
      <c r="H102" s="3"/>
      <c r="I102" s="3"/>
      <c r="J102" s="3"/>
      <c r="K102" s="3"/>
      <c r="L102" s="3"/>
      <c r="M102" s="3" t="str">
        <f>IF(B102="","","MCQ"&amp;"_"&amp;IFERROR(VLOOKUP(B102,LOOKUPS!$K$2:$L$9,2,FALSE),"UNK")&amp;"_"&amp;IFERROR(VLOOKUP(C102,LOOKUPS!$N$2:$O$10,2,FALSE),"UNK")&amp;"_"&amp;UPPER(L102))</f>
        <v/>
      </c>
      <c r="N102" s="3" t="str">
        <f>IF(M102="","",COUNTIF($M$2:M102,M102))</f>
        <v/>
      </c>
      <c r="O102" s="3"/>
      <c r="P102" s="3"/>
      <c r="Q102" s="3"/>
      <c r="R102" s="3"/>
      <c r="S102" s="3"/>
      <c r="T102" s="3"/>
      <c r="U102" s="3"/>
      <c r="V102" s="3"/>
    </row>
    <row r="103" spans="1:22" x14ac:dyDescent="0.3">
      <c r="A103" s="3" t="str">
        <f t="shared" si="2"/>
        <v/>
      </c>
      <c r="B103" s="3"/>
      <c r="C103"/>
      <c r="D103" s="3"/>
      <c r="E103" s="3"/>
      <c r="F103" s="3"/>
      <c r="G103" s="3"/>
      <c r="H103" s="3"/>
      <c r="I103" s="3"/>
      <c r="J103" s="3"/>
      <c r="K103" s="3"/>
      <c r="L103" s="3"/>
      <c r="M103" s="3" t="str">
        <f>IF(B103="","","MCQ"&amp;"_"&amp;IFERROR(VLOOKUP(B103,LOOKUPS!$K$2:$L$9,2,FALSE),"UNK")&amp;"_"&amp;IFERROR(VLOOKUP(C103,LOOKUPS!$N$2:$O$10,2,FALSE),"UNK")&amp;"_"&amp;UPPER(L103))</f>
        <v/>
      </c>
      <c r="N103" s="3" t="str">
        <f>IF(M103="","",COUNTIF($M$2:M103,M103))</f>
        <v/>
      </c>
      <c r="O103" s="3"/>
      <c r="P103" s="3"/>
      <c r="Q103" s="3"/>
      <c r="R103" s="3"/>
      <c r="S103" s="3"/>
      <c r="T103" s="3"/>
      <c r="U103" s="3"/>
      <c r="V103" s="3"/>
    </row>
    <row r="104" spans="1:22" x14ac:dyDescent="0.3">
      <c r="A104" s="3" t="str">
        <f t="shared" si="2"/>
        <v/>
      </c>
      <c r="B104" s="3"/>
      <c r="C104"/>
      <c r="D104" s="3"/>
      <c r="E104" s="3"/>
      <c r="F104" s="3"/>
      <c r="G104" s="3"/>
      <c r="H104" s="3"/>
      <c r="I104" s="3"/>
      <c r="J104" s="3"/>
      <c r="K104" s="3"/>
      <c r="L104" s="3"/>
      <c r="M104" s="3" t="str">
        <f>IF(B104="","","MCQ"&amp;"_"&amp;IFERROR(VLOOKUP(B104,LOOKUPS!$K$2:$L$9,2,FALSE),"UNK")&amp;"_"&amp;IFERROR(VLOOKUP(C104,LOOKUPS!$N$2:$O$10,2,FALSE),"UNK")&amp;"_"&amp;UPPER(L104))</f>
        <v/>
      </c>
      <c r="N104" s="3" t="str">
        <f>IF(M104="","",COUNTIF($M$2:M104,M104))</f>
        <v/>
      </c>
      <c r="O104" s="3"/>
      <c r="P104" s="3"/>
      <c r="Q104" s="3"/>
      <c r="R104" s="3"/>
      <c r="S104" s="3"/>
      <c r="T104" s="3"/>
      <c r="U104" s="3"/>
      <c r="V104" s="3"/>
    </row>
    <row r="105" spans="1:22" x14ac:dyDescent="0.3">
      <c r="A105" s="3" t="str">
        <f t="shared" si="2"/>
        <v/>
      </c>
      <c r="B105" s="3"/>
      <c r="C105"/>
      <c r="D105" s="3"/>
      <c r="E105" s="3"/>
      <c r="F105" s="3"/>
      <c r="G105" s="3"/>
      <c r="H105" s="3"/>
      <c r="I105" s="3"/>
      <c r="J105" s="3"/>
      <c r="K105" s="3"/>
      <c r="L105" s="3"/>
      <c r="M105" s="3" t="str">
        <f>IF(B105="","","MCQ"&amp;"_"&amp;IFERROR(VLOOKUP(B105,LOOKUPS!$K$2:$L$9,2,FALSE),"UNK")&amp;"_"&amp;IFERROR(VLOOKUP(C105,LOOKUPS!$N$2:$O$10,2,FALSE),"UNK")&amp;"_"&amp;UPPER(L105))</f>
        <v/>
      </c>
      <c r="N105" s="3" t="str">
        <f>IF(M105="","",COUNTIF($M$2:M105,M105))</f>
        <v/>
      </c>
      <c r="O105" s="3"/>
      <c r="P105" s="3"/>
      <c r="Q105" s="3"/>
      <c r="R105" s="3"/>
      <c r="S105" s="3"/>
      <c r="T105" s="3"/>
      <c r="U105" s="3"/>
      <c r="V105" s="3"/>
    </row>
    <row r="106" spans="1:22" x14ac:dyDescent="0.3">
      <c r="A106" s="3" t="str">
        <f t="shared" si="2"/>
        <v/>
      </c>
      <c r="B106" s="3"/>
      <c r="C106"/>
      <c r="D106" s="3"/>
      <c r="E106" s="3"/>
      <c r="F106" s="3"/>
      <c r="G106" s="3"/>
      <c r="H106" s="3"/>
      <c r="I106" s="3"/>
      <c r="J106" s="3"/>
      <c r="K106" s="3"/>
      <c r="L106" s="3"/>
      <c r="M106" s="3" t="str">
        <f>IF(B106="","","MCQ"&amp;"_"&amp;IFERROR(VLOOKUP(B106,LOOKUPS!$K$2:$L$9,2,FALSE),"UNK")&amp;"_"&amp;IFERROR(VLOOKUP(C106,LOOKUPS!$N$2:$O$10,2,FALSE),"UNK")&amp;"_"&amp;UPPER(L106))</f>
        <v/>
      </c>
      <c r="N106" s="3" t="str">
        <f>IF(M106="","",COUNTIF($M$2:M106,M106))</f>
        <v/>
      </c>
      <c r="O106" s="3"/>
      <c r="P106" s="3"/>
      <c r="Q106" s="3"/>
      <c r="R106" s="3"/>
      <c r="S106" s="3"/>
      <c r="T106" s="3"/>
      <c r="U106" s="3"/>
      <c r="V106" s="3"/>
    </row>
    <row r="107" spans="1:22" x14ac:dyDescent="0.3">
      <c r="A107" s="3" t="str">
        <f t="shared" si="2"/>
        <v/>
      </c>
      <c r="B107" s="3"/>
      <c r="C107"/>
      <c r="D107" s="3"/>
      <c r="E107" s="3"/>
      <c r="F107" s="3"/>
      <c r="G107" s="3"/>
      <c r="H107" s="3"/>
      <c r="I107" s="3"/>
      <c r="J107" s="3"/>
      <c r="K107" s="3"/>
      <c r="L107" s="3"/>
      <c r="M107" s="3" t="str">
        <f>IF(B107="","","MCQ"&amp;"_"&amp;IFERROR(VLOOKUP(B107,LOOKUPS!$K$2:$L$9,2,FALSE),"UNK")&amp;"_"&amp;IFERROR(VLOOKUP(C107,LOOKUPS!$N$2:$O$10,2,FALSE),"UNK")&amp;"_"&amp;UPPER(L107))</f>
        <v/>
      </c>
      <c r="N107" s="3" t="str">
        <f>IF(M107="","",COUNTIF($M$2:M107,M107))</f>
        <v/>
      </c>
      <c r="O107" s="3"/>
      <c r="P107" s="3"/>
      <c r="Q107" s="3"/>
      <c r="R107" s="3"/>
      <c r="S107" s="3"/>
      <c r="T107" s="3"/>
      <c r="U107" s="3"/>
      <c r="V107" s="3"/>
    </row>
    <row r="108" spans="1:22" x14ac:dyDescent="0.3">
      <c r="A108" s="3" t="str">
        <f t="shared" si="2"/>
        <v/>
      </c>
      <c r="B108" s="3"/>
      <c r="C108"/>
      <c r="D108" s="3"/>
      <c r="E108" s="3"/>
      <c r="F108" s="3"/>
      <c r="G108" s="3"/>
      <c r="H108" s="3"/>
      <c r="I108" s="3"/>
      <c r="J108" s="3"/>
      <c r="K108" s="3"/>
      <c r="L108" s="3"/>
      <c r="M108" s="3" t="str">
        <f>IF(B108="","","MCQ"&amp;"_"&amp;IFERROR(VLOOKUP(B108,LOOKUPS!$K$2:$L$9,2,FALSE),"UNK")&amp;"_"&amp;IFERROR(VLOOKUP(C108,LOOKUPS!$N$2:$O$10,2,FALSE),"UNK")&amp;"_"&amp;UPPER(L108))</f>
        <v/>
      </c>
      <c r="N108" s="3" t="str">
        <f>IF(M108="","",COUNTIF($M$2:M108,M108))</f>
        <v/>
      </c>
      <c r="O108" s="3"/>
      <c r="P108" s="3"/>
      <c r="Q108" s="3"/>
      <c r="R108" s="3"/>
      <c r="S108" s="3"/>
      <c r="T108" s="3"/>
      <c r="U108" s="3"/>
      <c r="V108" s="3"/>
    </row>
    <row r="109" spans="1:22" x14ac:dyDescent="0.3">
      <c r="A109" s="3" t="str">
        <f t="shared" si="2"/>
        <v/>
      </c>
      <c r="B109" s="3"/>
      <c r="C109"/>
      <c r="D109" s="3"/>
      <c r="E109" s="3"/>
      <c r="F109" s="3"/>
      <c r="G109" s="3"/>
      <c r="H109" s="3"/>
      <c r="I109" s="3"/>
      <c r="J109" s="3"/>
      <c r="K109" s="3"/>
      <c r="L109" s="3"/>
      <c r="M109" s="3" t="str">
        <f>IF(B109="","","MCQ"&amp;"_"&amp;IFERROR(VLOOKUP(B109,LOOKUPS!$K$2:$L$9,2,FALSE),"UNK")&amp;"_"&amp;IFERROR(VLOOKUP(C109,LOOKUPS!$N$2:$O$10,2,FALSE),"UNK")&amp;"_"&amp;UPPER(L109))</f>
        <v/>
      </c>
      <c r="N109" s="3" t="str">
        <f>IF(M109="","",COUNTIF($M$2:M109,M109))</f>
        <v/>
      </c>
      <c r="O109" s="3"/>
      <c r="P109" s="3"/>
      <c r="Q109" s="3"/>
      <c r="R109" s="3"/>
      <c r="S109" s="3"/>
      <c r="T109" s="3"/>
      <c r="U109" s="3"/>
      <c r="V109" s="3"/>
    </row>
    <row r="110" spans="1:22" x14ac:dyDescent="0.3">
      <c r="A110" s="3" t="str">
        <f t="shared" si="2"/>
        <v/>
      </c>
      <c r="B110" s="3"/>
      <c r="C110"/>
      <c r="D110" s="3"/>
      <c r="E110" s="3"/>
      <c r="F110" s="3"/>
      <c r="G110" s="3"/>
      <c r="H110" s="3"/>
      <c r="I110" s="3"/>
      <c r="J110" s="3"/>
      <c r="K110" s="3"/>
      <c r="L110" s="3"/>
      <c r="M110" s="3" t="str">
        <f>IF(B110="","","MCQ"&amp;"_"&amp;IFERROR(VLOOKUP(B110,LOOKUPS!$K$2:$L$9,2,FALSE),"UNK")&amp;"_"&amp;IFERROR(VLOOKUP(C110,LOOKUPS!$N$2:$O$10,2,FALSE),"UNK")&amp;"_"&amp;UPPER(L110))</f>
        <v/>
      </c>
      <c r="N110" s="3" t="str">
        <f>IF(M110="","",COUNTIF($M$2:M110,M110))</f>
        <v/>
      </c>
      <c r="O110" s="3"/>
      <c r="P110" s="3"/>
      <c r="Q110" s="3"/>
      <c r="R110" s="3"/>
      <c r="S110" s="3"/>
      <c r="T110" s="3"/>
      <c r="U110" s="3"/>
      <c r="V110" s="3"/>
    </row>
    <row r="111" spans="1:22" x14ac:dyDescent="0.3">
      <c r="A111" s="3" t="str">
        <f t="shared" si="2"/>
        <v/>
      </c>
      <c r="B111" s="3"/>
      <c r="C111"/>
      <c r="D111" s="3"/>
      <c r="E111" s="3"/>
      <c r="F111" s="3"/>
      <c r="G111" s="3"/>
      <c r="H111" s="3"/>
      <c r="I111" s="3"/>
      <c r="J111" s="3"/>
      <c r="K111" s="3"/>
      <c r="L111" s="3"/>
      <c r="M111" s="3" t="str">
        <f>IF(B111="","","MCQ"&amp;"_"&amp;IFERROR(VLOOKUP(B111,LOOKUPS!$K$2:$L$9,2,FALSE),"UNK")&amp;"_"&amp;IFERROR(VLOOKUP(C111,LOOKUPS!$N$2:$O$10,2,FALSE),"UNK")&amp;"_"&amp;UPPER(L111))</f>
        <v/>
      </c>
      <c r="N111" s="3" t="str">
        <f>IF(M111="","",COUNTIF($M$2:M111,M111))</f>
        <v/>
      </c>
      <c r="O111" s="3"/>
      <c r="P111" s="3"/>
      <c r="Q111" s="3"/>
      <c r="R111" s="3"/>
      <c r="S111" s="3"/>
      <c r="T111" s="3"/>
      <c r="U111" s="3"/>
      <c r="V111" s="3"/>
    </row>
    <row r="112" spans="1:22" x14ac:dyDescent="0.3">
      <c r="A112" s="3" t="str">
        <f t="shared" si="2"/>
        <v/>
      </c>
      <c r="B112" s="3"/>
      <c r="C112"/>
      <c r="D112" s="3"/>
      <c r="E112" s="3"/>
      <c r="F112" s="3"/>
      <c r="G112" s="3"/>
      <c r="H112" s="3"/>
      <c r="I112" s="3"/>
      <c r="J112" s="3"/>
      <c r="K112" s="3"/>
      <c r="L112" s="3"/>
      <c r="M112" s="3" t="str">
        <f>IF(B112="","","MCQ"&amp;"_"&amp;IFERROR(VLOOKUP(B112,LOOKUPS!$K$2:$L$9,2,FALSE),"UNK")&amp;"_"&amp;IFERROR(VLOOKUP(C112,LOOKUPS!$N$2:$O$10,2,FALSE),"UNK")&amp;"_"&amp;UPPER(L112))</f>
        <v/>
      </c>
      <c r="N112" s="3" t="str">
        <f>IF(M112="","",COUNTIF($M$2:M112,M112))</f>
        <v/>
      </c>
      <c r="O112" s="3"/>
      <c r="P112" s="3"/>
      <c r="Q112" s="3"/>
      <c r="R112" s="3"/>
      <c r="S112" s="3"/>
      <c r="T112" s="3"/>
      <c r="U112" s="3"/>
      <c r="V112" s="3"/>
    </row>
    <row r="113" spans="1:22" x14ac:dyDescent="0.3">
      <c r="A113" s="3" t="str">
        <f t="shared" si="2"/>
        <v/>
      </c>
      <c r="B113" s="3"/>
      <c r="C113"/>
      <c r="D113" s="3"/>
      <c r="E113" s="3"/>
      <c r="F113" s="3"/>
      <c r="G113" s="3"/>
      <c r="H113" s="3"/>
      <c r="I113" s="3"/>
      <c r="J113" s="3"/>
      <c r="K113" s="3"/>
      <c r="L113" s="3"/>
      <c r="M113" s="3" t="str">
        <f>IF(B113="","","MCQ"&amp;"_"&amp;IFERROR(VLOOKUP(B113,LOOKUPS!$K$2:$L$9,2,FALSE),"UNK")&amp;"_"&amp;IFERROR(VLOOKUP(C113,LOOKUPS!$N$2:$O$10,2,FALSE),"UNK")&amp;"_"&amp;UPPER(L113))</f>
        <v/>
      </c>
      <c r="N113" s="3" t="str">
        <f>IF(M113="","",COUNTIF($M$2:M113,M113))</f>
        <v/>
      </c>
      <c r="O113" s="3"/>
      <c r="P113" s="3"/>
      <c r="Q113" s="3"/>
      <c r="R113" s="3"/>
      <c r="S113" s="3"/>
      <c r="T113" s="3"/>
      <c r="U113" s="3"/>
      <c r="V113" s="3"/>
    </row>
    <row r="114" spans="1:22" x14ac:dyDescent="0.3">
      <c r="A114" s="3" t="str">
        <f t="shared" si="2"/>
        <v/>
      </c>
      <c r="B114" s="3"/>
      <c r="C114"/>
      <c r="D114" s="3"/>
      <c r="E114" s="3"/>
      <c r="F114" s="3"/>
      <c r="G114" s="3"/>
      <c r="H114" s="3"/>
      <c r="I114" s="3"/>
      <c r="J114" s="3"/>
      <c r="K114" s="3"/>
      <c r="L114" s="3"/>
      <c r="M114" s="3" t="str">
        <f>IF(B114="","","MCQ"&amp;"_"&amp;IFERROR(VLOOKUP(B114,LOOKUPS!$K$2:$L$9,2,FALSE),"UNK")&amp;"_"&amp;IFERROR(VLOOKUP(C114,LOOKUPS!$N$2:$O$10,2,FALSE),"UNK")&amp;"_"&amp;UPPER(L114))</f>
        <v/>
      </c>
      <c r="N114" s="3" t="str">
        <f>IF(M114="","",COUNTIF($M$2:M114,M114))</f>
        <v/>
      </c>
      <c r="O114" s="3"/>
      <c r="P114" s="3"/>
      <c r="Q114" s="3"/>
      <c r="R114" s="3"/>
      <c r="S114" s="3"/>
      <c r="T114" s="3"/>
      <c r="U114" s="3"/>
      <c r="V114" s="3"/>
    </row>
    <row r="115" spans="1:22" x14ac:dyDescent="0.3">
      <c r="A115" s="3" t="str">
        <f t="shared" si="2"/>
        <v/>
      </c>
      <c r="B115" s="3"/>
      <c r="C115"/>
      <c r="D115" s="3"/>
      <c r="E115" s="3"/>
      <c r="F115" s="3"/>
      <c r="G115" s="3"/>
      <c r="H115" s="3"/>
      <c r="I115" s="3"/>
      <c r="J115" s="3"/>
      <c r="K115" s="3"/>
      <c r="L115" s="3"/>
      <c r="M115" s="3" t="str">
        <f>IF(B115="","","MCQ"&amp;"_"&amp;IFERROR(VLOOKUP(B115,LOOKUPS!$K$2:$L$9,2,FALSE),"UNK")&amp;"_"&amp;IFERROR(VLOOKUP(C115,LOOKUPS!$N$2:$O$10,2,FALSE),"UNK")&amp;"_"&amp;UPPER(L115))</f>
        <v/>
      </c>
      <c r="N115" s="3" t="str">
        <f>IF(M115="","",COUNTIF($M$2:M115,M115))</f>
        <v/>
      </c>
      <c r="O115" s="3"/>
      <c r="P115" s="3"/>
      <c r="Q115" s="3"/>
      <c r="R115" s="3"/>
      <c r="S115" s="3"/>
      <c r="T115" s="3"/>
      <c r="U115" s="3"/>
      <c r="V115" s="3"/>
    </row>
    <row r="116" spans="1:22" x14ac:dyDescent="0.3">
      <c r="A116" s="3" t="str">
        <f t="shared" si="2"/>
        <v/>
      </c>
      <c r="B116" s="3"/>
      <c r="C116"/>
      <c r="D116" s="3"/>
      <c r="E116" s="3"/>
      <c r="F116" s="3"/>
      <c r="G116" s="3"/>
      <c r="H116" s="3"/>
      <c r="I116" s="3"/>
      <c r="J116" s="3"/>
      <c r="K116" s="3"/>
      <c r="L116" s="3"/>
      <c r="M116" s="3" t="str">
        <f>IF(B116="","","MCQ"&amp;"_"&amp;IFERROR(VLOOKUP(B116,LOOKUPS!$K$2:$L$9,2,FALSE),"UNK")&amp;"_"&amp;IFERROR(VLOOKUP(C116,LOOKUPS!$N$2:$O$10,2,FALSE),"UNK")&amp;"_"&amp;UPPER(L116))</f>
        <v/>
      </c>
      <c r="N116" s="3" t="str">
        <f>IF(M116="","",COUNTIF($M$2:M116,M116))</f>
        <v/>
      </c>
      <c r="O116" s="3"/>
      <c r="P116" s="3"/>
      <c r="Q116" s="3"/>
      <c r="R116" s="3"/>
      <c r="S116" s="3"/>
      <c r="T116" s="3"/>
      <c r="U116" s="3"/>
      <c r="V116" s="3"/>
    </row>
    <row r="117" spans="1:22" x14ac:dyDescent="0.3">
      <c r="A117" s="3" t="str">
        <f t="shared" si="2"/>
        <v/>
      </c>
      <c r="B117" s="3"/>
      <c r="C117"/>
      <c r="D117" s="3"/>
      <c r="E117" s="3"/>
      <c r="F117" s="3"/>
      <c r="G117" s="3"/>
      <c r="H117" s="3"/>
      <c r="I117" s="3"/>
      <c r="J117" s="3"/>
      <c r="K117" s="3"/>
      <c r="L117" s="3"/>
      <c r="M117" s="3" t="str">
        <f>IF(B117="","","MCQ"&amp;"_"&amp;IFERROR(VLOOKUP(B117,LOOKUPS!$K$2:$L$9,2,FALSE),"UNK")&amp;"_"&amp;IFERROR(VLOOKUP(C117,LOOKUPS!$N$2:$O$10,2,FALSE),"UNK")&amp;"_"&amp;UPPER(L117))</f>
        <v/>
      </c>
      <c r="N117" s="3" t="str">
        <f>IF(M117="","",COUNTIF($M$2:M117,M117))</f>
        <v/>
      </c>
      <c r="O117" s="3"/>
      <c r="P117" s="3"/>
      <c r="Q117" s="3"/>
      <c r="R117" s="3"/>
      <c r="S117" s="3"/>
      <c r="T117" s="3"/>
      <c r="U117" s="3"/>
      <c r="V117" s="3"/>
    </row>
    <row r="118" spans="1:22" x14ac:dyDescent="0.3">
      <c r="A118" s="3" t="str">
        <f t="shared" si="2"/>
        <v/>
      </c>
      <c r="B118" s="3"/>
      <c r="C118"/>
      <c r="D118" s="3"/>
      <c r="E118" s="3"/>
      <c r="F118" s="3"/>
      <c r="G118" s="3"/>
      <c r="H118" s="3"/>
      <c r="I118" s="3"/>
      <c r="J118" s="3"/>
      <c r="K118" s="3"/>
      <c r="L118" s="3"/>
      <c r="M118" s="3" t="str">
        <f>IF(B118="","","MCQ"&amp;"_"&amp;IFERROR(VLOOKUP(B118,LOOKUPS!$K$2:$L$9,2,FALSE),"UNK")&amp;"_"&amp;IFERROR(VLOOKUP(C118,LOOKUPS!$N$2:$O$10,2,FALSE),"UNK")&amp;"_"&amp;UPPER(L118))</f>
        <v/>
      </c>
      <c r="N118" s="3" t="str">
        <f>IF(M118="","",COUNTIF($M$2:M118,M118))</f>
        <v/>
      </c>
      <c r="O118" s="3"/>
      <c r="P118" s="3"/>
      <c r="Q118" s="3"/>
      <c r="R118" s="3"/>
      <c r="S118" s="3"/>
      <c r="T118" s="3"/>
      <c r="U118" s="3"/>
      <c r="V118" s="3"/>
    </row>
    <row r="119" spans="1:22" x14ac:dyDescent="0.3">
      <c r="A119" s="3" t="str">
        <f t="shared" si="2"/>
        <v/>
      </c>
      <c r="B119" s="3"/>
      <c r="C119"/>
      <c r="D119" s="3"/>
      <c r="E119" s="3"/>
      <c r="F119" s="3"/>
      <c r="G119" s="3"/>
      <c r="H119" s="3"/>
      <c r="I119" s="3"/>
      <c r="J119" s="3"/>
      <c r="K119" s="3"/>
      <c r="L119" s="3"/>
      <c r="M119" s="3" t="str">
        <f>IF(B119="","","MCQ"&amp;"_"&amp;IFERROR(VLOOKUP(B119,LOOKUPS!$K$2:$L$9,2,FALSE),"UNK")&amp;"_"&amp;IFERROR(VLOOKUP(C119,LOOKUPS!$N$2:$O$10,2,FALSE),"UNK")&amp;"_"&amp;UPPER(L119))</f>
        <v/>
      </c>
      <c r="N119" s="3" t="str">
        <f>IF(M119="","",COUNTIF($M$2:M119,M119))</f>
        <v/>
      </c>
      <c r="O119" s="3"/>
      <c r="P119" s="3"/>
      <c r="Q119" s="3"/>
      <c r="R119" s="3"/>
      <c r="S119" s="3"/>
      <c r="T119" s="3"/>
      <c r="U119" s="3"/>
      <c r="V119" s="3"/>
    </row>
    <row r="120" spans="1:22" x14ac:dyDescent="0.3">
      <c r="A120" s="3" t="str">
        <f t="shared" si="2"/>
        <v/>
      </c>
      <c r="B120" s="3"/>
      <c r="C120"/>
      <c r="D120" s="3"/>
      <c r="E120" s="3"/>
      <c r="F120" s="3"/>
      <c r="G120" s="3"/>
      <c r="H120" s="3"/>
      <c r="I120" s="3"/>
      <c r="J120" s="3"/>
      <c r="K120" s="3"/>
      <c r="L120" s="3"/>
      <c r="M120" s="3" t="str">
        <f>IF(B120="","","MCQ"&amp;"_"&amp;IFERROR(VLOOKUP(B120,LOOKUPS!$K$2:$L$9,2,FALSE),"UNK")&amp;"_"&amp;IFERROR(VLOOKUP(C120,LOOKUPS!$N$2:$O$10,2,FALSE),"UNK")&amp;"_"&amp;UPPER(L120))</f>
        <v/>
      </c>
      <c r="N120" s="3" t="str">
        <f>IF(M120="","",COUNTIF($M$2:M120,M120))</f>
        <v/>
      </c>
      <c r="O120" s="3"/>
      <c r="P120" s="3"/>
      <c r="Q120" s="3"/>
      <c r="R120" s="3"/>
      <c r="S120" s="3"/>
      <c r="T120" s="3"/>
      <c r="U120" s="3"/>
      <c r="V120" s="3"/>
    </row>
    <row r="121" spans="1:22" x14ac:dyDescent="0.3">
      <c r="A121" s="3" t="str">
        <f t="shared" si="2"/>
        <v/>
      </c>
      <c r="B121" s="3"/>
      <c r="C121"/>
      <c r="D121" s="3"/>
      <c r="E121" s="3"/>
      <c r="F121" s="3"/>
      <c r="G121" s="3"/>
      <c r="H121" s="3"/>
      <c r="I121" s="3"/>
      <c r="J121" s="3"/>
      <c r="K121" s="3"/>
      <c r="L121" s="3"/>
      <c r="M121" s="3" t="str">
        <f>IF(B121="","","MCQ"&amp;"_"&amp;IFERROR(VLOOKUP(B121,LOOKUPS!$K$2:$L$9,2,FALSE),"UNK")&amp;"_"&amp;IFERROR(VLOOKUP(C121,LOOKUPS!$N$2:$O$10,2,FALSE),"UNK")&amp;"_"&amp;UPPER(L121))</f>
        <v/>
      </c>
      <c r="N121" s="3" t="str">
        <f>IF(M121="","",COUNTIF($M$2:M121,M121))</f>
        <v/>
      </c>
      <c r="O121" s="3"/>
      <c r="P121" s="3"/>
      <c r="Q121" s="3"/>
      <c r="R121" s="3"/>
      <c r="S121" s="3"/>
      <c r="T121" s="3"/>
      <c r="U121" s="3"/>
      <c r="V121" s="3"/>
    </row>
    <row r="122" spans="1:22" x14ac:dyDescent="0.3">
      <c r="A122" s="3" t="str">
        <f t="shared" si="2"/>
        <v/>
      </c>
      <c r="B122" s="3"/>
      <c r="C122"/>
      <c r="D122" s="3"/>
      <c r="E122" s="3"/>
      <c r="F122" s="3"/>
      <c r="G122" s="3"/>
      <c r="H122" s="3"/>
      <c r="I122" s="3"/>
      <c r="J122" s="3"/>
      <c r="K122" s="3"/>
      <c r="L122" s="3"/>
      <c r="M122" s="3" t="str">
        <f>IF(B122="","","MCQ"&amp;"_"&amp;IFERROR(VLOOKUP(B122,LOOKUPS!$K$2:$L$9,2,FALSE),"UNK")&amp;"_"&amp;IFERROR(VLOOKUP(C122,LOOKUPS!$N$2:$O$10,2,FALSE),"UNK")&amp;"_"&amp;UPPER(L122))</f>
        <v/>
      </c>
      <c r="N122" s="3" t="str">
        <f>IF(M122="","",COUNTIF($M$2:M122,M122))</f>
        <v/>
      </c>
      <c r="O122" s="3"/>
      <c r="P122" s="3"/>
      <c r="Q122" s="3"/>
      <c r="R122" s="3"/>
      <c r="S122" s="3"/>
      <c r="T122" s="3"/>
      <c r="U122" s="3"/>
      <c r="V122" s="3"/>
    </row>
    <row r="123" spans="1:22" x14ac:dyDescent="0.3">
      <c r="A123" s="3" t="str">
        <f t="shared" si="2"/>
        <v/>
      </c>
      <c r="B123" s="3"/>
      <c r="C123"/>
      <c r="D123" s="3"/>
      <c r="E123" s="3"/>
      <c r="F123" s="3"/>
      <c r="G123" s="3"/>
      <c r="H123" s="3"/>
      <c r="I123" s="3"/>
      <c r="J123" s="3"/>
      <c r="K123" s="3"/>
      <c r="L123" s="3"/>
      <c r="M123" s="3" t="str">
        <f>IF(B123="","","MCQ"&amp;"_"&amp;IFERROR(VLOOKUP(B123,LOOKUPS!$K$2:$L$9,2,FALSE),"UNK")&amp;"_"&amp;IFERROR(VLOOKUP(C123,LOOKUPS!$N$2:$O$10,2,FALSE),"UNK")&amp;"_"&amp;UPPER(L123))</f>
        <v/>
      </c>
      <c r="N123" s="3" t="str">
        <f>IF(M123="","",COUNTIF($M$2:M123,M123))</f>
        <v/>
      </c>
      <c r="O123" s="3"/>
      <c r="P123" s="3"/>
      <c r="Q123" s="3"/>
      <c r="R123" s="3"/>
      <c r="S123" s="3"/>
      <c r="T123" s="3"/>
      <c r="U123" s="3"/>
      <c r="V123" s="3"/>
    </row>
    <row r="124" spans="1:22" x14ac:dyDescent="0.3">
      <c r="A124" s="3" t="str">
        <f t="shared" si="2"/>
        <v/>
      </c>
      <c r="B124" s="3"/>
      <c r="C124"/>
      <c r="D124" s="3"/>
      <c r="E124" s="3"/>
      <c r="F124" s="3"/>
      <c r="G124" s="3"/>
      <c r="H124" s="3"/>
      <c r="I124" s="3"/>
      <c r="J124" s="3"/>
      <c r="K124" s="3"/>
      <c r="L124" s="3"/>
      <c r="M124" s="3" t="str">
        <f>IF(B124="","","MCQ"&amp;"_"&amp;IFERROR(VLOOKUP(B124,LOOKUPS!$K$2:$L$9,2,FALSE),"UNK")&amp;"_"&amp;IFERROR(VLOOKUP(C124,LOOKUPS!$N$2:$O$10,2,FALSE),"UNK")&amp;"_"&amp;UPPER(L124))</f>
        <v/>
      </c>
      <c r="N124" s="3" t="str">
        <f>IF(M124="","",COUNTIF($M$2:M124,M124))</f>
        <v/>
      </c>
      <c r="O124" s="3"/>
      <c r="P124" s="3"/>
      <c r="Q124" s="3"/>
      <c r="R124" s="3"/>
      <c r="S124" s="3"/>
      <c r="T124" s="3"/>
      <c r="U124" s="3"/>
      <c r="V124" s="3"/>
    </row>
    <row r="125" spans="1:22" x14ac:dyDescent="0.3">
      <c r="A125" s="3" t="str">
        <f t="shared" si="2"/>
        <v/>
      </c>
      <c r="B125" s="3"/>
      <c r="C125"/>
      <c r="D125" s="3"/>
      <c r="E125" s="3"/>
      <c r="F125" s="3"/>
      <c r="G125" s="3"/>
      <c r="H125" s="3"/>
      <c r="I125" s="3"/>
      <c r="J125" s="3"/>
      <c r="K125" s="3"/>
      <c r="L125" s="3"/>
      <c r="M125" s="3" t="str">
        <f>IF(B125="","","MCQ"&amp;"_"&amp;IFERROR(VLOOKUP(B125,LOOKUPS!$K$2:$L$9,2,FALSE),"UNK")&amp;"_"&amp;IFERROR(VLOOKUP(C125,LOOKUPS!$N$2:$O$10,2,FALSE),"UNK")&amp;"_"&amp;UPPER(L125))</f>
        <v/>
      </c>
      <c r="N125" s="3" t="str">
        <f>IF(M125="","",COUNTIF($M$2:M125,M125))</f>
        <v/>
      </c>
      <c r="O125" s="3"/>
      <c r="P125" s="3"/>
      <c r="Q125" s="3"/>
      <c r="R125" s="3"/>
      <c r="S125" s="3"/>
      <c r="T125" s="3"/>
      <c r="U125" s="3"/>
      <c r="V125" s="3"/>
    </row>
    <row r="126" spans="1:22" x14ac:dyDescent="0.3">
      <c r="A126" s="3" t="str">
        <f t="shared" si="2"/>
        <v/>
      </c>
      <c r="B126" s="3"/>
      <c r="C126"/>
      <c r="D126" s="3"/>
      <c r="E126" s="3"/>
      <c r="F126" s="3"/>
      <c r="G126" s="3"/>
      <c r="H126" s="3"/>
      <c r="I126" s="3"/>
      <c r="J126" s="3"/>
      <c r="K126" s="3"/>
      <c r="L126" s="3"/>
      <c r="M126" s="3" t="str">
        <f>IF(B126="","","MCQ"&amp;"_"&amp;IFERROR(VLOOKUP(B126,LOOKUPS!$K$2:$L$9,2,FALSE),"UNK")&amp;"_"&amp;IFERROR(VLOOKUP(C126,LOOKUPS!$N$2:$O$10,2,FALSE),"UNK")&amp;"_"&amp;UPPER(L126))</f>
        <v/>
      </c>
      <c r="N126" s="3" t="str">
        <f>IF(M126="","",COUNTIF($M$2:M126,M126))</f>
        <v/>
      </c>
      <c r="O126" s="3"/>
      <c r="P126" s="3"/>
      <c r="Q126" s="3"/>
      <c r="R126" s="3"/>
      <c r="S126" s="3"/>
      <c r="T126" s="3"/>
      <c r="U126" s="3"/>
      <c r="V126" s="3"/>
    </row>
    <row r="127" spans="1:22" x14ac:dyDescent="0.3">
      <c r="A127" s="3" t="str">
        <f t="shared" si="2"/>
        <v/>
      </c>
      <c r="B127" s="3"/>
      <c r="C127"/>
      <c r="D127" s="3"/>
      <c r="E127" s="3"/>
      <c r="F127" s="3"/>
      <c r="G127" s="3"/>
      <c r="H127" s="3"/>
      <c r="I127" s="3"/>
      <c r="J127" s="3"/>
      <c r="K127" s="3"/>
      <c r="L127" s="3"/>
      <c r="M127" s="3" t="str">
        <f>IF(B127="","","MCQ"&amp;"_"&amp;IFERROR(VLOOKUP(B127,LOOKUPS!$K$2:$L$9,2,FALSE),"UNK")&amp;"_"&amp;IFERROR(VLOOKUP(C127,LOOKUPS!$N$2:$O$10,2,FALSE),"UNK")&amp;"_"&amp;UPPER(L127))</f>
        <v/>
      </c>
      <c r="N127" s="3" t="str">
        <f>IF(M127="","",COUNTIF($M$2:M127,M127))</f>
        <v/>
      </c>
      <c r="O127" s="3"/>
      <c r="P127" s="3"/>
      <c r="Q127" s="3"/>
      <c r="R127" s="3"/>
      <c r="S127" s="3"/>
      <c r="T127" s="3"/>
      <c r="U127" s="3"/>
      <c r="V127" s="3"/>
    </row>
    <row r="128" spans="1:22" x14ac:dyDescent="0.3">
      <c r="A128" s="3" t="str">
        <f t="shared" si="2"/>
        <v/>
      </c>
      <c r="B128" s="3"/>
      <c r="C128"/>
      <c r="D128" s="3"/>
      <c r="E128" s="3"/>
      <c r="F128" s="3"/>
      <c r="G128" s="3"/>
      <c r="H128" s="3"/>
      <c r="I128" s="3"/>
      <c r="J128" s="3"/>
      <c r="K128" s="3"/>
      <c r="L128" s="3"/>
      <c r="M128" s="3" t="str">
        <f>IF(B128="","","MCQ"&amp;"_"&amp;IFERROR(VLOOKUP(B128,LOOKUPS!$K$2:$L$9,2,FALSE),"UNK")&amp;"_"&amp;IFERROR(VLOOKUP(C128,LOOKUPS!$N$2:$O$10,2,FALSE),"UNK")&amp;"_"&amp;UPPER(L128))</f>
        <v/>
      </c>
      <c r="N128" s="3" t="str">
        <f>IF(M128="","",COUNTIF($M$2:M128,M128))</f>
        <v/>
      </c>
      <c r="O128" s="3"/>
      <c r="P128" s="3"/>
      <c r="Q128" s="3"/>
      <c r="R128" s="3"/>
      <c r="S128" s="3"/>
      <c r="T128" s="3"/>
      <c r="U128" s="3"/>
      <c r="V128" s="3"/>
    </row>
    <row r="129" spans="1:22" x14ac:dyDescent="0.3">
      <c r="A129" s="3" t="str">
        <f t="shared" ref="A129:A130" si="3">IF(M129="","",M129&amp;"_"&amp;TEXT(N129,"000"))</f>
        <v/>
      </c>
      <c r="B129" s="3"/>
      <c r="C129"/>
      <c r="D129" s="3"/>
      <c r="E129" s="3"/>
      <c r="F129" s="3"/>
      <c r="G129" s="3"/>
      <c r="H129" s="3"/>
      <c r="I129" s="3"/>
      <c r="J129" s="3"/>
      <c r="K129" s="3"/>
      <c r="L129" s="3"/>
      <c r="M129" s="3" t="str">
        <f>IF(B129="","","MCQ"&amp;"_"&amp;IFERROR(VLOOKUP(B129,LOOKUPS!$K$2:$L$9,2,FALSE),"UNK")&amp;"_"&amp;IFERROR(VLOOKUP(C129,LOOKUPS!$N$2:$O$10,2,FALSE),"UNK")&amp;"_"&amp;UPPER(L129))</f>
        <v/>
      </c>
      <c r="N129" s="3" t="str">
        <f>IF(M129="","",COUNTIF($M$2:M129,M129))</f>
        <v/>
      </c>
      <c r="O129" s="3"/>
      <c r="P129" s="3"/>
      <c r="Q129" s="3"/>
      <c r="R129" s="3"/>
      <c r="S129" s="3"/>
      <c r="T129" s="3"/>
      <c r="U129" s="3"/>
      <c r="V129" s="3"/>
    </row>
    <row r="130" spans="1:22" x14ac:dyDescent="0.3">
      <c r="A130" s="3" t="str">
        <f t="shared" si="3"/>
        <v/>
      </c>
      <c r="B130" s="3"/>
      <c r="C130"/>
      <c r="D130" s="3"/>
      <c r="E130" s="3"/>
      <c r="F130" s="3"/>
      <c r="G130" s="3"/>
      <c r="H130" s="3"/>
      <c r="I130" s="3"/>
      <c r="J130" s="3"/>
      <c r="K130" s="3"/>
      <c r="L130" s="3"/>
      <c r="M130" s="3" t="str">
        <f>IF(B130="","","MCQ"&amp;"_"&amp;IFERROR(VLOOKUP(B130,LOOKUPS!$K$2:$L$9,2,FALSE),"UNK")&amp;"_"&amp;IFERROR(VLOOKUP(C130,LOOKUPS!$N$2:$O$10,2,FALSE),"UNK")&amp;"_"&amp;UPPER(L130))</f>
        <v/>
      </c>
      <c r="N130" s="3" t="str">
        <f>IF(M130="","",COUNTIF($M$2:M130,M130))</f>
        <v/>
      </c>
      <c r="O130" s="3"/>
      <c r="P130" s="3"/>
      <c r="Q130" s="3"/>
      <c r="R130" s="3"/>
      <c r="S130" s="3"/>
      <c r="T130" s="3"/>
      <c r="U130" s="3"/>
      <c r="V130" s="3"/>
    </row>
    <row r="131" spans="1:22" x14ac:dyDescent="0.3">
      <c r="A131" s="3" t="str">
        <f t="shared" ref="A131:A144" si="4">IF(M131="","",M131&amp;"_"&amp;TEXT(N131,"000"))</f>
        <v/>
      </c>
      <c r="B131" s="3"/>
      <c r="C131"/>
      <c r="D131" s="3"/>
      <c r="E131" s="3"/>
      <c r="F131" s="3"/>
      <c r="G131" s="3"/>
      <c r="H131" s="3"/>
      <c r="I131" s="3"/>
      <c r="J131" s="3"/>
      <c r="K131" s="3"/>
      <c r="L131" s="3"/>
      <c r="M131" s="3" t="str">
        <f>IF(B131="","","MCQ"&amp;"_"&amp;IFERROR(VLOOKUP(B131,LOOKUPS!$K$2:$L$9,2,FALSE),"UNK")&amp;"_"&amp;IFERROR(VLOOKUP(C131,LOOKUPS!$N$2:$O$10,2,FALSE),"UNK")&amp;"_"&amp;UPPER(L131))</f>
        <v/>
      </c>
      <c r="N131" s="3" t="str">
        <f>IF(M131="","",COUNTIF($M$2:M131,M131))</f>
        <v/>
      </c>
      <c r="O131" s="3"/>
      <c r="P131" s="3"/>
      <c r="Q131" s="3"/>
      <c r="R131" s="3"/>
      <c r="S131" s="3"/>
      <c r="T131" s="3"/>
      <c r="U131" s="3"/>
      <c r="V131" s="3"/>
    </row>
    <row r="132" spans="1:22" x14ac:dyDescent="0.3">
      <c r="A132" s="3" t="str">
        <f t="shared" si="4"/>
        <v/>
      </c>
      <c r="B132" s="3"/>
      <c r="C132"/>
      <c r="D132" s="3"/>
      <c r="E132" s="3"/>
      <c r="F132" s="3"/>
      <c r="G132" s="3"/>
      <c r="H132" s="3"/>
      <c r="I132" s="3"/>
      <c r="J132" s="3"/>
      <c r="K132" s="3"/>
      <c r="L132" s="3"/>
      <c r="M132" s="3" t="str">
        <f>IF(B132="","","MCQ"&amp;"_"&amp;IFERROR(VLOOKUP(B132,LOOKUPS!$K$2:$L$9,2,FALSE),"UNK")&amp;"_"&amp;IFERROR(VLOOKUP(C132,LOOKUPS!$N$2:$O$10,2,FALSE),"UNK")&amp;"_"&amp;UPPER(L132))</f>
        <v/>
      </c>
      <c r="N132" s="3" t="str">
        <f>IF(M132="","",COUNTIF($M$2:M132,M132))</f>
        <v/>
      </c>
      <c r="O132" s="3"/>
      <c r="P132" s="3"/>
      <c r="Q132" s="3"/>
      <c r="R132" s="3"/>
      <c r="S132" s="3"/>
      <c r="T132" s="3"/>
      <c r="U132" s="3"/>
      <c r="V132" s="3"/>
    </row>
    <row r="133" spans="1:22" x14ac:dyDescent="0.3">
      <c r="A133" s="3" t="str">
        <f t="shared" si="4"/>
        <v/>
      </c>
      <c r="B133" s="3"/>
      <c r="C133"/>
      <c r="D133" s="3"/>
      <c r="E133" s="3"/>
      <c r="F133" s="3"/>
      <c r="G133" s="3"/>
      <c r="H133" s="3"/>
      <c r="I133" s="3"/>
      <c r="J133" s="3"/>
      <c r="K133" s="3"/>
      <c r="L133" s="3"/>
      <c r="M133" s="3" t="str">
        <f>IF(B133="","","MCQ"&amp;"_"&amp;IFERROR(VLOOKUP(B133,LOOKUPS!$K$2:$L$9,2,FALSE),"UNK")&amp;"_"&amp;IFERROR(VLOOKUP(C133,LOOKUPS!$N$2:$O$10,2,FALSE),"UNK")&amp;"_"&amp;UPPER(L133))</f>
        <v/>
      </c>
      <c r="N133" s="3" t="str">
        <f>IF(M133="","",COUNTIF($M$2:M133,M133))</f>
        <v/>
      </c>
      <c r="O133" s="3"/>
      <c r="P133" s="3"/>
      <c r="Q133" s="3"/>
      <c r="R133" s="3"/>
      <c r="S133" s="3"/>
      <c r="T133" s="3"/>
      <c r="U133" s="3"/>
      <c r="V133" s="3"/>
    </row>
    <row r="134" spans="1:22" x14ac:dyDescent="0.3">
      <c r="A134" s="3" t="str">
        <f t="shared" si="4"/>
        <v/>
      </c>
      <c r="B134" s="3"/>
      <c r="C134"/>
      <c r="D134" s="3"/>
      <c r="E134" s="3"/>
      <c r="F134" s="3"/>
      <c r="G134" s="3"/>
      <c r="H134" s="3"/>
      <c r="I134" s="3"/>
      <c r="J134" s="3"/>
      <c r="K134" s="3"/>
      <c r="L134" s="3"/>
      <c r="M134" s="3" t="str">
        <f>IF(B134="","","MCQ"&amp;"_"&amp;IFERROR(VLOOKUP(B134,LOOKUPS!$K$2:$L$9,2,FALSE),"UNK")&amp;"_"&amp;IFERROR(VLOOKUP(C134,LOOKUPS!$N$2:$O$10,2,FALSE),"UNK")&amp;"_"&amp;UPPER(L134))</f>
        <v/>
      </c>
      <c r="N134" s="3" t="str">
        <f>IF(M134="","",COUNTIF($M$2:M134,M134))</f>
        <v/>
      </c>
      <c r="O134" s="3"/>
      <c r="P134" s="3"/>
      <c r="Q134" s="3"/>
      <c r="R134" s="3"/>
      <c r="S134" s="3"/>
      <c r="T134" s="3"/>
      <c r="U134" s="3"/>
      <c r="V134" s="3"/>
    </row>
    <row r="135" spans="1:22" x14ac:dyDescent="0.3">
      <c r="A135" s="3" t="str">
        <f t="shared" si="4"/>
        <v/>
      </c>
      <c r="B135" s="3"/>
      <c r="C135"/>
      <c r="D135" s="3"/>
      <c r="E135" s="3"/>
      <c r="F135" s="3"/>
      <c r="G135" s="3"/>
      <c r="H135" s="3"/>
      <c r="I135" s="3"/>
      <c r="J135" s="3"/>
      <c r="K135" s="3"/>
      <c r="L135" s="3"/>
      <c r="M135" s="3" t="str">
        <f>IF(B135="","","MCQ"&amp;"_"&amp;IFERROR(VLOOKUP(B135,LOOKUPS!$K$2:$L$9,2,FALSE),"UNK")&amp;"_"&amp;IFERROR(VLOOKUP(C135,LOOKUPS!$N$2:$O$10,2,FALSE),"UNK")&amp;"_"&amp;UPPER(L135))</f>
        <v/>
      </c>
      <c r="N135" s="3" t="str">
        <f>IF(M135="","",COUNTIF($M$2:M135,M135))</f>
        <v/>
      </c>
      <c r="O135" s="3"/>
      <c r="P135" s="3"/>
      <c r="Q135" s="3"/>
      <c r="R135" s="3"/>
      <c r="S135" s="3"/>
      <c r="T135" s="3"/>
      <c r="U135" s="3"/>
      <c r="V135" s="3"/>
    </row>
    <row r="136" spans="1:22" x14ac:dyDescent="0.3">
      <c r="A136" s="3" t="str">
        <f t="shared" si="4"/>
        <v/>
      </c>
      <c r="B136" s="3"/>
      <c r="C136"/>
      <c r="D136" s="3"/>
      <c r="E136" s="3"/>
      <c r="F136" s="3"/>
      <c r="G136" s="3"/>
      <c r="H136" s="3"/>
      <c r="I136" s="3"/>
      <c r="J136" s="3"/>
      <c r="K136" s="3"/>
      <c r="L136" s="3"/>
      <c r="M136" s="3" t="str">
        <f>IF(B136="","","MCQ"&amp;"_"&amp;IFERROR(VLOOKUP(B136,LOOKUPS!$K$2:$L$9,2,FALSE),"UNK")&amp;"_"&amp;IFERROR(VLOOKUP(C136,LOOKUPS!$N$2:$O$10,2,FALSE),"UNK")&amp;"_"&amp;UPPER(L136))</f>
        <v/>
      </c>
      <c r="N136" s="3" t="str">
        <f>IF(M136="","",COUNTIF($M$2:M136,M136))</f>
        <v/>
      </c>
      <c r="O136" s="3"/>
      <c r="P136" s="3"/>
      <c r="Q136" s="3"/>
      <c r="R136" s="3"/>
      <c r="S136" s="3"/>
      <c r="T136" s="3"/>
      <c r="U136" s="3"/>
      <c r="V136" s="3"/>
    </row>
    <row r="137" spans="1:22" x14ac:dyDescent="0.3">
      <c r="A137" s="3" t="str">
        <f t="shared" si="4"/>
        <v/>
      </c>
      <c r="B137" s="3"/>
      <c r="C137"/>
      <c r="D137" s="3"/>
      <c r="E137" s="3"/>
      <c r="F137" s="3"/>
      <c r="G137" s="3"/>
      <c r="H137" s="3"/>
      <c r="I137" s="3"/>
      <c r="J137" s="3"/>
      <c r="K137" s="3"/>
      <c r="L137" s="3"/>
      <c r="M137" s="3" t="str">
        <f>IF(B137="","","MCQ"&amp;"_"&amp;IFERROR(VLOOKUP(B137,LOOKUPS!$K$2:$L$9,2,FALSE),"UNK")&amp;"_"&amp;IFERROR(VLOOKUP(C137,LOOKUPS!$N$2:$O$10,2,FALSE),"UNK")&amp;"_"&amp;UPPER(L137))</f>
        <v/>
      </c>
      <c r="N137" s="3" t="str">
        <f>IF(M137="","",COUNTIF($M$2:M137,M137))</f>
        <v/>
      </c>
      <c r="O137" s="3"/>
      <c r="P137" s="3"/>
      <c r="Q137" s="3"/>
      <c r="R137" s="3"/>
      <c r="S137" s="3"/>
      <c r="T137" s="3"/>
      <c r="U137" s="3"/>
      <c r="V137" s="3"/>
    </row>
    <row r="138" spans="1:22" x14ac:dyDescent="0.3">
      <c r="A138" s="3" t="str">
        <f t="shared" si="4"/>
        <v/>
      </c>
      <c r="B138" s="3"/>
      <c r="C138"/>
      <c r="D138" s="3"/>
      <c r="E138" s="3"/>
      <c r="F138" s="3"/>
      <c r="G138" s="3"/>
      <c r="H138" s="3"/>
      <c r="I138" s="3"/>
      <c r="J138" s="3"/>
      <c r="K138" s="3"/>
      <c r="L138" s="3"/>
      <c r="M138" s="3" t="str">
        <f>IF(B138="","","MCQ"&amp;"_"&amp;IFERROR(VLOOKUP(B138,LOOKUPS!$K$2:$L$9,2,FALSE),"UNK")&amp;"_"&amp;IFERROR(VLOOKUP(C138,LOOKUPS!$N$2:$O$10,2,FALSE),"UNK")&amp;"_"&amp;UPPER(L138))</f>
        <v/>
      </c>
      <c r="N138" s="3" t="str">
        <f>IF(M138="","",COUNTIF($M$2:M138,M138))</f>
        <v/>
      </c>
      <c r="O138" s="3"/>
      <c r="P138" s="3"/>
      <c r="Q138" s="3"/>
      <c r="R138" s="3"/>
      <c r="S138" s="3"/>
      <c r="T138" s="3"/>
      <c r="U138" s="3"/>
      <c r="V138" s="3"/>
    </row>
    <row r="139" spans="1:22" x14ac:dyDescent="0.3">
      <c r="A139" s="3" t="str">
        <f t="shared" si="4"/>
        <v/>
      </c>
      <c r="B139" s="3"/>
      <c r="C139"/>
      <c r="D139" s="3"/>
      <c r="E139" s="3"/>
      <c r="F139" s="3"/>
      <c r="G139" s="3"/>
      <c r="H139" s="3"/>
      <c r="I139" s="3"/>
      <c r="J139" s="3"/>
      <c r="K139" s="3"/>
      <c r="L139" s="3"/>
      <c r="M139" s="3" t="str">
        <f>IF(B139="","","MCQ"&amp;"_"&amp;IFERROR(VLOOKUP(B139,LOOKUPS!$K$2:$L$9,2,FALSE),"UNK")&amp;"_"&amp;IFERROR(VLOOKUP(C139,LOOKUPS!$N$2:$O$10,2,FALSE),"UNK")&amp;"_"&amp;UPPER(L139))</f>
        <v/>
      </c>
      <c r="N139" s="3" t="str">
        <f>IF(M139="","",COUNTIF($M$2:M139,M139))</f>
        <v/>
      </c>
      <c r="O139" s="3"/>
      <c r="P139" s="3"/>
      <c r="Q139" s="3"/>
      <c r="R139" s="3"/>
      <c r="S139" s="3"/>
      <c r="T139" s="3"/>
      <c r="U139" s="3"/>
      <c r="V139" s="3"/>
    </row>
    <row r="140" spans="1:22" x14ac:dyDescent="0.3">
      <c r="A140" s="3" t="str">
        <f t="shared" si="4"/>
        <v/>
      </c>
      <c r="B140" s="3"/>
      <c r="C140"/>
      <c r="D140" s="3"/>
      <c r="E140" s="3"/>
      <c r="F140" s="3"/>
      <c r="G140" s="3"/>
      <c r="H140" s="3"/>
      <c r="I140" s="3"/>
      <c r="J140" s="3"/>
      <c r="K140" s="3"/>
      <c r="L140" s="3"/>
      <c r="M140" s="3" t="str">
        <f>IF(B140="","","MCQ"&amp;"_"&amp;IFERROR(VLOOKUP(B140,LOOKUPS!$K$2:$L$9,2,FALSE),"UNK")&amp;"_"&amp;IFERROR(VLOOKUP(C140,LOOKUPS!$N$2:$O$10,2,FALSE),"UNK")&amp;"_"&amp;UPPER(L140))</f>
        <v/>
      </c>
      <c r="N140" s="3" t="str">
        <f>IF(M140="","",COUNTIF($M$2:M140,M140))</f>
        <v/>
      </c>
      <c r="O140" s="3"/>
      <c r="P140" s="3"/>
      <c r="Q140" s="3"/>
      <c r="R140" s="3"/>
      <c r="S140" s="3"/>
      <c r="T140" s="3"/>
      <c r="U140" s="3"/>
      <c r="V140" s="3"/>
    </row>
    <row r="141" spans="1:22" x14ac:dyDescent="0.3">
      <c r="A141" s="3" t="str">
        <f t="shared" si="4"/>
        <v/>
      </c>
      <c r="B141" s="3"/>
      <c r="C141"/>
      <c r="D141" s="3"/>
      <c r="E141" s="3"/>
      <c r="F141" s="3"/>
      <c r="G141" s="3"/>
      <c r="H141" s="3"/>
      <c r="I141" s="3"/>
      <c r="J141" s="3"/>
      <c r="K141" s="3"/>
      <c r="L141" s="3"/>
      <c r="M141" s="3" t="str">
        <f>IF(B141="","","MCQ"&amp;"_"&amp;IFERROR(VLOOKUP(B141,LOOKUPS!$K$2:$L$9,2,FALSE),"UNK")&amp;"_"&amp;IFERROR(VLOOKUP(C141,LOOKUPS!$N$2:$O$10,2,FALSE),"UNK")&amp;"_"&amp;UPPER(L141))</f>
        <v/>
      </c>
      <c r="N141" s="3" t="str">
        <f>IF(M141="","",COUNTIF($M$2:M141,M141))</f>
        <v/>
      </c>
      <c r="O141" s="3"/>
      <c r="P141" s="3"/>
      <c r="Q141" s="3"/>
      <c r="R141" s="3"/>
      <c r="S141" s="3"/>
      <c r="T141" s="3"/>
      <c r="U141" s="3"/>
      <c r="V141" s="3"/>
    </row>
    <row r="142" spans="1:22" x14ac:dyDescent="0.3">
      <c r="A142" s="3" t="str">
        <f t="shared" si="4"/>
        <v/>
      </c>
      <c r="B142" s="3"/>
      <c r="C142"/>
      <c r="D142" s="3"/>
      <c r="E142" s="3"/>
      <c r="F142" s="3"/>
      <c r="G142" s="3"/>
      <c r="H142" s="3"/>
      <c r="I142" s="3"/>
      <c r="J142" s="3"/>
      <c r="K142" s="3"/>
      <c r="L142" s="3"/>
      <c r="M142" s="3" t="str">
        <f>IF(B142="","","MCQ"&amp;"_"&amp;IFERROR(VLOOKUP(B142,LOOKUPS!$K$2:$L$9,2,FALSE),"UNK")&amp;"_"&amp;IFERROR(VLOOKUP(C142,LOOKUPS!$N$2:$O$10,2,FALSE),"UNK")&amp;"_"&amp;UPPER(L142))</f>
        <v/>
      </c>
      <c r="N142" s="3" t="str">
        <f>IF(M142="","",COUNTIF($M$2:M142,M142))</f>
        <v/>
      </c>
      <c r="O142" s="3"/>
      <c r="P142" s="3"/>
      <c r="Q142" s="3"/>
      <c r="R142" s="3"/>
      <c r="S142" s="3"/>
      <c r="T142" s="3"/>
      <c r="U142" s="3"/>
      <c r="V142" s="3"/>
    </row>
    <row r="143" spans="1:22" x14ac:dyDescent="0.3">
      <c r="A143" s="3" t="str">
        <f t="shared" si="4"/>
        <v/>
      </c>
      <c r="B143" s="3"/>
      <c r="C143"/>
      <c r="D143" s="3"/>
      <c r="E143" s="3"/>
      <c r="F143" s="3"/>
      <c r="G143" s="3"/>
      <c r="H143" s="3"/>
      <c r="I143" s="3"/>
      <c r="J143" s="3"/>
      <c r="K143" s="3"/>
      <c r="L143" s="3"/>
      <c r="M143" s="3" t="str">
        <f>IF(B143="","","MCQ"&amp;"_"&amp;IFERROR(VLOOKUP(B143,LOOKUPS!$K$2:$L$9,2,FALSE),"UNK")&amp;"_"&amp;IFERROR(VLOOKUP(C143,LOOKUPS!$N$2:$O$10,2,FALSE),"UNK")&amp;"_"&amp;UPPER(L143))</f>
        <v/>
      </c>
      <c r="N143" s="3" t="str">
        <f>IF(M143="","",COUNTIF($M$2:M143,M143))</f>
        <v/>
      </c>
      <c r="O143" s="3"/>
      <c r="P143" s="3"/>
      <c r="Q143" s="3"/>
      <c r="R143" s="3"/>
      <c r="S143" s="3"/>
      <c r="T143" s="3"/>
      <c r="U143" s="3"/>
      <c r="V143" s="3"/>
    </row>
    <row r="144" spans="1:22" x14ac:dyDescent="0.3">
      <c r="A144" s="3" t="str">
        <f t="shared" si="4"/>
        <v/>
      </c>
      <c r="B144" s="3"/>
      <c r="C144"/>
      <c r="D144" s="3"/>
      <c r="E144" s="3"/>
      <c r="F144" s="3"/>
      <c r="G144" s="3"/>
      <c r="H144" s="3"/>
      <c r="I144" s="3"/>
      <c r="J144" s="3"/>
      <c r="K144" s="3"/>
      <c r="L144" s="3"/>
      <c r="M144" s="3" t="str">
        <f>IF(B144="","","MCQ"&amp;"_"&amp;IFERROR(VLOOKUP(B144,LOOKUPS!$K$2:$L$9,2,FALSE),"UNK")&amp;"_"&amp;IFERROR(VLOOKUP(C144,LOOKUPS!$N$2:$O$10,2,FALSE),"UNK")&amp;"_"&amp;UPPER(L144))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59 F68: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E2:E59 E68:E1000</xm:sqref>
        </x14:dataValidation>
        <x14:dataValidation type="list" allowBlank="1" xr:uid="{836BB6B3-8678-4D79-8930-499300C974CF}">
          <x14:formula1>
            <xm:f>LOOKUPS!$E$2:$E$4</xm:f>
          </x14:formula1>
          <xm:sqref>G2:G59 G68:G144</xm:sqref>
        </x14:dataValidation>
        <x14:dataValidation type="list" allowBlank="1" xr:uid="{8986DABE-1E00-4CA3-A4DA-EB7AB1A288EF}">
          <x14:formula1>
            <xm:f>LOOKUPS!$G$2:$G$3</xm:f>
          </x14:formula1>
          <xm:sqref>H2:H59 H68:H144</xm:sqref>
        </x14:dataValidation>
        <x14:dataValidation type="list" allowBlank="1" showDropDown="1" xr:uid="{00000000-0002-0000-0200-000000000000}">
          <x14:formula1>
            <xm:f>LOOKUPS!$A$2:$A$9</xm:f>
          </x14:formula1>
          <xm:sqref>B145:B1000</xm:sqref>
        </x14:dataValidation>
        <x14:dataValidation type="list" allowBlank="1" xr:uid="{63E79027-D239-4E0A-BBFF-F2933BA25C41}">
          <x14:formula1>
            <xm:f>LOOKUPS!$A$2:$A$9</xm:f>
          </x14:formula1>
          <xm:sqref>B2:B59 B68:B144</xm:sqref>
        </x14:dataValidation>
        <x14:dataValidation type="list" allowBlank="1" showDropDown="1" xr:uid="{00000000-0002-0000-0200-000001000000}">
          <x14:formula1>
            <xm:f>LOOKUPS!$C$2:$C$10</xm:f>
          </x14:formula1>
          <xm:sqref>C145:C1000</xm:sqref>
        </x14:dataValidation>
        <x14:dataValidation type="list" allowBlank="1" xr:uid="{9882B6B5-9DBA-438F-A664-419CAF0177FD}">
          <x14:formula1>
            <xm:f>LOOKUPS!$C$2:$C$10</xm:f>
          </x14:formula1>
          <xm:sqref>C2:C59 C68:C144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topLeftCell="M1" workbookViewId="0">
      <pane ySplit="1" topLeftCell="A46" activePane="bottomLeft" state="frozen"/>
      <selection pane="bottomLeft" activeCell="R57" sqref="R57"/>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style="6"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57.6" x14ac:dyDescent="0.3">
      <c r="A2" s="3" t="str">
        <f t="shared" ref="A2:A66" si="0">IF(M2="","",M2&amp;"_"&amp;TEXT(N2,"000"))</f>
        <v>AB_ITNIC_REQ_INVSCHEME_001</v>
      </c>
      <c r="B2" t="s">
        <v>21</v>
      </c>
      <c r="C2" t="s">
        <v>22</v>
      </c>
      <c r="D2" s="6" t="s">
        <v>815</v>
      </c>
      <c r="E2" t="s">
        <v>25</v>
      </c>
      <c r="F2">
        <v>3</v>
      </c>
      <c r="G2">
        <v>0</v>
      </c>
      <c r="H2" t="s">
        <v>17</v>
      </c>
      <c r="I2" t="s">
        <v>317</v>
      </c>
      <c r="J2" t="s">
        <v>318</v>
      </c>
      <c r="K2">
        <v>1</v>
      </c>
      <c r="L2" t="s">
        <v>319</v>
      </c>
      <c r="M2" s="3" t="str">
        <f>IF(B2="","","AB"&amp;"_"&amp;IFERROR(VLOOKUP(B2,LOOKUPS!$K$2:$L$9,2,FALSE),"UNK")&amp;"_"&amp;IFERROR(VLOOKUP(C2,LOOKUPS!$N$2:$O$10,2,FALSE),"UNK")&amp;"_"&amp;UPPER(L2))</f>
        <v>AB_ITNIC_REQ_INVSCHEME</v>
      </c>
      <c r="N2" s="3">
        <f>IF(M2="","",COUNTIF($M$2:M2,M2))</f>
        <v>1</v>
      </c>
      <c r="O2" s="6" t="s">
        <v>678</v>
      </c>
      <c r="P2">
        <v>2</v>
      </c>
      <c r="Q2" t="s">
        <v>320</v>
      </c>
      <c r="R2" s="4">
        <v>1000000</v>
      </c>
      <c r="S2" t="s">
        <v>131</v>
      </c>
      <c r="T2" t="s">
        <v>17</v>
      </c>
      <c r="U2" s="5" t="s">
        <v>225</v>
      </c>
      <c r="V2" t="s">
        <v>17</v>
      </c>
      <c r="X2" s="4"/>
      <c r="AA2" s="5"/>
      <c r="AC2" t="s">
        <v>321</v>
      </c>
    </row>
    <row r="3" spans="1:29" ht="57.6" x14ac:dyDescent="0.3">
      <c r="A3" s="3" t="str">
        <f t="shared" si="0"/>
        <v>AB_ITNIC_REQ_INVSCHEME_002</v>
      </c>
      <c r="B3" t="s">
        <v>21</v>
      </c>
      <c r="C3" t="s">
        <v>22</v>
      </c>
      <c r="D3" s="6" t="s">
        <v>815</v>
      </c>
      <c r="E3" t="s">
        <v>25</v>
      </c>
      <c r="F3">
        <v>3</v>
      </c>
      <c r="G3">
        <v>0</v>
      </c>
      <c r="H3" t="s">
        <v>17</v>
      </c>
      <c r="I3" t="s">
        <v>322</v>
      </c>
      <c r="J3" t="s">
        <v>318</v>
      </c>
      <c r="K3">
        <v>1</v>
      </c>
      <c r="L3" t="s">
        <v>319</v>
      </c>
      <c r="M3" s="3" t="str">
        <f>IF(B3="","","AB"&amp;"_"&amp;IFERROR(VLOOKUP(B3,LOOKUPS!$K$2:$L$9,2,FALSE),"UNK")&amp;"_"&amp;IFERROR(VLOOKUP(C3,LOOKUPS!$N$2:$O$10,2,FALSE),"UNK")&amp;"_"&amp;UPPER(L3))</f>
        <v>AB_ITNIC_REQ_INVSCHEME</v>
      </c>
      <c r="N3" s="3">
        <f>IF(M3="","",COUNTIF($M$2:M3,M3))</f>
        <v>2</v>
      </c>
      <c r="O3" s="6" t="s">
        <v>679</v>
      </c>
      <c r="P3">
        <v>2</v>
      </c>
      <c r="Q3" s="5">
        <v>0.3</v>
      </c>
      <c r="R3" t="s">
        <v>323</v>
      </c>
      <c r="S3" t="s">
        <v>225</v>
      </c>
      <c r="T3" t="s">
        <v>17</v>
      </c>
      <c r="U3" t="s">
        <v>131</v>
      </c>
      <c r="V3" t="s">
        <v>17</v>
      </c>
      <c r="AC3" t="s">
        <v>324</v>
      </c>
    </row>
    <row r="4" spans="1:29" ht="57.6" x14ac:dyDescent="0.3">
      <c r="A4" s="3" t="str">
        <f t="shared" si="0"/>
        <v>AB_ITNIC_REQ_INVSCHEME_003</v>
      </c>
      <c r="B4" t="s">
        <v>21</v>
      </c>
      <c r="C4" t="s">
        <v>22</v>
      </c>
      <c r="D4" s="6" t="s">
        <v>815</v>
      </c>
      <c r="E4" t="s">
        <v>25</v>
      </c>
      <c r="F4">
        <v>3</v>
      </c>
      <c r="G4">
        <v>0</v>
      </c>
      <c r="H4" t="s">
        <v>17</v>
      </c>
      <c r="I4" t="s">
        <v>325</v>
      </c>
      <c r="J4" t="s">
        <v>318</v>
      </c>
      <c r="K4">
        <v>1</v>
      </c>
      <c r="L4" t="s">
        <v>319</v>
      </c>
      <c r="M4" s="3" t="str">
        <f>IF(B4="","","AB"&amp;"_"&amp;IFERROR(VLOOKUP(B4,LOOKUPS!$K$2:$L$9,2,FALSE),"UNK")&amp;"_"&amp;IFERROR(VLOOKUP(C4,LOOKUPS!$N$2:$O$10,2,FALSE),"UNK")&amp;"_"&amp;UPPER(L4))</f>
        <v>AB_ITNIC_REQ_INVSCHEME</v>
      </c>
      <c r="N4" s="3">
        <f>IF(M4="","",COUNTIF($M$2:M4,M4))</f>
        <v>3</v>
      </c>
      <c r="O4" s="6" t="s">
        <v>680</v>
      </c>
      <c r="P4">
        <v>2</v>
      </c>
      <c r="Q4" s="5">
        <v>0.3</v>
      </c>
      <c r="R4" t="s">
        <v>326</v>
      </c>
      <c r="S4" t="s">
        <v>225</v>
      </c>
      <c r="T4" t="s">
        <v>17</v>
      </c>
      <c r="U4" t="s">
        <v>131</v>
      </c>
      <c r="V4" t="s">
        <v>17</v>
      </c>
      <c r="AC4" t="s">
        <v>327</v>
      </c>
    </row>
    <row r="5" spans="1:29" ht="57.6" x14ac:dyDescent="0.3">
      <c r="A5" s="3" t="str">
        <f t="shared" si="0"/>
        <v>AB_ITNIC_REQ_INVSCHEME_004</v>
      </c>
      <c r="B5" t="s">
        <v>21</v>
      </c>
      <c r="C5" t="s">
        <v>22</v>
      </c>
      <c r="D5" s="6" t="s">
        <v>815</v>
      </c>
      <c r="E5" t="s">
        <v>25</v>
      </c>
      <c r="F5">
        <v>3</v>
      </c>
      <c r="G5">
        <v>0</v>
      </c>
      <c r="H5" t="s">
        <v>17</v>
      </c>
      <c r="I5" t="s">
        <v>328</v>
      </c>
      <c r="J5" t="s">
        <v>318</v>
      </c>
      <c r="K5">
        <v>1</v>
      </c>
      <c r="L5" t="s">
        <v>319</v>
      </c>
      <c r="M5" s="3" t="str">
        <f>IF(B5="","","AB"&amp;"_"&amp;IFERROR(VLOOKUP(B5,LOOKUPS!$K$2:$L$9,2,FALSE),"UNK")&amp;"_"&amp;IFERROR(VLOOKUP(C5,LOOKUPS!$N$2:$O$10,2,FALSE),"UNK")&amp;"_"&amp;UPPER(L5))</f>
        <v>AB_ITNIC_REQ_INVSCHEME</v>
      </c>
      <c r="N5" s="3">
        <f>IF(M5="","",COUNTIF($M$2:M5,M5))</f>
        <v>4</v>
      </c>
      <c r="O5" s="6" t="s">
        <v>681</v>
      </c>
      <c r="P5">
        <v>2</v>
      </c>
      <c r="Q5" t="s">
        <v>329</v>
      </c>
      <c r="R5" t="s">
        <v>330</v>
      </c>
      <c r="S5" t="s">
        <v>225</v>
      </c>
      <c r="T5" t="s">
        <v>17</v>
      </c>
      <c r="U5" t="s">
        <v>131</v>
      </c>
      <c r="V5" t="s">
        <v>17</v>
      </c>
      <c r="AC5" t="s">
        <v>331</v>
      </c>
    </row>
    <row r="6" spans="1:29" ht="43.2" x14ac:dyDescent="0.3">
      <c r="A6" s="3" t="str">
        <f t="shared" si="0"/>
        <v>AB_ITNIC_REQ_INVSCHEME_005</v>
      </c>
      <c r="B6" t="s">
        <v>21</v>
      </c>
      <c r="C6" t="s">
        <v>22</v>
      </c>
      <c r="D6" s="6" t="s">
        <v>815</v>
      </c>
      <c r="E6" t="s">
        <v>25</v>
      </c>
      <c r="F6">
        <v>3</v>
      </c>
      <c r="G6">
        <v>0</v>
      </c>
      <c r="H6" t="s">
        <v>17</v>
      </c>
      <c r="I6" t="s">
        <v>332</v>
      </c>
      <c r="J6" t="s">
        <v>318</v>
      </c>
      <c r="K6">
        <v>1</v>
      </c>
      <c r="L6" t="s">
        <v>319</v>
      </c>
      <c r="M6" s="3" t="str">
        <f>IF(B6="","","AB"&amp;"_"&amp;IFERROR(VLOOKUP(B6,LOOKUPS!$K$2:$L$9,2,FALSE),"UNK")&amp;"_"&amp;IFERROR(VLOOKUP(C6,LOOKUPS!$N$2:$O$10,2,FALSE),"UNK")&amp;"_"&amp;UPPER(L6))</f>
        <v>AB_ITNIC_REQ_INVSCHEME</v>
      </c>
      <c r="N6" s="3">
        <f>IF(M6="","",COUNTIF($M$2:M6,M6))</f>
        <v>5</v>
      </c>
      <c r="O6" s="6" t="s">
        <v>671</v>
      </c>
      <c r="P6">
        <v>2</v>
      </c>
      <c r="Q6" s="5">
        <v>0.5</v>
      </c>
      <c r="R6" s="4">
        <v>200000</v>
      </c>
      <c r="S6" t="s">
        <v>225</v>
      </c>
      <c r="T6" t="s">
        <v>17</v>
      </c>
      <c r="U6" t="s">
        <v>131</v>
      </c>
      <c r="V6" t="s">
        <v>17</v>
      </c>
      <c r="AC6" t="s">
        <v>672</v>
      </c>
    </row>
    <row r="7" spans="1:29" ht="57.6" x14ac:dyDescent="0.3">
      <c r="A7" s="3" t="str">
        <f t="shared" si="0"/>
        <v>AB_ITNIC_REQ_INVSCHEME_006</v>
      </c>
      <c r="B7" t="s">
        <v>21</v>
      </c>
      <c r="C7" t="s">
        <v>22</v>
      </c>
      <c r="D7" s="6" t="s">
        <v>815</v>
      </c>
      <c r="E7" t="s">
        <v>25</v>
      </c>
      <c r="F7">
        <v>3</v>
      </c>
      <c r="G7">
        <v>0</v>
      </c>
      <c r="H7" t="s">
        <v>17</v>
      </c>
      <c r="I7" t="s">
        <v>333</v>
      </c>
      <c r="J7" t="s">
        <v>318</v>
      </c>
      <c r="K7">
        <v>1</v>
      </c>
      <c r="L7" t="s">
        <v>319</v>
      </c>
      <c r="M7" s="3" t="str">
        <f>IF(B7="","","AB"&amp;"_"&amp;IFERROR(VLOOKUP(B7,LOOKUPS!$K$2:$L$9,2,FALSE),"UNK")&amp;"_"&amp;IFERROR(VLOOKUP(C7,LOOKUPS!$N$2:$O$10,2,FALSE),"UNK")&amp;"_"&amp;UPPER(L7))</f>
        <v>AB_ITNIC_REQ_INVSCHEME</v>
      </c>
      <c r="N7" s="3">
        <f>IF(M7="","",COUNTIF($M$2:M7,M7))</f>
        <v>6</v>
      </c>
      <c r="O7" s="6" t="s">
        <v>673</v>
      </c>
      <c r="P7">
        <v>2</v>
      </c>
      <c r="Q7" t="s">
        <v>334</v>
      </c>
      <c r="R7" t="s">
        <v>674</v>
      </c>
      <c r="S7" t="s">
        <v>225</v>
      </c>
      <c r="T7" t="s">
        <v>17</v>
      </c>
      <c r="U7" t="s">
        <v>131</v>
      </c>
      <c r="V7" t="s">
        <v>17</v>
      </c>
      <c r="AC7" t="s">
        <v>335</v>
      </c>
    </row>
    <row r="8" spans="1:29" ht="57.6" x14ac:dyDescent="0.3">
      <c r="A8" s="3" t="str">
        <f t="shared" si="0"/>
        <v>AB_ITNIC_REQ_INVSCHEME_007</v>
      </c>
      <c r="B8" t="s">
        <v>21</v>
      </c>
      <c r="C8" t="s">
        <v>22</v>
      </c>
      <c r="D8" s="6" t="s">
        <v>815</v>
      </c>
      <c r="E8" t="s">
        <v>25</v>
      </c>
      <c r="F8">
        <v>3</v>
      </c>
      <c r="G8">
        <v>0</v>
      </c>
      <c r="H8" t="s">
        <v>17</v>
      </c>
      <c r="I8" t="s">
        <v>336</v>
      </c>
      <c r="J8" t="s">
        <v>318</v>
      </c>
      <c r="K8">
        <v>1</v>
      </c>
      <c r="L8" t="s">
        <v>319</v>
      </c>
      <c r="M8" s="3" t="str">
        <f>IF(B8="","","AB"&amp;"_"&amp;IFERROR(VLOOKUP(B8,LOOKUPS!$K$2:$L$9,2,FALSE),"UNK")&amp;"_"&amp;IFERROR(VLOOKUP(C8,LOOKUPS!$N$2:$O$10,2,FALSE),"UNK")&amp;"_"&amp;UPPER(L8))</f>
        <v>AB_ITNIC_REQ_INVSCHEME</v>
      </c>
      <c r="N8" s="3">
        <f>IF(M8="","",COUNTIF($M$2:M8,M8))</f>
        <v>7</v>
      </c>
      <c r="O8" s="6" t="s">
        <v>685</v>
      </c>
      <c r="P8">
        <v>2</v>
      </c>
      <c r="Q8">
        <v>30</v>
      </c>
      <c r="R8">
        <v>200000</v>
      </c>
      <c r="S8" t="s">
        <v>225</v>
      </c>
      <c r="T8" t="s">
        <v>17</v>
      </c>
      <c r="U8" t="s">
        <v>131</v>
      </c>
      <c r="V8" t="s">
        <v>17</v>
      </c>
      <c r="AC8" t="s">
        <v>686</v>
      </c>
    </row>
    <row r="9" spans="1:29" ht="43.2" x14ac:dyDescent="0.3">
      <c r="A9" s="3" t="str">
        <f t="shared" si="0"/>
        <v>AB_ITNIC_REQ_INVSCHEME_008</v>
      </c>
      <c r="B9" t="s">
        <v>21</v>
      </c>
      <c r="C9" t="s">
        <v>22</v>
      </c>
      <c r="D9" s="6" t="s">
        <v>815</v>
      </c>
      <c r="E9" t="s">
        <v>25</v>
      </c>
      <c r="F9">
        <v>3</v>
      </c>
      <c r="G9">
        <v>0</v>
      </c>
      <c r="H9" t="s">
        <v>17</v>
      </c>
      <c r="I9" t="s">
        <v>337</v>
      </c>
      <c r="J9" t="s">
        <v>318</v>
      </c>
      <c r="K9">
        <v>1</v>
      </c>
      <c r="L9" t="s">
        <v>319</v>
      </c>
      <c r="M9" s="3" t="str">
        <f>IF(B9="","","AB"&amp;"_"&amp;IFERROR(VLOOKUP(B9,LOOKUPS!$K$2:$L$9,2,FALSE),"UNK")&amp;"_"&amp;IFERROR(VLOOKUP(C9,LOOKUPS!$N$2:$O$10,2,FALSE),"UNK")&amp;"_"&amp;UPPER(L9))</f>
        <v>AB_ITNIC_REQ_INVSCHEME</v>
      </c>
      <c r="N9" s="3">
        <f>IF(M9="","",COUNTIF($M$2:M9,M9))</f>
        <v>8</v>
      </c>
      <c r="O9" s="6" t="s">
        <v>687</v>
      </c>
      <c r="P9">
        <v>2</v>
      </c>
      <c r="Q9" t="s">
        <v>181</v>
      </c>
      <c r="R9" t="s">
        <v>338</v>
      </c>
      <c r="S9" t="s">
        <v>225</v>
      </c>
      <c r="T9" t="s">
        <v>17</v>
      </c>
      <c r="U9" t="s">
        <v>131</v>
      </c>
      <c r="V9" t="s">
        <v>17</v>
      </c>
      <c r="AC9" t="s">
        <v>339</v>
      </c>
    </row>
    <row r="10" spans="1:29" ht="57.6" x14ac:dyDescent="0.3">
      <c r="A10" s="3" t="str">
        <f t="shared" si="0"/>
        <v>AB_ITNIC_REQ_INVSCHEME_009</v>
      </c>
      <c r="B10" t="s">
        <v>21</v>
      </c>
      <c r="C10" t="s">
        <v>22</v>
      </c>
      <c r="D10" s="6" t="s">
        <v>815</v>
      </c>
      <c r="E10" t="s">
        <v>25</v>
      </c>
      <c r="F10">
        <v>3</v>
      </c>
      <c r="G10">
        <v>0</v>
      </c>
      <c r="H10" t="s">
        <v>17</v>
      </c>
      <c r="I10" t="s">
        <v>340</v>
      </c>
      <c r="J10" t="s">
        <v>318</v>
      </c>
      <c r="K10">
        <v>1</v>
      </c>
      <c r="L10" t="s">
        <v>319</v>
      </c>
      <c r="M10" s="3" t="str">
        <f>IF(B10="","","AB"&amp;"_"&amp;IFERROR(VLOOKUP(B10,LOOKUPS!$K$2:$L$9,2,FALSE),"UNK")&amp;"_"&amp;IFERROR(VLOOKUP(C10,LOOKUPS!$N$2:$O$10,2,FALSE),"UNK")&amp;"_"&amp;UPPER(L10))</f>
        <v>AB_ITNIC_REQ_INVSCHEME</v>
      </c>
      <c r="N10" s="3">
        <f>IF(M10="","",COUNTIF($M$2:M10,M10))</f>
        <v>9</v>
      </c>
      <c r="O10" s="6" t="s">
        <v>682</v>
      </c>
      <c r="P10">
        <v>2</v>
      </c>
      <c r="Q10" t="s">
        <v>670</v>
      </c>
      <c r="R10" t="s">
        <v>341</v>
      </c>
      <c r="S10" t="s">
        <v>225</v>
      </c>
      <c r="T10" t="s">
        <v>17</v>
      </c>
      <c r="U10" t="s">
        <v>131</v>
      </c>
      <c r="V10" t="s">
        <v>17</v>
      </c>
      <c r="AC10" t="s">
        <v>342</v>
      </c>
    </row>
    <row r="11" spans="1:29" ht="43.2" x14ac:dyDescent="0.3">
      <c r="A11" s="3" t="str">
        <f t="shared" si="0"/>
        <v>AB_ITNIC_REQ_INVSCHEME_010</v>
      </c>
      <c r="B11" t="s">
        <v>21</v>
      </c>
      <c r="C11" t="s">
        <v>22</v>
      </c>
      <c r="D11" s="6" t="s">
        <v>815</v>
      </c>
      <c r="E11" t="s">
        <v>25</v>
      </c>
      <c r="F11">
        <v>3</v>
      </c>
      <c r="G11">
        <v>0</v>
      </c>
      <c r="H11" t="s">
        <v>17</v>
      </c>
      <c r="I11" t="s">
        <v>343</v>
      </c>
      <c r="J11" t="s">
        <v>318</v>
      </c>
      <c r="K11">
        <v>1</v>
      </c>
      <c r="L11" t="s">
        <v>319</v>
      </c>
      <c r="M11" s="3" t="str">
        <f>IF(B11="","","AB"&amp;"_"&amp;IFERROR(VLOOKUP(B11,LOOKUPS!$K$2:$L$9,2,FALSE),"UNK")&amp;"_"&amp;IFERROR(VLOOKUP(C11,LOOKUPS!$N$2:$O$10,2,FALSE),"UNK")&amp;"_"&amp;UPPER(L11))</f>
        <v>AB_ITNIC_REQ_INVSCHEME</v>
      </c>
      <c r="N11" s="3">
        <f>IF(M11="","",COUNTIF($M$2:M11,M11))</f>
        <v>10</v>
      </c>
      <c r="O11" s="6" t="s">
        <v>683</v>
      </c>
      <c r="P11">
        <v>2</v>
      </c>
      <c r="Q11" t="s">
        <v>344</v>
      </c>
      <c r="R11" t="s">
        <v>345</v>
      </c>
      <c r="S11" t="s">
        <v>225</v>
      </c>
      <c r="T11" t="s">
        <v>17</v>
      </c>
      <c r="U11" t="s">
        <v>131</v>
      </c>
      <c r="V11" t="s">
        <v>17</v>
      </c>
      <c r="AC11" t="s">
        <v>346</v>
      </c>
    </row>
    <row r="12" spans="1:29" ht="86.4" x14ac:dyDescent="0.3">
      <c r="A12" s="3" t="str">
        <f t="shared" si="0"/>
        <v>AB_ITNIC_REQ_INVSCHEME_011</v>
      </c>
      <c r="B12" t="s">
        <v>21</v>
      </c>
      <c r="C12" t="s">
        <v>22</v>
      </c>
      <c r="D12" s="6" t="s">
        <v>815</v>
      </c>
      <c r="E12" t="s">
        <v>25</v>
      </c>
      <c r="F12">
        <v>3</v>
      </c>
      <c r="G12">
        <v>0</v>
      </c>
      <c r="H12" t="s">
        <v>17</v>
      </c>
      <c r="I12" t="s">
        <v>347</v>
      </c>
      <c r="J12" t="s">
        <v>318</v>
      </c>
      <c r="K12">
        <v>1</v>
      </c>
      <c r="L12" t="s">
        <v>319</v>
      </c>
      <c r="M12" s="3" t="str">
        <f>IF(B12="","","AB"&amp;"_"&amp;IFERROR(VLOOKUP(B12,LOOKUPS!$K$2:$L$9,2,FALSE),"UNK")&amp;"_"&amp;IFERROR(VLOOKUP(C12,LOOKUPS!$N$2:$O$10,2,FALSE),"UNK")&amp;"_"&amp;UPPER(L12))</f>
        <v>AB_ITNIC_REQ_INVSCHEME</v>
      </c>
      <c r="N12" s="3">
        <f>IF(M12="","",COUNTIF($M$2:M12,M12))</f>
        <v>11</v>
      </c>
      <c r="O12" s="6" t="s">
        <v>675</v>
      </c>
      <c r="P12">
        <v>2</v>
      </c>
      <c r="Q12" t="s">
        <v>348</v>
      </c>
      <c r="R12" t="s">
        <v>344</v>
      </c>
      <c r="S12" t="s">
        <v>131</v>
      </c>
      <c r="T12" t="s">
        <v>17</v>
      </c>
      <c r="U12" t="s">
        <v>225</v>
      </c>
      <c r="V12" t="s">
        <v>17</v>
      </c>
      <c r="AC12" t="s">
        <v>349</v>
      </c>
    </row>
    <row r="13" spans="1:29" ht="57.6" x14ac:dyDescent="0.3">
      <c r="A13" s="3" t="str">
        <f t="shared" si="0"/>
        <v>AB_ITNIC_REQ_INVSCHEME_012</v>
      </c>
      <c r="B13" t="s">
        <v>21</v>
      </c>
      <c r="C13" t="s">
        <v>22</v>
      </c>
      <c r="D13" s="6" t="s">
        <v>815</v>
      </c>
      <c r="E13" t="s">
        <v>25</v>
      </c>
      <c r="F13">
        <v>3</v>
      </c>
      <c r="G13">
        <v>0</v>
      </c>
      <c r="H13" t="s">
        <v>17</v>
      </c>
      <c r="I13" t="s">
        <v>350</v>
      </c>
      <c r="J13" t="s">
        <v>318</v>
      </c>
      <c r="K13">
        <v>1</v>
      </c>
      <c r="L13" t="s">
        <v>319</v>
      </c>
      <c r="M13" s="3" t="str">
        <f>IF(B13="","","AB"&amp;"_"&amp;IFERROR(VLOOKUP(B13,LOOKUPS!$K$2:$L$9,2,FALSE),"UNK")&amp;"_"&amp;IFERROR(VLOOKUP(C13,LOOKUPS!$N$2:$O$10,2,FALSE),"UNK")&amp;"_"&amp;UPPER(L13))</f>
        <v>AB_ITNIC_REQ_INVSCHEME</v>
      </c>
      <c r="N13" s="3">
        <f>IF(M13="","",COUNTIF($M$2:M13,M13))</f>
        <v>12</v>
      </c>
      <c r="O13" s="6" t="s">
        <v>684</v>
      </c>
      <c r="P13">
        <v>2</v>
      </c>
      <c r="Q13" t="s">
        <v>330</v>
      </c>
      <c r="R13" s="8">
        <v>47879</v>
      </c>
      <c r="S13" t="s">
        <v>225</v>
      </c>
      <c r="T13" t="s">
        <v>17</v>
      </c>
      <c r="U13" t="s">
        <v>131</v>
      </c>
      <c r="V13" t="s">
        <v>17</v>
      </c>
      <c r="AC13" t="s">
        <v>351</v>
      </c>
    </row>
    <row r="14" spans="1:29" ht="28.8" x14ac:dyDescent="0.3">
      <c r="A14" s="3" t="str">
        <f t="shared" si="0"/>
        <v>AB_ITNIC_REQ_EMPSHARESCHEME_001</v>
      </c>
      <c r="B14" s="3" t="s">
        <v>21</v>
      </c>
      <c r="C14" t="s">
        <v>22</v>
      </c>
      <c r="D14" s="3" t="s">
        <v>352</v>
      </c>
      <c r="E14" s="3" t="s">
        <v>25</v>
      </c>
      <c r="F14" s="3">
        <v>3</v>
      </c>
      <c r="G14" s="3">
        <v>0</v>
      </c>
      <c r="H14" s="3" t="s">
        <v>17</v>
      </c>
      <c r="I14" s="3" t="s">
        <v>353</v>
      </c>
      <c r="J14" s="3" t="s">
        <v>318</v>
      </c>
      <c r="K14" s="3">
        <v>1</v>
      </c>
      <c r="L14" s="3" t="s">
        <v>427</v>
      </c>
      <c r="M14" s="3" t="str">
        <f>IF(B14="","","AB"&amp;"_"&amp;IFERROR(VLOOKUP(B14,LOOKUPS!$K$2:$L$9,2,FALSE),"UNK")&amp;"_"&amp;IFERROR(VLOOKUP(C14,LOOKUPS!$N$2:$O$10,2,FALSE),"UNK")&amp;"_"&amp;UPPER(L14))</f>
        <v>AB_ITNIC_REQ_EMPSHARESCHEME</v>
      </c>
      <c r="N14" s="3">
        <f>IF(M14="","",COUNTIF($M$2:M14,M14))</f>
        <v>1</v>
      </c>
      <c r="O14" s="3" t="s">
        <v>720</v>
      </c>
      <c r="P14" s="3">
        <v>2</v>
      </c>
      <c r="Q14" s="3">
        <v>5</v>
      </c>
      <c r="R14" s="3">
        <v>500</v>
      </c>
      <c r="S14" s="3" t="s">
        <v>131</v>
      </c>
      <c r="T14" t="s">
        <v>17</v>
      </c>
      <c r="U14" s="3" t="s">
        <v>225</v>
      </c>
      <c r="V14" t="s">
        <v>17</v>
      </c>
      <c r="W14" s="3"/>
      <c r="X14" s="3"/>
      <c r="Y14" s="3"/>
      <c r="Z14" s="3"/>
      <c r="AA14" s="3"/>
      <c r="AB14" s="3"/>
      <c r="AC14" s="3" t="s">
        <v>726</v>
      </c>
    </row>
    <row r="15" spans="1:29" ht="28.8" x14ac:dyDescent="0.3">
      <c r="A15" s="3" t="str">
        <f t="shared" si="0"/>
        <v>AB_ITNIC_REQ_EMPSHARESCHEME_002</v>
      </c>
      <c r="B15" s="3" t="s">
        <v>21</v>
      </c>
      <c r="C15" t="s">
        <v>22</v>
      </c>
      <c r="D15" s="3" t="s">
        <v>352</v>
      </c>
      <c r="E15" s="3" t="s">
        <v>25</v>
      </c>
      <c r="F15" s="3">
        <v>3</v>
      </c>
      <c r="G15" s="3">
        <v>0</v>
      </c>
      <c r="H15" s="3" t="s">
        <v>17</v>
      </c>
      <c r="I15" s="3" t="s">
        <v>354</v>
      </c>
      <c r="J15" s="3" t="s">
        <v>318</v>
      </c>
      <c r="K15" s="3">
        <v>1</v>
      </c>
      <c r="L15" s="3" t="s">
        <v>427</v>
      </c>
      <c r="M15" s="3" t="str">
        <f>IF(B15="","","AB"&amp;"_"&amp;IFERROR(VLOOKUP(B15,LOOKUPS!$K$2:$L$9,2,FALSE),"UNK")&amp;"_"&amp;IFERROR(VLOOKUP(C15,LOOKUPS!$N$2:$O$10,2,FALSE),"UNK")&amp;"_"&amp;UPPER(L15))</f>
        <v>AB_ITNIC_REQ_EMPSHARESCHEME</v>
      </c>
      <c r="N15" s="3">
        <f>IF(M15="","",COUNTIF($M$2:M15,M15))</f>
        <v>2</v>
      </c>
      <c r="O15" s="3" t="s">
        <v>721</v>
      </c>
      <c r="P15" s="3">
        <v>2</v>
      </c>
      <c r="Q15" s="3">
        <v>3</v>
      </c>
      <c r="R15" s="3">
        <v>5</v>
      </c>
      <c r="S15" s="3" t="s">
        <v>131</v>
      </c>
      <c r="T15" t="s">
        <v>17</v>
      </c>
      <c r="U15" s="3" t="s">
        <v>225</v>
      </c>
      <c r="V15" t="s">
        <v>17</v>
      </c>
      <c r="W15" s="3"/>
      <c r="X15" s="3"/>
      <c r="Y15" s="3"/>
      <c r="Z15" s="3"/>
      <c r="AA15" s="3"/>
      <c r="AB15" s="3"/>
      <c r="AC15" s="3" t="s">
        <v>727</v>
      </c>
    </row>
    <row r="16" spans="1:29" ht="28.8" x14ac:dyDescent="0.3">
      <c r="A16" s="3" t="str">
        <f t="shared" si="0"/>
        <v>AB_ITNIC_REQ_EMPSHARESCHEME_003</v>
      </c>
      <c r="B16" s="3" t="s">
        <v>21</v>
      </c>
      <c r="C16" t="s">
        <v>22</v>
      </c>
      <c r="D16" s="3" t="s">
        <v>352</v>
      </c>
      <c r="E16" s="3" t="s">
        <v>25</v>
      </c>
      <c r="F16" s="3">
        <v>3</v>
      </c>
      <c r="G16" s="3">
        <v>0</v>
      </c>
      <c r="H16" s="3" t="s">
        <v>17</v>
      </c>
      <c r="I16" s="3" t="s">
        <v>355</v>
      </c>
      <c r="J16" s="3" t="s">
        <v>318</v>
      </c>
      <c r="K16" s="3">
        <v>1</v>
      </c>
      <c r="L16" s="3" t="s">
        <v>427</v>
      </c>
      <c r="M16" s="3" t="str">
        <f>IF(B16="","","AB"&amp;"_"&amp;IFERROR(VLOOKUP(B16,LOOKUPS!$K$2:$L$9,2,FALSE),"UNK")&amp;"_"&amp;IFERROR(VLOOKUP(C16,LOOKUPS!$N$2:$O$10,2,FALSE),"UNK")&amp;"_"&amp;UPPER(L16))</f>
        <v>AB_ITNIC_REQ_EMPSHARESCHEME</v>
      </c>
      <c r="N16" s="3">
        <f>IF(M16="","",COUNTIF($M$2:M16,M16))</f>
        <v>3</v>
      </c>
      <c r="O16" s="3" t="s">
        <v>722</v>
      </c>
      <c r="P16" s="3">
        <v>2</v>
      </c>
      <c r="Q16" s="3" t="s">
        <v>356</v>
      </c>
      <c r="R16" s="3" t="s">
        <v>357</v>
      </c>
      <c r="S16" s="3" t="s">
        <v>131</v>
      </c>
      <c r="T16" t="s">
        <v>17</v>
      </c>
      <c r="U16" s="3" t="s">
        <v>225</v>
      </c>
      <c r="V16" t="s">
        <v>17</v>
      </c>
      <c r="W16" s="3"/>
      <c r="X16" s="3"/>
      <c r="Y16" s="3"/>
      <c r="Z16" s="3"/>
      <c r="AA16" s="3"/>
      <c r="AB16" s="3"/>
      <c r="AC16" s="3" t="s">
        <v>728</v>
      </c>
    </row>
    <row r="17" spans="1:29" ht="43.2" x14ac:dyDescent="0.3">
      <c r="A17" s="3" t="str">
        <f t="shared" si="0"/>
        <v>AB_ITNIC_REQ_EMPSHARESCHEME_004</v>
      </c>
      <c r="B17" s="3" t="s">
        <v>21</v>
      </c>
      <c r="C17" t="s">
        <v>22</v>
      </c>
      <c r="D17" s="3" t="s">
        <v>352</v>
      </c>
      <c r="E17" s="3" t="s">
        <v>25</v>
      </c>
      <c r="F17" s="3">
        <v>3</v>
      </c>
      <c r="G17" s="3">
        <v>0</v>
      </c>
      <c r="H17" s="3" t="s">
        <v>17</v>
      </c>
      <c r="I17" s="3" t="s">
        <v>358</v>
      </c>
      <c r="J17" s="3" t="s">
        <v>318</v>
      </c>
      <c r="K17" s="3">
        <v>1</v>
      </c>
      <c r="L17" s="3" t="s">
        <v>427</v>
      </c>
      <c r="M17" s="3" t="str">
        <f>IF(B17="","","AB"&amp;"_"&amp;IFERROR(VLOOKUP(B17,LOOKUPS!$K$2:$L$9,2,FALSE),"UNK")&amp;"_"&amp;IFERROR(VLOOKUP(C17,LOOKUPS!$N$2:$O$10,2,FALSE),"UNK")&amp;"_"&amp;UPPER(L17))</f>
        <v>AB_ITNIC_REQ_EMPSHARESCHEME</v>
      </c>
      <c r="N17" s="3">
        <f>IF(M17="","",COUNTIF($M$2:M17,M17))</f>
        <v>4</v>
      </c>
      <c r="O17" s="3" t="s">
        <v>723</v>
      </c>
      <c r="P17" s="3">
        <v>2</v>
      </c>
      <c r="Q17" s="3" t="s">
        <v>359</v>
      </c>
      <c r="R17" s="3" t="s">
        <v>323</v>
      </c>
      <c r="S17" s="3" t="s">
        <v>225</v>
      </c>
      <c r="T17" t="s">
        <v>17</v>
      </c>
      <c r="U17" s="3" t="s">
        <v>131</v>
      </c>
      <c r="V17" t="s">
        <v>17</v>
      </c>
      <c r="W17" s="3"/>
      <c r="X17" s="3"/>
      <c r="Y17" s="3"/>
      <c r="Z17" s="3"/>
      <c r="AA17" s="3"/>
      <c r="AB17" s="3"/>
      <c r="AC17" s="3" t="s">
        <v>360</v>
      </c>
    </row>
    <row r="18" spans="1:29" ht="28.8" x14ac:dyDescent="0.3">
      <c r="A18" s="3" t="str">
        <f t="shared" si="0"/>
        <v>AB_ITNIC_REQ_EMPSHARESCHEME_005</v>
      </c>
      <c r="B18" s="3" t="s">
        <v>21</v>
      </c>
      <c r="C18" t="s">
        <v>22</v>
      </c>
      <c r="D18" s="3" t="s">
        <v>352</v>
      </c>
      <c r="E18" s="3" t="s">
        <v>25</v>
      </c>
      <c r="F18" s="3">
        <v>3</v>
      </c>
      <c r="G18" s="3">
        <v>0</v>
      </c>
      <c r="H18" s="3" t="s">
        <v>17</v>
      </c>
      <c r="I18" s="3" t="s">
        <v>361</v>
      </c>
      <c r="J18" s="3" t="s">
        <v>318</v>
      </c>
      <c r="K18" s="3">
        <v>1</v>
      </c>
      <c r="L18" s="3" t="s">
        <v>427</v>
      </c>
      <c r="M18" s="3" t="str">
        <f>IF(B18="","","AB"&amp;"_"&amp;IFERROR(VLOOKUP(B18,LOOKUPS!$K$2:$L$9,2,FALSE),"UNK")&amp;"_"&amp;IFERROR(VLOOKUP(C18,LOOKUPS!$N$2:$O$10,2,FALSE),"UNK")&amp;"_"&amp;UPPER(L18))</f>
        <v>AB_ITNIC_REQ_EMPSHARESCHEME</v>
      </c>
      <c r="N18" s="3">
        <f>IF(M18="","",COUNTIF($M$2:M18,M18))</f>
        <v>5</v>
      </c>
      <c r="O18" s="3" t="s">
        <v>724</v>
      </c>
      <c r="P18" s="3">
        <v>2</v>
      </c>
      <c r="Q18" s="3" t="s">
        <v>32</v>
      </c>
      <c r="R18" s="3" t="s">
        <v>362</v>
      </c>
      <c r="S18" s="3" t="s">
        <v>131</v>
      </c>
      <c r="T18" t="s">
        <v>17</v>
      </c>
      <c r="U18" s="3" t="s">
        <v>225</v>
      </c>
      <c r="V18" t="s">
        <v>17</v>
      </c>
      <c r="W18" s="3"/>
      <c r="X18" s="3"/>
      <c r="Y18" s="3"/>
      <c r="Z18" s="3"/>
      <c r="AA18" s="3"/>
      <c r="AB18" s="3"/>
      <c r="AC18" s="3" t="s">
        <v>729</v>
      </c>
    </row>
    <row r="19" spans="1:29" ht="43.2" x14ac:dyDescent="0.3">
      <c r="A19" s="3" t="str">
        <f t="shared" si="0"/>
        <v>AB_ITNIC_REQ_EMPSHARESCHEME_006</v>
      </c>
      <c r="B19" s="3" t="s">
        <v>21</v>
      </c>
      <c r="C19" t="s">
        <v>22</v>
      </c>
      <c r="D19" s="3" t="s">
        <v>352</v>
      </c>
      <c r="E19" s="3" t="s">
        <v>25</v>
      </c>
      <c r="F19" s="3">
        <v>3</v>
      </c>
      <c r="G19" s="3">
        <v>0</v>
      </c>
      <c r="H19" s="3" t="s">
        <v>17</v>
      </c>
      <c r="I19" s="3" t="s">
        <v>363</v>
      </c>
      <c r="J19" s="3" t="s">
        <v>318</v>
      </c>
      <c r="K19" s="3">
        <v>1</v>
      </c>
      <c r="L19" s="3" t="s">
        <v>427</v>
      </c>
      <c r="M19" s="3" t="str">
        <f>IF(B19="","","AB"&amp;"_"&amp;IFERROR(VLOOKUP(B19,LOOKUPS!$K$2:$L$9,2,FALSE),"UNK")&amp;"_"&amp;IFERROR(VLOOKUP(C19,LOOKUPS!$N$2:$O$10,2,FALSE),"UNK")&amp;"_"&amp;UPPER(L19))</f>
        <v>AB_ITNIC_REQ_EMPSHARESCHEME</v>
      </c>
      <c r="N19" s="3">
        <f>IF(M19="","",COUNTIF($M$2:M19,M19))</f>
        <v>6</v>
      </c>
      <c r="O19" s="3" t="s">
        <v>737</v>
      </c>
      <c r="P19" s="3">
        <v>2</v>
      </c>
      <c r="Q19" s="3" t="s">
        <v>220</v>
      </c>
      <c r="R19" s="3" t="s">
        <v>364</v>
      </c>
      <c r="S19" s="3" t="s">
        <v>225</v>
      </c>
      <c r="T19" t="s">
        <v>17</v>
      </c>
      <c r="U19" s="3" t="s">
        <v>131</v>
      </c>
      <c r="V19" t="s">
        <v>17</v>
      </c>
      <c r="W19" s="3"/>
      <c r="X19" s="3"/>
      <c r="Y19" s="3"/>
      <c r="Z19" s="3"/>
      <c r="AA19" s="3"/>
      <c r="AB19" s="3"/>
      <c r="AC19" s="3" t="s">
        <v>744</v>
      </c>
    </row>
    <row r="20" spans="1:29" ht="43.2" x14ac:dyDescent="0.3">
      <c r="A20" s="3" t="str">
        <f t="shared" si="0"/>
        <v>AB_ITNIC_REQ_EMPSHARESCHEME_007</v>
      </c>
      <c r="B20" s="3" t="s">
        <v>21</v>
      </c>
      <c r="C20" t="s">
        <v>22</v>
      </c>
      <c r="D20" s="3" t="s">
        <v>352</v>
      </c>
      <c r="E20" s="3" t="s">
        <v>25</v>
      </c>
      <c r="F20" s="3">
        <v>3</v>
      </c>
      <c r="G20" s="3">
        <v>0</v>
      </c>
      <c r="H20" s="3" t="s">
        <v>17</v>
      </c>
      <c r="I20" s="3" t="s">
        <v>365</v>
      </c>
      <c r="J20" s="3" t="s">
        <v>318</v>
      </c>
      <c r="K20" s="3">
        <v>1</v>
      </c>
      <c r="L20" s="3" t="s">
        <v>427</v>
      </c>
      <c r="M20" s="3" t="str">
        <f>IF(B20="","","AB"&amp;"_"&amp;IFERROR(VLOOKUP(B20,LOOKUPS!$K$2:$L$9,2,FALSE),"UNK")&amp;"_"&amp;IFERROR(VLOOKUP(C20,LOOKUPS!$N$2:$O$10,2,FALSE),"UNK")&amp;"_"&amp;UPPER(L20))</f>
        <v>AB_ITNIC_REQ_EMPSHARESCHEME</v>
      </c>
      <c r="N20" s="3">
        <f>IF(M20="","",COUNTIF($M$2:M20,M20))</f>
        <v>7</v>
      </c>
      <c r="O20" s="3" t="s">
        <v>738</v>
      </c>
      <c r="P20" s="3">
        <v>2</v>
      </c>
      <c r="Q20" s="3" t="s">
        <v>366</v>
      </c>
      <c r="R20" s="9">
        <v>0.3</v>
      </c>
      <c r="S20" s="3" t="s">
        <v>131</v>
      </c>
      <c r="T20" t="s">
        <v>17</v>
      </c>
      <c r="U20" s="3" t="s">
        <v>225</v>
      </c>
      <c r="V20" t="s">
        <v>17</v>
      </c>
      <c r="W20" s="3"/>
      <c r="X20" s="3"/>
      <c r="Y20" s="3"/>
      <c r="Z20" s="3"/>
      <c r="AA20" s="3"/>
      <c r="AB20" s="3"/>
      <c r="AC20" s="3" t="s">
        <v>745</v>
      </c>
    </row>
    <row r="21" spans="1:29" ht="43.2" x14ac:dyDescent="0.3">
      <c r="A21" s="3" t="str">
        <f t="shared" si="0"/>
        <v>AB_ITNIC_REQ_EMPSHARESCHEME_008</v>
      </c>
      <c r="B21" s="3" t="s">
        <v>21</v>
      </c>
      <c r="C21" t="s">
        <v>22</v>
      </c>
      <c r="D21" s="3" t="s">
        <v>352</v>
      </c>
      <c r="E21" s="3" t="s">
        <v>25</v>
      </c>
      <c r="F21" s="3">
        <v>3</v>
      </c>
      <c r="G21" s="3">
        <v>0</v>
      </c>
      <c r="H21" s="3" t="s">
        <v>17</v>
      </c>
      <c r="I21" s="3" t="s">
        <v>367</v>
      </c>
      <c r="J21" s="3" t="s">
        <v>318</v>
      </c>
      <c r="K21" s="3">
        <v>1</v>
      </c>
      <c r="L21" s="3" t="s">
        <v>427</v>
      </c>
      <c r="M21" s="3" t="str">
        <f>IF(B21="","","AB"&amp;"_"&amp;IFERROR(VLOOKUP(B21,LOOKUPS!$K$2:$L$9,2,FALSE),"UNK")&amp;"_"&amp;IFERROR(VLOOKUP(C21,LOOKUPS!$N$2:$O$10,2,FALSE),"UNK")&amp;"_"&amp;UPPER(L21))</f>
        <v>AB_ITNIC_REQ_EMPSHARESCHEME</v>
      </c>
      <c r="N21" s="3">
        <f>IF(M21="","",COUNTIF($M$2:M21,M21))</f>
        <v>8</v>
      </c>
      <c r="O21" s="3" t="s">
        <v>739</v>
      </c>
      <c r="P21" s="3">
        <v>2</v>
      </c>
      <c r="Q21" s="3">
        <v>3</v>
      </c>
      <c r="R21" s="3" t="s">
        <v>368</v>
      </c>
      <c r="S21" s="3" t="s">
        <v>225</v>
      </c>
      <c r="T21" t="s">
        <v>17</v>
      </c>
      <c r="U21" s="3" t="s">
        <v>131</v>
      </c>
      <c r="V21" t="s">
        <v>17</v>
      </c>
      <c r="W21" s="3"/>
      <c r="X21" s="3"/>
      <c r="Y21" s="3"/>
      <c r="Z21" s="3"/>
      <c r="AA21" s="3"/>
      <c r="AB21" s="3"/>
      <c r="AC21" s="3" t="s">
        <v>746</v>
      </c>
    </row>
    <row r="22" spans="1:29" ht="28.8" x14ac:dyDescent="0.3">
      <c r="A22" s="3" t="str">
        <f t="shared" si="0"/>
        <v>AB_ITNIC_REQ_EMPSHARESCHEME_009</v>
      </c>
      <c r="B22" s="3" t="s">
        <v>21</v>
      </c>
      <c r="C22" t="s">
        <v>22</v>
      </c>
      <c r="D22" s="3" t="s">
        <v>352</v>
      </c>
      <c r="E22" s="3" t="s">
        <v>25</v>
      </c>
      <c r="F22" s="3">
        <v>3</v>
      </c>
      <c r="G22" s="3">
        <v>0</v>
      </c>
      <c r="H22" s="3" t="s">
        <v>17</v>
      </c>
      <c r="I22" s="3" t="s">
        <v>369</v>
      </c>
      <c r="J22" s="3" t="s">
        <v>318</v>
      </c>
      <c r="K22" s="3">
        <v>1</v>
      </c>
      <c r="L22" s="3" t="s">
        <v>427</v>
      </c>
      <c r="M22" s="3" t="str">
        <f>IF(B22="","","AB"&amp;"_"&amp;IFERROR(VLOOKUP(B22,LOOKUPS!$K$2:$L$9,2,FALSE),"UNK")&amp;"_"&amp;IFERROR(VLOOKUP(C22,LOOKUPS!$N$2:$O$10,2,FALSE),"UNK")&amp;"_"&amp;UPPER(L22))</f>
        <v>AB_ITNIC_REQ_EMPSHARESCHEME</v>
      </c>
      <c r="N22" s="3">
        <f>IF(M22="","",COUNTIF($M$2:M22,M22))</f>
        <v>9</v>
      </c>
      <c r="O22" s="3" t="s">
        <v>740</v>
      </c>
      <c r="P22" s="3">
        <v>2</v>
      </c>
      <c r="Q22" s="3">
        <v>10</v>
      </c>
      <c r="R22" s="3">
        <v>3</v>
      </c>
      <c r="S22" s="3" t="s">
        <v>225</v>
      </c>
      <c r="T22" t="s">
        <v>17</v>
      </c>
      <c r="U22" s="3" t="s">
        <v>131</v>
      </c>
      <c r="V22" t="s">
        <v>17</v>
      </c>
      <c r="W22" s="3"/>
      <c r="X22" s="3"/>
      <c r="Y22" s="3"/>
      <c r="Z22" s="3"/>
      <c r="AA22" s="3"/>
      <c r="AB22" s="3"/>
      <c r="AC22" s="3" t="s">
        <v>747</v>
      </c>
    </row>
    <row r="23" spans="1:29" ht="43.2" x14ac:dyDescent="0.3">
      <c r="A23" s="3" t="str">
        <f t="shared" si="0"/>
        <v>AB_ITNIC_REQ_EMPSHARESCHEME_010</v>
      </c>
      <c r="B23" s="3" t="s">
        <v>21</v>
      </c>
      <c r="C23" t="s">
        <v>22</v>
      </c>
      <c r="D23" s="3" t="s">
        <v>352</v>
      </c>
      <c r="E23" s="3" t="s">
        <v>25</v>
      </c>
      <c r="F23" s="3">
        <v>3</v>
      </c>
      <c r="G23" s="3">
        <v>0</v>
      </c>
      <c r="H23" s="3" t="s">
        <v>17</v>
      </c>
      <c r="I23" s="3" t="s">
        <v>370</v>
      </c>
      <c r="J23" s="3" t="s">
        <v>318</v>
      </c>
      <c r="K23" s="3">
        <v>1</v>
      </c>
      <c r="L23" s="3" t="s">
        <v>427</v>
      </c>
      <c r="M23" s="3" t="str">
        <f>IF(B23="","","AB"&amp;"_"&amp;IFERROR(VLOOKUP(B23,LOOKUPS!$K$2:$L$9,2,FALSE),"UNK")&amp;"_"&amp;IFERROR(VLOOKUP(C23,LOOKUPS!$N$2:$O$10,2,FALSE),"UNK")&amp;"_"&amp;UPPER(L23))</f>
        <v>AB_ITNIC_REQ_EMPSHARESCHEME</v>
      </c>
      <c r="N23" s="3">
        <f>IF(M23="","",COUNTIF($M$2:M23,M23))</f>
        <v>10</v>
      </c>
      <c r="O23" s="3" t="s">
        <v>741</v>
      </c>
      <c r="P23" s="3">
        <v>2</v>
      </c>
      <c r="Q23" s="3" t="s">
        <v>371</v>
      </c>
      <c r="R23" s="3">
        <v>60000</v>
      </c>
      <c r="S23" s="3" t="s">
        <v>225</v>
      </c>
      <c r="T23" t="s">
        <v>17</v>
      </c>
      <c r="U23" s="3" t="s">
        <v>131</v>
      </c>
      <c r="V23" t="s">
        <v>17</v>
      </c>
      <c r="W23" s="3"/>
      <c r="X23" s="3"/>
      <c r="Y23" s="3"/>
      <c r="Z23" s="3"/>
      <c r="AA23" s="3"/>
      <c r="AB23" s="3"/>
      <c r="AC23" s="3" t="s">
        <v>748</v>
      </c>
    </row>
    <row r="24" spans="1:29" ht="43.2" x14ac:dyDescent="0.3">
      <c r="A24" s="3" t="str">
        <f t="shared" si="0"/>
        <v>AB_ITNIC_REQ_EMPSHARESCHEME_011</v>
      </c>
      <c r="B24" s="3" t="s">
        <v>21</v>
      </c>
      <c r="C24" t="s">
        <v>22</v>
      </c>
      <c r="D24" s="3" t="s">
        <v>352</v>
      </c>
      <c r="E24" s="3" t="s">
        <v>25</v>
      </c>
      <c r="F24" s="3">
        <v>3</v>
      </c>
      <c r="G24" s="3">
        <v>0</v>
      </c>
      <c r="H24" s="3" t="s">
        <v>17</v>
      </c>
      <c r="I24" s="3" t="s">
        <v>372</v>
      </c>
      <c r="J24" s="3" t="s">
        <v>318</v>
      </c>
      <c r="K24" s="3">
        <v>1</v>
      </c>
      <c r="L24" s="3" t="s">
        <v>427</v>
      </c>
      <c r="M24" s="3" t="str">
        <f>IF(B24="","","AB"&amp;"_"&amp;IFERROR(VLOOKUP(B24,LOOKUPS!$K$2:$L$9,2,FALSE),"UNK")&amp;"_"&amp;IFERROR(VLOOKUP(C24,LOOKUPS!$N$2:$O$10,2,FALSE),"UNK")&amp;"_"&amp;UPPER(L24))</f>
        <v>AB_ITNIC_REQ_EMPSHARESCHEME</v>
      </c>
      <c r="N24" s="3">
        <f>IF(M24="","",COUNTIF($M$2:M24,M24))</f>
        <v>11</v>
      </c>
      <c r="O24" s="3" t="s">
        <v>742</v>
      </c>
      <c r="P24" s="3">
        <v>2</v>
      </c>
      <c r="Q24" s="3" t="s">
        <v>32</v>
      </c>
      <c r="R24" s="3" t="s">
        <v>373</v>
      </c>
      <c r="S24" s="3" t="s">
        <v>131</v>
      </c>
      <c r="T24" t="s">
        <v>17</v>
      </c>
      <c r="U24" s="3" t="s">
        <v>225</v>
      </c>
      <c r="V24" t="s">
        <v>17</v>
      </c>
      <c r="W24" s="3"/>
      <c r="X24" s="3"/>
      <c r="Y24" s="3"/>
      <c r="Z24" s="3"/>
      <c r="AA24" s="3"/>
      <c r="AB24" s="3"/>
      <c r="AC24" s="3" t="s">
        <v>749</v>
      </c>
    </row>
    <row r="25" spans="1:29" ht="43.2" x14ac:dyDescent="0.3">
      <c r="A25" s="3" t="str">
        <f t="shared" si="0"/>
        <v>AB_ITNIC_REQ_EMPSHARESCHEME_012</v>
      </c>
      <c r="B25" s="3" t="s">
        <v>21</v>
      </c>
      <c r="C25" t="s">
        <v>22</v>
      </c>
      <c r="D25" s="3" t="s">
        <v>352</v>
      </c>
      <c r="E25" s="3" t="s">
        <v>25</v>
      </c>
      <c r="F25" s="3">
        <v>3</v>
      </c>
      <c r="G25" s="3">
        <v>0</v>
      </c>
      <c r="H25" s="3" t="s">
        <v>17</v>
      </c>
      <c r="I25" s="3" t="s">
        <v>374</v>
      </c>
      <c r="J25" s="3" t="s">
        <v>318</v>
      </c>
      <c r="K25" s="3">
        <v>1</v>
      </c>
      <c r="L25" s="3" t="s">
        <v>427</v>
      </c>
      <c r="M25" s="3" t="str">
        <f>IF(B25="","","AB"&amp;"_"&amp;IFERROR(VLOOKUP(B25,LOOKUPS!$K$2:$L$9,2,FALSE),"UNK")&amp;"_"&amp;IFERROR(VLOOKUP(C25,LOOKUPS!$N$2:$O$10,2,FALSE),"UNK")&amp;"_"&amp;UPPER(L25))</f>
        <v>AB_ITNIC_REQ_EMPSHARESCHEME</v>
      </c>
      <c r="N25" s="3">
        <f>IF(M25="","",COUNTIF($M$2:M25,M25))</f>
        <v>12</v>
      </c>
      <c r="O25" s="3" t="s">
        <v>702</v>
      </c>
      <c r="P25" s="3">
        <v>2</v>
      </c>
      <c r="Q25" s="3" t="s">
        <v>375</v>
      </c>
      <c r="R25" s="3" t="s">
        <v>376</v>
      </c>
      <c r="S25" s="3" t="s">
        <v>225</v>
      </c>
      <c r="T25" t="s">
        <v>17</v>
      </c>
      <c r="U25" s="3" t="s">
        <v>131</v>
      </c>
      <c r="V25" t="s">
        <v>17</v>
      </c>
      <c r="W25" s="3"/>
      <c r="X25" s="3"/>
      <c r="Y25" s="3"/>
      <c r="Z25" s="3"/>
      <c r="AA25" s="3"/>
      <c r="AB25" s="3"/>
      <c r="AC25" s="3" t="s">
        <v>703</v>
      </c>
    </row>
    <row r="26" spans="1:29" ht="43.2" x14ac:dyDescent="0.3">
      <c r="A26" s="3" t="str">
        <f t="shared" si="0"/>
        <v>AB_ITNIC_REQ_EMPSHARESCHEME_013</v>
      </c>
      <c r="B26" s="3" t="s">
        <v>21</v>
      </c>
      <c r="C26" t="s">
        <v>22</v>
      </c>
      <c r="D26" s="3" t="s">
        <v>352</v>
      </c>
      <c r="E26" s="3" t="s">
        <v>25</v>
      </c>
      <c r="F26" s="3">
        <v>3</v>
      </c>
      <c r="G26" s="3">
        <v>0</v>
      </c>
      <c r="H26" s="3" t="s">
        <v>17</v>
      </c>
      <c r="I26" s="3" t="s">
        <v>377</v>
      </c>
      <c r="J26" s="3" t="s">
        <v>318</v>
      </c>
      <c r="K26" s="3">
        <v>1</v>
      </c>
      <c r="L26" s="3" t="s">
        <v>427</v>
      </c>
      <c r="M26" s="3" t="str">
        <f>IF(B26="","","AB"&amp;"_"&amp;IFERROR(VLOOKUP(B26,LOOKUPS!$K$2:$L$9,2,FALSE),"UNK")&amp;"_"&amp;IFERROR(VLOOKUP(C26,LOOKUPS!$N$2:$O$10,2,FALSE),"UNK")&amp;"_"&amp;UPPER(L26))</f>
        <v>AB_ITNIC_REQ_EMPSHARESCHEME</v>
      </c>
      <c r="N26" s="3">
        <f>IF(M26="","",COUNTIF($M$2:M26,M26))</f>
        <v>13</v>
      </c>
      <c r="O26" s="3" t="s">
        <v>704</v>
      </c>
      <c r="P26" s="3">
        <v>2</v>
      </c>
      <c r="Q26" s="3" t="s">
        <v>378</v>
      </c>
      <c r="R26" s="3">
        <v>250</v>
      </c>
      <c r="S26" s="3" t="s">
        <v>131</v>
      </c>
      <c r="T26" t="s">
        <v>17</v>
      </c>
      <c r="U26" s="3" t="s">
        <v>225</v>
      </c>
      <c r="V26" t="s">
        <v>17</v>
      </c>
      <c r="W26" s="3"/>
      <c r="X26" s="3"/>
      <c r="Y26" s="3"/>
      <c r="Z26" s="3"/>
      <c r="AA26" s="3"/>
      <c r="AB26" s="3"/>
      <c r="AC26" s="3" t="s">
        <v>705</v>
      </c>
    </row>
    <row r="27" spans="1:29" ht="57.6" x14ac:dyDescent="0.3">
      <c r="A27" s="3" t="str">
        <f t="shared" si="0"/>
        <v>AB_ITNIC_REQ_EMPSHARESCHEME_014</v>
      </c>
      <c r="B27" s="3" t="s">
        <v>21</v>
      </c>
      <c r="C27" t="s">
        <v>22</v>
      </c>
      <c r="D27" s="3" t="s">
        <v>352</v>
      </c>
      <c r="E27" s="3" t="s">
        <v>25</v>
      </c>
      <c r="F27" s="3">
        <v>3</v>
      </c>
      <c r="G27" s="3">
        <v>0</v>
      </c>
      <c r="H27" s="3" t="s">
        <v>17</v>
      </c>
      <c r="I27" s="3" t="s">
        <v>379</v>
      </c>
      <c r="J27" s="3" t="s">
        <v>318</v>
      </c>
      <c r="K27" s="3">
        <v>1</v>
      </c>
      <c r="L27" s="3" t="s">
        <v>427</v>
      </c>
      <c r="M27" s="3" t="str">
        <f>IF(B27="","","AB"&amp;"_"&amp;IFERROR(VLOOKUP(B27,LOOKUPS!$K$2:$L$9,2,FALSE),"UNK")&amp;"_"&amp;IFERROR(VLOOKUP(C27,LOOKUPS!$N$2:$O$10,2,FALSE),"UNK")&amp;"_"&amp;UPPER(L27))</f>
        <v>AB_ITNIC_REQ_EMPSHARESCHEME</v>
      </c>
      <c r="N27" s="3">
        <f>IF(M27="","",COUNTIF($M$2:M27,M27))</f>
        <v>14</v>
      </c>
      <c r="O27" s="3" t="s">
        <v>706</v>
      </c>
      <c r="P27" s="3">
        <v>2</v>
      </c>
      <c r="Q27" s="3" t="s">
        <v>380</v>
      </c>
      <c r="R27" s="3" t="s">
        <v>381</v>
      </c>
      <c r="S27" s="3" t="s">
        <v>225</v>
      </c>
      <c r="T27" t="s">
        <v>17</v>
      </c>
      <c r="U27" s="3" t="s">
        <v>131</v>
      </c>
      <c r="V27" t="s">
        <v>17</v>
      </c>
      <c r="W27" s="3"/>
      <c r="X27" s="3"/>
      <c r="Y27" s="3"/>
      <c r="Z27" s="3"/>
      <c r="AA27" s="3"/>
      <c r="AB27" s="3"/>
      <c r="AC27" s="3" t="s">
        <v>707</v>
      </c>
    </row>
    <row r="28" spans="1:29" ht="43.2" x14ac:dyDescent="0.3">
      <c r="A28" s="3" t="str">
        <f t="shared" si="0"/>
        <v>AB_ITNIC_REQ_EMPSHARESCHEME_015</v>
      </c>
      <c r="B28" s="3" t="s">
        <v>21</v>
      </c>
      <c r="C28" t="s">
        <v>22</v>
      </c>
      <c r="D28" s="3" t="s">
        <v>352</v>
      </c>
      <c r="E28" s="3" t="s">
        <v>25</v>
      </c>
      <c r="F28" s="3">
        <v>3</v>
      </c>
      <c r="G28" s="3">
        <v>0</v>
      </c>
      <c r="H28" s="3" t="s">
        <v>17</v>
      </c>
      <c r="I28" s="3" t="s">
        <v>382</v>
      </c>
      <c r="J28" s="3" t="s">
        <v>318</v>
      </c>
      <c r="K28" s="3">
        <v>1</v>
      </c>
      <c r="L28" s="3" t="s">
        <v>427</v>
      </c>
      <c r="M28" s="3" t="str">
        <f>IF(B28="","","AB"&amp;"_"&amp;IFERROR(VLOOKUP(B28,LOOKUPS!$K$2:$L$9,2,FALSE),"UNK")&amp;"_"&amp;IFERROR(VLOOKUP(C28,LOOKUPS!$N$2:$O$10,2,FALSE),"UNK")&amp;"_"&amp;UPPER(L28))</f>
        <v>AB_ITNIC_REQ_EMPSHARESCHEME</v>
      </c>
      <c r="N28" s="3">
        <f>IF(M28="","",COUNTIF($M$2:M28,M28))</f>
        <v>15</v>
      </c>
      <c r="O28" s="3" t="s">
        <v>708</v>
      </c>
      <c r="P28" s="3">
        <v>2</v>
      </c>
      <c r="Q28" s="3">
        <v>25</v>
      </c>
      <c r="R28" s="9">
        <v>0.75</v>
      </c>
      <c r="S28" s="3" t="s">
        <v>131</v>
      </c>
      <c r="T28" t="s">
        <v>17</v>
      </c>
      <c r="U28" s="3" t="s">
        <v>225</v>
      </c>
      <c r="V28" t="s">
        <v>17</v>
      </c>
      <c r="W28" s="3"/>
      <c r="X28" s="3"/>
      <c r="Y28" s="3"/>
      <c r="Z28" s="3"/>
      <c r="AA28" s="3"/>
      <c r="AB28" s="3"/>
      <c r="AC28" s="3" t="s">
        <v>709</v>
      </c>
    </row>
    <row r="29" spans="1:29" ht="43.2" x14ac:dyDescent="0.3">
      <c r="A29" s="3" t="str">
        <f t="shared" si="0"/>
        <v>AB_ITNIC_REQ_EMPSHARESCHEME_016</v>
      </c>
      <c r="B29" s="3" t="s">
        <v>21</v>
      </c>
      <c r="C29" t="s">
        <v>22</v>
      </c>
      <c r="D29" s="3" t="s">
        <v>352</v>
      </c>
      <c r="E29" s="3" t="s">
        <v>25</v>
      </c>
      <c r="F29" s="3">
        <v>3</v>
      </c>
      <c r="G29" s="3">
        <v>0</v>
      </c>
      <c r="H29" s="3" t="s">
        <v>17</v>
      </c>
      <c r="I29" s="3" t="s">
        <v>383</v>
      </c>
      <c r="J29" s="3" t="s">
        <v>318</v>
      </c>
      <c r="K29" s="3">
        <v>1</v>
      </c>
      <c r="L29" s="3" t="s">
        <v>427</v>
      </c>
      <c r="M29" s="3" t="str">
        <f>IF(B29="","","AB"&amp;"_"&amp;IFERROR(VLOOKUP(B29,LOOKUPS!$K$2:$L$9,2,FALSE),"UNK")&amp;"_"&amp;IFERROR(VLOOKUP(C29,LOOKUPS!$N$2:$O$10,2,FALSE),"UNK")&amp;"_"&amp;UPPER(L29))</f>
        <v>AB_ITNIC_REQ_EMPSHARESCHEME</v>
      </c>
      <c r="N29" s="3">
        <f>IF(M29="","",COUNTIF($M$2:M29,M29))</f>
        <v>16</v>
      </c>
      <c r="O29" s="3" t="s">
        <v>710</v>
      </c>
      <c r="P29" s="3">
        <v>2</v>
      </c>
      <c r="Q29" s="3" t="s">
        <v>384</v>
      </c>
      <c r="R29" s="9">
        <v>0.3</v>
      </c>
      <c r="S29" s="3" t="s">
        <v>225</v>
      </c>
      <c r="T29" t="s">
        <v>17</v>
      </c>
      <c r="U29" s="3" t="s">
        <v>131</v>
      </c>
      <c r="V29" t="s">
        <v>17</v>
      </c>
      <c r="W29" s="3"/>
      <c r="X29" s="3"/>
      <c r="Y29" s="3"/>
      <c r="Z29" s="3"/>
      <c r="AA29" s="3"/>
      <c r="AB29" s="3"/>
      <c r="AC29" s="3" t="s">
        <v>711</v>
      </c>
    </row>
    <row r="30" spans="1:29" ht="57.6" x14ac:dyDescent="0.3">
      <c r="A30" s="3" t="str">
        <f t="shared" si="0"/>
        <v>AB_ITNIC_REQ_EMPSHARESCHEME_017</v>
      </c>
      <c r="B30" s="3" t="s">
        <v>21</v>
      </c>
      <c r="C30" t="s">
        <v>22</v>
      </c>
      <c r="D30" s="3" t="s">
        <v>352</v>
      </c>
      <c r="E30" s="3" t="s">
        <v>25</v>
      </c>
      <c r="F30" s="3">
        <v>3</v>
      </c>
      <c r="G30" s="3">
        <v>0</v>
      </c>
      <c r="H30" s="3" t="s">
        <v>17</v>
      </c>
      <c r="I30" s="3" t="s">
        <v>385</v>
      </c>
      <c r="J30" s="3" t="s">
        <v>318</v>
      </c>
      <c r="K30" s="3">
        <v>1</v>
      </c>
      <c r="L30" s="3" t="s">
        <v>427</v>
      </c>
      <c r="M30" s="3" t="str">
        <f>IF(B30="","","AB"&amp;"_"&amp;IFERROR(VLOOKUP(B30,LOOKUPS!$K$2:$L$9,2,FALSE),"UNK")&amp;"_"&amp;IFERROR(VLOOKUP(C30,LOOKUPS!$N$2:$O$10,2,FALSE),"UNK")&amp;"_"&amp;UPPER(L30))</f>
        <v>AB_ITNIC_REQ_EMPSHARESCHEME</v>
      </c>
      <c r="N30" s="3">
        <f>IF(M30="","",COUNTIF($M$2:M30,M30))</f>
        <v>17</v>
      </c>
      <c r="O30" s="3" t="s">
        <v>712</v>
      </c>
      <c r="P30" s="3">
        <v>2</v>
      </c>
      <c r="Q30" s="3" t="s">
        <v>364</v>
      </c>
      <c r="R30" s="3" t="s">
        <v>386</v>
      </c>
      <c r="S30" s="3" t="s">
        <v>131</v>
      </c>
      <c r="T30" t="s">
        <v>17</v>
      </c>
      <c r="U30" s="3" t="s">
        <v>225</v>
      </c>
      <c r="V30" t="s">
        <v>17</v>
      </c>
      <c r="W30" s="3"/>
      <c r="X30" s="3"/>
      <c r="Y30" s="3"/>
      <c r="Z30" s="3"/>
      <c r="AA30" s="3"/>
      <c r="AB30" s="3"/>
      <c r="AC30" s="3" t="s">
        <v>387</v>
      </c>
    </row>
    <row r="31" spans="1:29" ht="57.6" x14ac:dyDescent="0.3">
      <c r="A31" s="3" t="str">
        <f t="shared" si="0"/>
        <v>AB_ITNIC_REQ_EMPSHARESCHEME_018</v>
      </c>
      <c r="B31" s="3" t="s">
        <v>21</v>
      </c>
      <c r="C31" t="s">
        <v>22</v>
      </c>
      <c r="D31" s="3" t="s">
        <v>352</v>
      </c>
      <c r="E31" s="3" t="s">
        <v>25</v>
      </c>
      <c r="F31" s="3">
        <v>3</v>
      </c>
      <c r="G31" s="3">
        <v>0</v>
      </c>
      <c r="H31" s="3" t="s">
        <v>17</v>
      </c>
      <c r="I31" s="3" t="s">
        <v>388</v>
      </c>
      <c r="J31" s="3" t="s">
        <v>318</v>
      </c>
      <c r="K31" s="3">
        <v>1</v>
      </c>
      <c r="L31" s="3" t="s">
        <v>427</v>
      </c>
      <c r="M31" s="3" t="str">
        <f>IF(B31="","","AB"&amp;"_"&amp;IFERROR(VLOOKUP(B31,LOOKUPS!$K$2:$L$9,2,FALSE),"UNK")&amp;"_"&amp;IFERROR(VLOOKUP(C31,LOOKUPS!$N$2:$O$10,2,FALSE),"UNK")&amp;"_"&amp;UPPER(L31))</f>
        <v>AB_ITNIC_REQ_EMPSHARESCHEME</v>
      </c>
      <c r="N31" s="3">
        <f>IF(M31="","",COUNTIF($M$2:M31,M31))</f>
        <v>18</v>
      </c>
      <c r="O31" s="3" t="s">
        <v>713</v>
      </c>
      <c r="P31" s="3">
        <v>2</v>
      </c>
      <c r="Q31" s="3" t="s">
        <v>389</v>
      </c>
      <c r="R31" s="3">
        <v>250000</v>
      </c>
      <c r="S31" s="3" t="s">
        <v>225</v>
      </c>
      <c r="T31" t="s">
        <v>17</v>
      </c>
      <c r="U31" s="3" t="s">
        <v>131</v>
      </c>
      <c r="V31" t="s">
        <v>17</v>
      </c>
      <c r="W31" s="3"/>
      <c r="X31" s="3"/>
      <c r="Y31" s="3"/>
      <c r="Z31" s="3"/>
      <c r="AA31" s="3"/>
      <c r="AB31" s="3"/>
      <c r="AC31" s="3" t="s">
        <v>714</v>
      </c>
    </row>
    <row r="32" spans="1:29" ht="86.4" x14ac:dyDescent="0.3">
      <c r="A32" s="3" t="str">
        <f t="shared" si="0"/>
        <v>AB_ITNIC_REQ_EMPSHARESCHEME_019</v>
      </c>
      <c r="B32" s="3" t="s">
        <v>21</v>
      </c>
      <c r="C32" t="s">
        <v>22</v>
      </c>
      <c r="D32" s="3" t="s">
        <v>352</v>
      </c>
      <c r="E32" s="3" t="s">
        <v>25</v>
      </c>
      <c r="F32" s="3">
        <v>3</v>
      </c>
      <c r="G32" s="3">
        <v>0</v>
      </c>
      <c r="H32" s="3" t="s">
        <v>17</v>
      </c>
      <c r="I32" s="3" t="s">
        <v>390</v>
      </c>
      <c r="J32" s="3" t="s">
        <v>318</v>
      </c>
      <c r="K32" s="3">
        <v>1</v>
      </c>
      <c r="L32" s="3" t="s">
        <v>427</v>
      </c>
      <c r="M32" s="3" t="str">
        <f>IF(B32="","","AB"&amp;"_"&amp;IFERROR(VLOOKUP(B32,LOOKUPS!$K$2:$L$9,2,FALSE),"UNK")&amp;"_"&amp;IFERROR(VLOOKUP(C32,LOOKUPS!$N$2:$O$10,2,FALSE),"UNK")&amp;"_"&amp;UPPER(L32))</f>
        <v>AB_ITNIC_REQ_EMPSHARESCHEME</v>
      </c>
      <c r="N32" s="3">
        <f>IF(M32="","",COUNTIF($M$2:M32,M32))</f>
        <v>19</v>
      </c>
      <c r="O32" s="3" t="s">
        <v>725</v>
      </c>
      <c r="P32" s="3">
        <v>2</v>
      </c>
      <c r="Q32" s="3" t="s">
        <v>344</v>
      </c>
      <c r="R32" s="3" t="s">
        <v>743</v>
      </c>
      <c r="S32" s="3" t="s">
        <v>131</v>
      </c>
      <c r="T32" t="s">
        <v>17</v>
      </c>
      <c r="U32" s="3" t="s">
        <v>225</v>
      </c>
      <c r="V32" t="s">
        <v>17</v>
      </c>
      <c r="W32" s="3"/>
      <c r="X32" s="3"/>
      <c r="Y32" s="3"/>
      <c r="Z32" s="3"/>
      <c r="AA32" s="3"/>
      <c r="AB32" s="3"/>
      <c r="AC32" s="3" t="s">
        <v>750</v>
      </c>
    </row>
    <row r="33" spans="1:29" ht="43.2" x14ac:dyDescent="0.3">
      <c r="A33" s="3" t="str">
        <f t="shared" si="0"/>
        <v>AB_ITNIC_REQ_EMPSHARESCHEME_020</v>
      </c>
      <c r="B33" s="3" t="s">
        <v>21</v>
      </c>
      <c r="C33" t="s">
        <v>22</v>
      </c>
      <c r="D33" s="3" t="s">
        <v>352</v>
      </c>
      <c r="E33" s="3" t="s">
        <v>25</v>
      </c>
      <c r="F33" s="3">
        <v>3</v>
      </c>
      <c r="G33" s="3">
        <v>0</v>
      </c>
      <c r="H33" s="3" t="s">
        <v>17</v>
      </c>
      <c r="I33" s="3" t="s">
        <v>391</v>
      </c>
      <c r="J33" s="3" t="s">
        <v>318</v>
      </c>
      <c r="K33" s="3">
        <v>1</v>
      </c>
      <c r="L33" s="3" t="s">
        <v>427</v>
      </c>
      <c r="M33" s="3" t="str">
        <f>IF(B33="","","AB"&amp;"_"&amp;IFERROR(VLOOKUP(B33,LOOKUPS!$K$2:$L$9,2,FALSE),"UNK")&amp;"_"&amp;IFERROR(VLOOKUP(C33,LOOKUPS!$N$2:$O$10,2,FALSE),"UNK")&amp;"_"&amp;UPPER(L33))</f>
        <v>AB_ITNIC_REQ_EMPSHARESCHEME</v>
      </c>
      <c r="N33" s="3">
        <f>IF(M33="","",COUNTIF($M$2:M33,M33))</f>
        <v>20</v>
      </c>
      <c r="O33" s="3" t="s">
        <v>715</v>
      </c>
      <c r="P33" s="3">
        <v>2</v>
      </c>
      <c r="Q33" s="3" t="s">
        <v>392</v>
      </c>
      <c r="R33" s="3" t="s">
        <v>393</v>
      </c>
      <c r="S33" s="3" t="s">
        <v>225</v>
      </c>
      <c r="T33" t="s">
        <v>17</v>
      </c>
      <c r="U33" s="3" t="s">
        <v>131</v>
      </c>
      <c r="V33" t="s">
        <v>17</v>
      </c>
      <c r="W33" s="3"/>
      <c r="X33" s="3"/>
      <c r="Y33" s="3"/>
      <c r="Z33" s="3"/>
      <c r="AA33" s="3"/>
      <c r="AB33" s="3"/>
      <c r="AC33" s="3" t="s">
        <v>716</v>
      </c>
    </row>
    <row r="34" spans="1:29" ht="72" x14ac:dyDescent="0.3">
      <c r="A34" s="3" t="str">
        <f t="shared" si="0"/>
        <v>AB_ITNIC_REQ_EMPSHARESCHEME_021</v>
      </c>
      <c r="B34" s="3" t="s">
        <v>21</v>
      </c>
      <c r="C34" t="s">
        <v>22</v>
      </c>
      <c r="D34" s="3" t="s">
        <v>352</v>
      </c>
      <c r="E34" s="3" t="s">
        <v>25</v>
      </c>
      <c r="F34" s="3">
        <v>3</v>
      </c>
      <c r="G34" s="3">
        <v>0</v>
      </c>
      <c r="H34" s="3" t="s">
        <v>17</v>
      </c>
      <c r="I34" s="3" t="s">
        <v>394</v>
      </c>
      <c r="J34" s="3" t="s">
        <v>318</v>
      </c>
      <c r="K34" s="3">
        <v>1</v>
      </c>
      <c r="L34" s="3" t="s">
        <v>427</v>
      </c>
      <c r="M34" s="3" t="str">
        <f>IF(B34="","","AB"&amp;"_"&amp;IFERROR(VLOOKUP(B34,LOOKUPS!$K$2:$L$9,2,FALSE),"UNK")&amp;"_"&amp;IFERROR(VLOOKUP(C34,LOOKUPS!$N$2:$O$10,2,FALSE),"UNK")&amp;"_"&amp;UPPER(L34))</f>
        <v>AB_ITNIC_REQ_EMPSHARESCHEME</v>
      </c>
      <c r="N34" s="3">
        <f>IF(M34="","",COUNTIF($M$2:M34,M34))</f>
        <v>21</v>
      </c>
      <c r="O34" s="3" t="s">
        <v>717</v>
      </c>
      <c r="P34" s="3">
        <v>2</v>
      </c>
      <c r="Q34" s="3" t="s">
        <v>395</v>
      </c>
      <c r="R34" s="3" t="s">
        <v>392</v>
      </c>
      <c r="S34" s="3" t="s">
        <v>131</v>
      </c>
      <c r="T34" t="s">
        <v>17</v>
      </c>
      <c r="U34" s="3" t="s">
        <v>225</v>
      </c>
      <c r="V34" t="s">
        <v>17</v>
      </c>
      <c r="W34" s="3"/>
      <c r="X34" s="3"/>
      <c r="Y34" s="3"/>
      <c r="Z34" s="3"/>
      <c r="AA34" s="3"/>
      <c r="AB34" s="3"/>
      <c r="AC34" s="3" t="s">
        <v>396</v>
      </c>
    </row>
    <row r="35" spans="1:29" ht="57.6" x14ac:dyDescent="0.3">
      <c r="A35" s="3" t="str">
        <f t="shared" si="0"/>
        <v>AB_ITNIC_REQ_EMPSHARESCHEME_022</v>
      </c>
      <c r="B35" s="3" t="s">
        <v>21</v>
      </c>
      <c r="C35" t="s">
        <v>22</v>
      </c>
      <c r="D35" s="3" t="s">
        <v>352</v>
      </c>
      <c r="E35" s="3" t="s">
        <v>25</v>
      </c>
      <c r="F35" s="3">
        <v>3</v>
      </c>
      <c r="G35" s="3">
        <v>0</v>
      </c>
      <c r="H35" s="3" t="s">
        <v>17</v>
      </c>
      <c r="I35" s="3" t="s">
        <v>397</v>
      </c>
      <c r="J35" s="3" t="s">
        <v>318</v>
      </c>
      <c r="K35" s="3">
        <v>1</v>
      </c>
      <c r="L35" s="3" t="s">
        <v>427</v>
      </c>
      <c r="M35" s="3" t="str">
        <f>IF(B35="","","AB"&amp;"_"&amp;IFERROR(VLOOKUP(B35,LOOKUPS!$K$2:$L$9,2,FALSE),"UNK")&amp;"_"&amp;IFERROR(VLOOKUP(C35,LOOKUPS!$N$2:$O$10,2,FALSE),"UNK")&amp;"_"&amp;UPPER(L35))</f>
        <v>AB_ITNIC_REQ_EMPSHARESCHEME</v>
      </c>
      <c r="N35" s="3">
        <f>IF(M35="","",COUNTIF($M$2:M35,M35))</f>
        <v>22</v>
      </c>
      <c r="O35" s="3" t="s">
        <v>718</v>
      </c>
      <c r="P35" s="3">
        <v>2</v>
      </c>
      <c r="Q35" s="3" t="s">
        <v>32</v>
      </c>
      <c r="R35" s="3" t="s">
        <v>398</v>
      </c>
      <c r="S35" s="3" t="s">
        <v>225</v>
      </c>
      <c r="T35" t="s">
        <v>17</v>
      </c>
      <c r="U35" s="3" t="s">
        <v>131</v>
      </c>
      <c r="V35" t="s">
        <v>17</v>
      </c>
      <c r="W35" s="3"/>
      <c r="X35" s="3"/>
      <c r="Y35" s="3"/>
      <c r="Z35" s="3"/>
      <c r="AA35" s="3"/>
      <c r="AB35" s="3"/>
      <c r="AC35" s="3" t="s">
        <v>399</v>
      </c>
    </row>
    <row r="36" spans="1:29" ht="57.6" x14ac:dyDescent="0.3">
      <c r="A36" s="3" t="str">
        <f t="shared" si="0"/>
        <v>AB_ITNIC_REQ_EMPSHARESCHEME_023</v>
      </c>
      <c r="B36" s="3" t="s">
        <v>21</v>
      </c>
      <c r="C36" t="s">
        <v>22</v>
      </c>
      <c r="D36" s="3" t="s">
        <v>352</v>
      </c>
      <c r="E36" s="3" t="s">
        <v>25</v>
      </c>
      <c r="F36" s="3">
        <v>3</v>
      </c>
      <c r="G36" s="3">
        <v>0</v>
      </c>
      <c r="H36" s="3" t="s">
        <v>17</v>
      </c>
      <c r="I36" s="3" t="s">
        <v>400</v>
      </c>
      <c r="J36" s="3" t="s">
        <v>318</v>
      </c>
      <c r="K36" s="3">
        <v>1</v>
      </c>
      <c r="L36" s="3" t="s">
        <v>427</v>
      </c>
      <c r="M36" s="3" t="str">
        <f>IF(B36="","","AB"&amp;"_"&amp;IFERROR(VLOOKUP(B36,LOOKUPS!$K$2:$L$9,2,FALSE),"UNK")&amp;"_"&amp;IFERROR(VLOOKUP(C36,LOOKUPS!$N$2:$O$10,2,FALSE),"UNK")&amp;"_"&amp;UPPER(L36))</f>
        <v>AB_ITNIC_REQ_EMPSHARESCHEME</v>
      </c>
      <c r="N36" s="3">
        <f>IF(M36="","",COUNTIF($M$2:M36,M36))</f>
        <v>23</v>
      </c>
      <c r="O36" s="3" t="s">
        <v>719</v>
      </c>
      <c r="P36" s="3">
        <v>2</v>
      </c>
      <c r="Q36" s="3" t="s">
        <v>401</v>
      </c>
      <c r="R36" s="3" t="s">
        <v>393</v>
      </c>
      <c r="S36" s="3" t="s">
        <v>131</v>
      </c>
      <c r="T36" t="s">
        <v>17</v>
      </c>
      <c r="U36" s="3" t="s">
        <v>225</v>
      </c>
      <c r="V36" t="s">
        <v>17</v>
      </c>
      <c r="W36" s="3"/>
      <c r="X36" s="3"/>
      <c r="Y36" s="3"/>
      <c r="Z36" s="3"/>
      <c r="AA36" s="3"/>
      <c r="AB36" s="3"/>
      <c r="AC36" s="3" t="s">
        <v>402</v>
      </c>
    </row>
    <row r="37" spans="1:29" ht="57.6" x14ac:dyDescent="0.3">
      <c r="A37" s="3" t="str">
        <f t="shared" si="0"/>
        <v>AB_ITNIC_REQ_EMPSHARESCHEME_024</v>
      </c>
      <c r="B37" s="3" t="s">
        <v>21</v>
      </c>
      <c r="C37" t="s">
        <v>22</v>
      </c>
      <c r="D37" s="3" t="s">
        <v>352</v>
      </c>
      <c r="E37" s="3" t="s">
        <v>25</v>
      </c>
      <c r="F37" s="3">
        <v>3</v>
      </c>
      <c r="G37" s="3">
        <v>0</v>
      </c>
      <c r="H37" s="3" t="s">
        <v>17</v>
      </c>
      <c r="I37" s="3" t="s">
        <v>403</v>
      </c>
      <c r="J37" s="3" t="s">
        <v>318</v>
      </c>
      <c r="K37" s="3">
        <v>1</v>
      </c>
      <c r="L37" s="3" t="s">
        <v>427</v>
      </c>
      <c r="M37" s="3" t="str">
        <f>IF(B37="","","AB"&amp;"_"&amp;IFERROR(VLOOKUP(B37,LOOKUPS!$K$2:$L$9,2,FALSE),"UNK")&amp;"_"&amp;IFERROR(VLOOKUP(C37,LOOKUPS!$N$2:$O$10,2,FALSE),"UNK")&amp;"_"&amp;UPPER(L37))</f>
        <v>AB_ITNIC_REQ_EMPSHARESCHEME</v>
      </c>
      <c r="N37" s="3">
        <f>IF(M37="","",COUNTIF($M$2:M37,M37))</f>
        <v>24</v>
      </c>
      <c r="O37" s="3" t="s">
        <v>753</v>
      </c>
      <c r="P37" s="3">
        <v>2</v>
      </c>
      <c r="Q37" s="3" t="s">
        <v>404</v>
      </c>
      <c r="R37" s="3" t="s">
        <v>405</v>
      </c>
      <c r="S37" s="3" t="s">
        <v>225</v>
      </c>
      <c r="T37" t="s">
        <v>17</v>
      </c>
      <c r="U37" s="3" t="s">
        <v>131</v>
      </c>
      <c r="V37" t="s">
        <v>17</v>
      </c>
      <c r="W37" s="3"/>
      <c r="X37" s="3"/>
      <c r="Y37" s="3"/>
      <c r="Z37" s="3"/>
      <c r="AA37" s="3"/>
      <c r="AB37" s="3"/>
      <c r="AC37" s="3" t="s">
        <v>764</v>
      </c>
    </row>
    <row r="38" spans="1:29" ht="43.2" x14ac:dyDescent="0.3">
      <c r="A38" s="3" t="str">
        <f t="shared" si="0"/>
        <v>AB_ITNIC_REQ_EMPSHARESCHEME_025</v>
      </c>
      <c r="B38" s="3" t="s">
        <v>21</v>
      </c>
      <c r="C38" t="s">
        <v>22</v>
      </c>
      <c r="D38" s="3" t="s">
        <v>352</v>
      </c>
      <c r="E38" s="3" t="s">
        <v>25</v>
      </c>
      <c r="F38" s="3">
        <v>3</v>
      </c>
      <c r="G38" s="3">
        <v>0</v>
      </c>
      <c r="H38" s="3" t="s">
        <v>17</v>
      </c>
      <c r="I38" s="3" t="s">
        <v>406</v>
      </c>
      <c r="J38" s="3" t="s">
        <v>318</v>
      </c>
      <c r="K38" s="3">
        <v>1</v>
      </c>
      <c r="L38" s="3" t="s">
        <v>427</v>
      </c>
      <c r="M38" s="3" t="str">
        <f>IF(B38="","","AB"&amp;"_"&amp;IFERROR(VLOOKUP(B38,LOOKUPS!$K$2:$L$9,2,FALSE),"UNK")&amp;"_"&amp;IFERROR(VLOOKUP(C38,LOOKUPS!$N$2:$O$10,2,FALSE),"UNK")&amp;"_"&amp;UPPER(L38))</f>
        <v>AB_ITNIC_REQ_EMPSHARESCHEME</v>
      </c>
      <c r="N38" s="3">
        <f>IF(M38="","",COUNTIF($M$2:M38,M38))</f>
        <v>25</v>
      </c>
      <c r="O38" s="3" t="s">
        <v>754</v>
      </c>
      <c r="P38" s="3">
        <v>2</v>
      </c>
      <c r="Q38" s="3" t="s">
        <v>407</v>
      </c>
      <c r="R38" s="3" t="s">
        <v>408</v>
      </c>
      <c r="S38" s="3" t="s">
        <v>131</v>
      </c>
      <c r="T38" t="s">
        <v>17</v>
      </c>
      <c r="U38" s="3" t="s">
        <v>225</v>
      </c>
      <c r="V38" t="s">
        <v>17</v>
      </c>
      <c r="W38" s="3"/>
      <c r="X38" s="3"/>
      <c r="Y38" s="3"/>
      <c r="Z38" s="3"/>
      <c r="AA38" s="3"/>
      <c r="AB38" s="3"/>
      <c r="AC38" s="3" t="s">
        <v>765</v>
      </c>
    </row>
    <row r="39" spans="1:29" ht="57.6" x14ac:dyDescent="0.3">
      <c r="A39" s="3" t="str">
        <f t="shared" si="0"/>
        <v>AB_ITNIC_REQ_EMPSHARESCHEME_026</v>
      </c>
      <c r="B39" s="3" t="s">
        <v>21</v>
      </c>
      <c r="C39" t="s">
        <v>22</v>
      </c>
      <c r="D39" s="3" t="s">
        <v>352</v>
      </c>
      <c r="E39" s="3" t="s">
        <v>25</v>
      </c>
      <c r="F39" s="3">
        <v>3</v>
      </c>
      <c r="G39" s="3">
        <v>0</v>
      </c>
      <c r="H39" s="3" t="s">
        <v>17</v>
      </c>
      <c r="I39" s="3" t="s">
        <v>409</v>
      </c>
      <c r="J39" s="3" t="s">
        <v>318</v>
      </c>
      <c r="K39" s="3">
        <v>1</v>
      </c>
      <c r="L39" s="3" t="s">
        <v>427</v>
      </c>
      <c r="M39" s="3" t="str">
        <f>IF(B39="","","AB"&amp;"_"&amp;IFERROR(VLOOKUP(B39,LOOKUPS!$K$2:$L$9,2,FALSE),"UNK")&amp;"_"&amp;IFERROR(VLOOKUP(C39,LOOKUPS!$N$2:$O$10,2,FALSE),"UNK")&amp;"_"&amp;UPPER(L39))</f>
        <v>AB_ITNIC_REQ_EMPSHARESCHEME</v>
      </c>
      <c r="N39" s="3">
        <f>IF(M39="","",COUNTIF($M$2:M39,M39))</f>
        <v>26</v>
      </c>
      <c r="O39" s="3" t="s">
        <v>755</v>
      </c>
      <c r="P39" s="3">
        <v>2</v>
      </c>
      <c r="Q39" s="3" t="s">
        <v>410</v>
      </c>
      <c r="R39" s="3" t="s">
        <v>411</v>
      </c>
      <c r="S39" s="3" t="s">
        <v>225</v>
      </c>
      <c r="T39" t="s">
        <v>17</v>
      </c>
      <c r="U39" s="3" t="s">
        <v>131</v>
      </c>
      <c r="V39" t="s">
        <v>17</v>
      </c>
      <c r="W39" s="3"/>
      <c r="X39" s="3"/>
      <c r="Y39" s="3"/>
      <c r="Z39" s="3"/>
      <c r="AA39" s="3"/>
      <c r="AB39" s="3"/>
      <c r="AC39" s="3" t="s">
        <v>766</v>
      </c>
    </row>
    <row r="40" spans="1:29" ht="43.2" x14ac:dyDescent="0.3">
      <c r="A40" s="3" t="str">
        <f t="shared" si="0"/>
        <v>AB_ITNIC_REQ_EMPSHARESCHEME_027</v>
      </c>
      <c r="B40" s="3" t="s">
        <v>21</v>
      </c>
      <c r="C40" t="s">
        <v>22</v>
      </c>
      <c r="D40" s="3" t="s">
        <v>352</v>
      </c>
      <c r="E40" s="3" t="s">
        <v>25</v>
      </c>
      <c r="F40" s="3">
        <v>3</v>
      </c>
      <c r="G40" s="3">
        <v>0</v>
      </c>
      <c r="H40" s="3" t="s">
        <v>17</v>
      </c>
      <c r="I40" s="3" t="s">
        <v>412</v>
      </c>
      <c r="J40" s="3" t="s">
        <v>318</v>
      </c>
      <c r="K40" s="3">
        <v>1</v>
      </c>
      <c r="L40" s="3" t="s">
        <v>427</v>
      </c>
      <c r="M40" s="3" t="str">
        <f>IF(B40="","","AB"&amp;"_"&amp;IFERROR(VLOOKUP(B40,LOOKUPS!$K$2:$L$9,2,FALSE),"UNK")&amp;"_"&amp;IFERROR(VLOOKUP(C40,LOOKUPS!$N$2:$O$10,2,FALSE),"UNK")&amp;"_"&amp;UPPER(L40))</f>
        <v>AB_ITNIC_REQ_EMPSHARESCHEME</v>
      </c>
      <c r="N40" s="3">
        <f>IF(M40="","",COUNTIF($M$2:M40,M40))</f>
        <v>27</v>
      </c>
      <c r="O40" s="3" t="s">
        <v>756</v>
      </c>
      <c r="P40" s="3">
        <v>2</v>
      </c>
      <c r="Q40" s="3">
        <v>3600</v>
      </c>
      <c r="R40" s="3" t="s">
        <v>413</v>
      </c>
      <c r="S40" s="3" t="s">
        <v>131</v>
      </c>
      <c r="T40" t="s">
        <v>17</v>
      </c>
      <c r="U40" s="3" t="s">
        <v>225</v>
      </c>
      <c r="V40" t="s">
        <v>17</v>
      </c>
      <c r="W40" s="3"/>
      <c r="X40" s="3"/>
      <c r="Y40" s="3"/>
      <c r="Z40" s="3"/>
      <c r="AA40" s="3"/>
      <c r="AB40" s="3"/>
      <c r="AC40" s="3" t="s">
        <v>767</v>
      </c>
    </row>
    <row r="41" spans="1:29" ht="43.2" x14ac:dyDescent="0.3">
      <c r="A41" s="3" t="str">
        <f t="shared" si="0"/>
        <v>AB_ITNIC_REQ_EMPSHARESCHEME_028</v>
      </c>
      <c r="B41" s="3" t="s">
        <v>21</v>
      </c>
      <c r="C41" t="s">
        <v>22</v>
      </c>
      <c r="D41" s="3" t="s">
        <v>352</v>
      </c>
      <c r="E41" s="3" t="s">
        <v>25</v>
      </c>
      <c r="F41" s="3">
        <v>3</v>
      </c>
      <c r="G41" s="3">
        <v>0</v>
      </c>
      <c r="H41" s="3" t="s">
        <v>17</v>
      </c>
      <c r="I41" s="3" t="s">
        <v>414</v>
      </c>
      <c r="J41" s="3" t="s">
        <v>318</v>
      </c>
      <c r="K41" s="3">
        <v>1</v>
      </c>
      <c r="L41" s="3" t="s">
        <v>427</v>
      </c>
      <c r="M41" s="3" t="str">
        <f>IF(B41="","","AB"&amp;"_"&amp;IFERROR(VLOOKUP(B41,LOOKUPS!$K$2:$L$9,2,FALSE),"UNK")&amp;"_"&amp;IFERROR(VLOOKUP(C41,LOOKUPS!$N$2:$O$10,2,FALSE),"UNK")&amp;"_"&amp;UPPER(L41))</f>
        <v>AB_ITNIC_REQ_EMPSHARESCHEME</v>
      </c>
      <c r="N41" s="3">
        <f>IF(M41="","",COUNTIF($M$2:M41,M41))</f>
        <v>28</v>
      </c>
      <c r="O41" s="3" t="s">
        <v>757</v>
      </c>
      <c r="P41" s="3">
        <v>2</v>
      </c>
      <c r="Q41" s="3">
        <v>0.1</v>
      </c>
      <c r="R41" s="3">
        <v>1800</v>
      </c>
      <c r="S41" s="3" t="s">
        <v>225</v>
      </c>
      <c r="T41" t="s">
        <v>17</v>
      </c>
      <c r="U41" s="3" t="s">
        <v>131</v>
      </c>
      <c r="V41" t="s">
        <v>17</v>
      </c>
      <c r="W41" s="3"/>
      <c r="X41" s="3"/>
      <c r="Y41" s="3"/>
      <c r="Z41" s="3"/>
      <c r="AA41" s="3"/>
      <c r="AB41" s="3"/>
      <c r="AC41" s="3" t="s">
        <v>415</v>
      </c>
    </row>
    <row r="42" spans="1:29" ht="28.8" x14ac:dyDescent="0.3">
      <c r="A42" s="3" t="str">
        <f t="shared" si="0"/>
        <v>AB_ITNIC_REQ_EMPSHARESCHEME_029</v>
      </c>
      <c r="B42" s="3" t="s">
        <v>21</v>
      </c>
      <c r="C42" t="s">
        <v>22</v>
      </c>
      <c r="D42" s="3" t="s">
        <v>352</v>
      </c>
      <c r="E42" s="3" t="s">
        <v>25</v>
      </c>
      <c r="F42" s="3">
        <v>3</v>
      </c>
      <c r="G42" s="3">
        <v>0</v>
      </c>
      <c r="H42" s="3" t="s">
        <v>17</v>
      </c>
      <c r="I42" s="3" t="s">
        <v>416</v>
      </c>
      <c r="J42" s="3" t="s">
        <v>318</v>
      </c>
      <c r="K42" s="3">
        <v>1</v>
      </c>
      <c r="L42" s="3" t="s">
        <v>427</v>
      </c>
      <c r="M42" s="3" t="str">
        <f>IF(B42="","","AB"&amp;"_"&amp;IFERROR(VLOOKUP(B42,LOOKUPS!$K$2:$L$9,2,FALSE),"UNK")&amp;"_"&amp;IFERROR(VLOOKUP(C42,LOOKUPS!$N$2:$O$10,2,FALSE),"UNK")&amp;"_"&amp;UPPER(L42))</f>
        <v>AB_ITNIC_REQ_EMPSHARESCHEME</v>
      </c>
      <c r="N42" s="3">
        <f>IF(M42="","",COUNTIF($M$2:M42,M42))</f>
        <v>29</v>
      </c>
      <c r="O42" s="3" t="s">
        <v>758</v>
      </c>
      <c r="P42" s="3">
        <v>2</v>
      </c>
      <c r="Q42" s="3">
        <v>2</v>
      </c>
      <c r="R42" s="3">
        <v>1</v>
      </c>
      <c r="S42" s="3" t="s">
        <v>131</v>
      </c>
      <c r="T42" t="s">
        <v>17</v>
      </c>
      <c r="U42" s="3" t="s">
        <v>225</v>
      </c>
      <c r="V42" t="s">
        <v>17</v>
      </c>
      <c r="W42" s="3"/>
      <c r="X42" s="3"/>
      <c r="Y42" s="3"/>
      <c r="Z42" s="3"/>
      <c r="AA42" s="3"/>
      <c r="AB42" s="3"/>
      <c r="AC42" s="3" t="s">
        <v>768</v>
      </c>
    </row>
    <row r="43" spans="1:29" ht="28.8" x14ac:dyDescent="0.3">
      <c r="A43" s="3" t="str">
        <f t="shared" si="0"/>
        <v>AB_ITNIC_REQ_EMPSHARESCHEME_030</v>
      </c>
      <c r="B43" s="3" t="s">
        <v>21</v>
      </c>
      <c r="C43" t="s">
        <v>22</v>
      </c>
      <c r="D43" s="3" t="s">
        <v>352</v>
      </c>
      <c r="E43" s="3" t="s">
        <v>25</v>
      </c>
      <c r="F43" s="3">
        <v>3</v>
      </c>
      <c r="G43" s="3">
        <v>0</v>
      </c>
      <c r="H43" s="3" t="s">
        <v>17</v>
      </c>
      <c r="I43" s="3" t="s">
        <v>417</v>
      </c>
      <c r="J43" s="3" t="s">
        <v>318</v>
      </c>
      <c r="K43" s="3">
        <v>1</v>
      </c>
      <c r="L43" s="3" t="s">
        <v>427</v>
      </c>
      <c r="M43" s="3" t="str">
        <f>IF(B43="","","AB"&amp;"_"&amp;IFERROR(VLOOKUP(B43,LOOKUPS!$K$2:$L$9,2,FALSE),"UNK")&amp;"_"&amp;IFERROR(VLOOKUP(C43,LOOKUPS!$N$2:$O$10,2,FALSE),"UNK")&amp;"_"&amp;UPPER(L43))</f>
        <v>AB_ITNIC_REQ_EMPSHARESCHEME</v>
      </c>
      <c r="N43" s="3">
        <f>IF(M43="","",COUNTIF($M$2:M43,M43))</f>
        <v>30</v>
      </c>
      <c r="O43" s="3" t="s">
        <v>759</v>
      </c>
      <c r="P43" s="3">
        <v>2</v>
      </c>
      <c r="Q43" s="3" t="s">
        <v>359</v>
      </c>
      <c r="R43" s="3" t="s">
        <v>418</v>
      </c>
      <c r="S43" s="3" t="s">
        <v>225</v>
      </c>
      <c r="T43" t="s">
        <v>17</v>
      </c>
      <c r="U43" s="3" t="s">
        <v>131</v>
      </c>
      <c r="V43" t="s">
        <v>17</v>
      </c>
      <c r="W43" s="3"/>
      <c r="X43" s="3"/>
      <c r="Y43" s="3"/>
      <c r="Z43" s="3"/>
      <c r="AA43" s="3"/>
      <c r="AB43" s="3"/>
      <c r="AC43" s="3" t="s">
        <v>769</v>
      </c>
    </row>
    <row r="44" spans="1:29" ht="43.2" x14ac:dyDescent="0.3">
      <c r="A44" s="3" t="str">
        <f t="shared" si="0"/>
        <v>AB_ITNIC_REQ_EMPSHARESCHEME_031</v>
      </c>
      <c r="B44" s="3" t="s">
        <v>21</v>
      </c>
      <c r="C44" t="s">
        <v>22</v>
      </c>
      <c r="D44" s="3" t="s">
        <v>352</v>
      </c>
      <c r="E44" s="3" t="s">
        <v>25</v>
      </c>
      <c r="F44" s="3">
        <v>3</v>
      </c>
      <c r="G44" s="3">
        <v>0</v>
      </c>
      <c r="H44" s="3" t="s">
        <v>17</v>
      </c>
      <c r="I44" s="3" t="s">
        <v>419</v>
      </c>
      <c r="J44" s="3" t="s">
        <v>318</v>
      </c>
      <c r="K44" s="3">
        <v>1</v>
      </c>
      <c r="L44" s="3" t="s">
        <v>427</v>
      </c>
      <c r="M44" s="3" t="str">
        <f>IF(B44="","","AB"&amp;"_"&amp;IFERROR(VLOOKUP(B44,LOOKUPS!$K$2:$L$9,2,FALSE),"UNK")&amp;"_"&amp;IFERROR(VLOOKUP(C44,LOOKUPS!$N$2:$O$10,2,FALSE),"UNK")&amp;"_"&amp;UPPER(L44))</f>
        <v>AB_ITNIC_REQ_EMPSHARESCHEME</v>
      </c>
      <c r="N44" s="3">
        <f>IF(M44="","",COUNTIF($M$2:M44,M44))</f>
        <v>31</v>
      </c>
      <c r="O44" s="3" t="s">
        <v>760</v>
      </c>
      <c r="P44" s="3">
        <v>2</v>
      </c>
      <c r="Q44" s="3">
        <v>5</v>
      </c>
      <c r="R44" s="3" t="s">
        <v>401</v>
      </c>
      <c r="S44" s="3" t="s">
        <v>131</v>
      </c>
      <c r="T44" t="s">
        <v>17</v>
      </c>
      <c r="U44" s="3" t="s">
        <v>225</v>
      </c>
      <c r="V44" t="s">
        <v>17</v>
      </c>
      <c r="W44" s="3"/>
      <c r="X44" s="3"/>
      <c r="Y44" s="3"/>
      <c r="Z44" s="3"/>
      <c r="AA44" s="3"/>
      <c r="AB44" s="3"/>
      <c r="AC44" s="3" t="s">
        <v>770</v>
      </c>
    </row>
    <row r="45" spans="1:29" ht="28.8" x14ac:dyDescent="0.3">
      <c r="A45" s="3" t="str">
        <f t="shared" si="0"/>
        <v>AB_ITNIC_REQ_EMPSHARESCHEME_032</v>
      </c>
      <c r="B45" s="3" t="s">
        <v>21</v>
      </c>
      <c r="C45" t="s">
        <v>22</v>
      </c>
      <c r="D45" s="3" t="s">
        <v>352</v>
      </c>
      <c r="E45" s="3" t="s">
        <v>25</v>
      </c>
      <c r="F45" s="3">
        <v>3</v>
      </c>
      <c r="G45" s="3">
        <v>0</v>
      </c>
      <c r="H45" s="3" t="s">
        <v>17</v>
      </c>
      <c r="I45" s="3" t="s">
        <v>420</v>
      </c>
      <c r="J45" s="3" t="s">
        <v>318</v>
      </c>
      <c r="K45" s="3">
        <v>1</v>
      </c>
      <c r="L45" s="3" t="s">
        <v>427</v>
      </c>
      <c r="M45" s="3" t="str">
        <f>IF(B45="","","AB"&amp;"_"&amp;IFERROR(VLOOKUP(B45,LOOKUPS!$K$2:$L$9,2,FALSE),"UNK")&amp;"_"&amp;IFERROR(VLOOKUP(C45,LOOKUPS!$N$2:$O$10,2,FALSE),"UNK")&amp;"_"&amp;UPPER(L45))</f>
        <v>AB_ITNIC_REQ_EMPSHARESCHEME</v>
      </c>
      <c r="N45" s="3">
        <f>IF(M45="","",COUNTIF($M$2:M45,M45))</f>
        <v>32</v>
      </c>
      <c r="O45" s="3" t="s">
        <v>761</v>
      </c>
      <c r="P45" s="3">
        <v>2</v>
      </c>
      <c r="Q45" s="3" t="s">
        <v>421</v>
      </c>
      <c r="R45" s="3">
        <v>3</v>
      </c>
      <c r="S45" s="3" t="s">
        <v>225</v>
      </c>
      <c r="T45" t="s">
        <v>17</v>
      </c>
      <c r="U45" s="3" t="s">
        <v>131</v>
      </c>
      <c r="V45" t="s">
        <v>17</v>
      </c>
      <c r="W45" s="3"/>
      <c r="X45" s="3"/>
      <c r="Y45" s="3"/>
      <c r="Z45" s="3"/>
      <c r="AA45" s="3"/>
      <c r="AB45" s="3"/>
      <c r="AC45" s="3" t="s">
        <v>771</v>
      </c>
    </row>
    <row r="46" spans="1:29" ht="43.2" x14ac:dyDescent="0.3">
      <c r="A46" s="3" t="str">
        <f t="shared" si="0"/>
        <v>AB_ITNIC_REQ_EMPSHARESCHEME_033</v>
      </c>
      <c r="B46" s="3" t="s">
        <v>21</v>
      </c>
      <c r="C46" t="s">
        <v>22</v>
      </c>
      <c r="D46" s="3" t="s">
        <v>352</v>
      </c>
      <c r="E46" s="3" t="s">
        <v>25</v>
      </c>
      <c r="F46" s="3">
        <v>3</v>
      </c>
      <c r="G46" s="3">
        <v>0</v>
      </c>
      <c r="H46" s="3" t="s">
        <v>17</v>
      </c>
      <c r="I46" s="3" t="s">
        <v>422</v>
      </c>
      <c r="J46" s="3" t="s">
        <v>318</v>
      </c>
      <c r="K46" s="3">
        <v>1</v>
      </c>
      <c r="L46" s="3" t="s">
        <v>427</v>
      </c>
      <c r="M46" s="3" t="str">
        <f>IF(B46="","","AB"&amp;"_"&amp;IFERROR(VLOOKUP(B46,LOOKUPS!$K$2:$L$9,2,FALSE),"UNK")&amp;"_"&amp;IFERROR(VLOOKUP(C46,LOOKUPS!$N$2:$O$10,2,FALSE),"UNK")&amp;"_"&amp;UPPER(L46))</f>
        <v>AB_ITNIC_REQ_EMPSHARESCHEME</v>
      </c>
      <c r="N46" s="3">
        <f>IF(M46="","",COUNTIF($M$2:M46,M46))</f>
        <v>33</v>
      </c>
      <c r="O46" s="3" t="s">
        <v>762</v>
      </c>
      <c r="P46" s="3">
        <v>2</v>
      </c>
      <c r="Q46" s="3" t="s">
        <v>423</v>
      </c>
      <c r="R46" s="3" t="s">
        <v>421</v>
      </c>
      <c r="S46" s="3" t="s">
        <v>131</v>
      </c>
      <c r="T46" t="s">
        <v>17</v>
      </c>
      <c r="U46" s="3" t="s">
        <v>225</v>
      </c>
      <c r="V46" t="s">
        <v>17</v>
      </c>
      <c r="W46" s="3"/>
      <c r="X46" s="3"/>
      <c r="Y46" s="3"/>
      <c r="Z46" s="3"/>
      <c r="AA46" s="3"/>
      <c r="AB46" s="3"/>
      <c r="AC46" s="3" t="s">
        <v>424</v>
      </c>
    </row>
    <row r="47" spans="1:29" ht="100.8" x14ac:dyDescent="0.3">
      <c r="A47" s="3" t="str">
        <f t="shared" si="0"/>
        <v>AB_ITNIC_REQ_EMPSHARESCHEME_034</v>
      </c>
      <c r="B47" s="3" t="s">
        <v>21</v>
      </c>
      <c r="C47" t="s">
        <v>22</v>
      </c>
      <c r="D47" s="3" t="s">
        <v>352</v>
      </c>
      <c r="E47" s="3" t="s">
        <v>25</v>
      </c>
      <c r="F47" s="3">
        <v>3</v>
      </c>
      <c r="G47" s="3">
        <v>0</v>
      </c>
      <c r="H47" s="3" t="s">
        <v>17</v>
      </c>
      <c r="I47" s="3" t="s">
        <v>425</v>
      </c>
      <c r="J47" s="3" t="s">
        <v>318</v>
      </c>
      <c r="K47" s="3">
        <v>1</v>
      </c>
      <c r="L47" s="3" t="s">
        <v>427</v>
      </c>
      <c r="M47" s="3" t="str">
        <f>IF(B47="","","AB"&amp;"_"&amp;IFERROR(VLOOKUP(B47,LOOKUPS!$K$2:$L$9,2,FALSE),"UNK")&amp;"_"&amp;IFERROR(VLOOKUP(C47,LOOKUPS!$N$2:$O$10,2,FALSE),"UNK")&amp;"_"&amp;UPPER(L47))</f>
        <v>AB_ITNIC_REQ_EMPSHARESCHEME</v>
      </c>
      <c r="N47" s="3">
        <f>IF(M47="","",COUNTIF($M$2:M47,M47))</f>
        <v>34</v>
      </c>
      <c r="O47" s="3" t="s">
        <v>763</v>
      </c>
      <c r="P47" s="3">
        <v>2</v>
      </c>
      <c r="Q47" s="3" t="s">
        <v>357</v>
      </c>
      <c r="R47" s="3" t="s">
        <v>356</v>
      </c>
      <c r="S47" s="3" t="s">
        <v>225</v>
      </c>
      <c r="T47" t="s">
        <v>17</v>
      </c>
      <c r="U47" s="3" t="s">
        <v>131</v>
      </c>
      <c r="V47" t="s">
        <v>17</v>
      </c>
      <c r="W47" s="3"/>
      <c r="X47" s="3"/>
      <c r="Y47" s="3"/>
      <c r="Z47" s="3"/>
      <c r="AA47" s="3"/>
      <c r="AB47" s="3"/>
      <c r="AC47" s="3" t="s">
        <v>426</v>
      </c>
    </row>
    <row r="48" spans="1:29" ht="28.8" x14ac:dyDescent="0.3">
      <c r="A48" s="3" t="str">
        <f t="shared" si="0"/>
        <v>AB_ITNIC_CALC_DISALLOW_001</v>
      </c>
      <c r="B48" t="s">
        <v>21</v>
      </c>
      <c r="C48" t="s">
        <v>40</v>
      </c>
      <c r="D48" t="s">
        <v>868</v>
      </c>
      <c r="E48" t="s">
        <v>25</v>
      </c>
      <c r="F48">
        <v>3</v>
      </c>
      <c r="G48" t="s">
        <v>16</v>
      </c>
      <c r="H48" t="s">
        <v>17</v>
      </c>
      <c r="I48" t="s">
        <v>885</v>
      </c>
      <c r="J48" t="s">
        <v>870</v>
      </c>
      <c r="K48">
        <v>1</v>
      </c>
      <c r="L48" t="s">
        <v>871</v>
      </c>
      <c r="M48" s="3" t="str">
        <f>IF(B48="","","AB"&amp;"_"&amp;IFERROR(VLOOKUP(B48,LOOKUPS!$K$2:$L$9,2,FALSE),"UNK")&amp;"_"&amp;IFERROR(VLOOKUP(C48,LOOKUPS!$N$2:$O$10,2,FALSE),"UNK")&amp;"_"&amp;UPPER(L48))</f>
        <v>AB_ITNIC_CALC_DISALLOW</v>
      </c>
      <c r="N48" s="3">
        <f>IF(M48="","",COUNTIF($M$2:M48,M48))</f>
        <v>1</v>
      </c>
      <c r="O48" t="s">
        <v>942</v>
      </c>
      <c r="P48">
        <v>1</v>
      </c>
      <c r="Q48" s="4" t="s">
        <v>943</v>
      </c>
      <c r="R48" s="4" t="s">
        <v>944</v>
      </c>
      <c r="S48" t="s">
        <v>225</v>
      </c>
      <c r="T48" t="s">
        <v>17</v>
      </c>
      <c r="U48" s="5"/>
      <c r="X48" s="4"/>
      <c r="AA48" s="3"/>
      <c r="AC48" s="5" t="s">
        <v>945</v>
      </c>
    </row>
    <row r="49" spans="1:29" ht="28.8" x14ac:dyDescent="0.3">
      <c r="A49" s="3" t="str">
        <f t="shared" si="0"/>
        <v>AB_ITNIC_CALC_DISALLOW_002</v>
      </c>
      <c r="B49" t="s">
        <v>21</v>
      </c>
      <c r="C49" t="s">
        <v>40</v>
      </c>
      <c r="D49" t="s">
        <v>868</v>
      </c>
      <c r="E49" t="s">
        <v>25</v>
      </c>
      <c r="F49">
        <v>3</v>
      </c>
      <c r="G49" t="s">
        <v>16</v>
      </c>
      <c r="H49" t="s">
        <v>17</v>
      </c>
      <c r="I49" t="s">
        <v>946</v>
      </c>
      <c r="J49" t="s">
        <v>870</v>
      </c>
      <c r="K49">
        <v>1</v>
      </c>
      <c r="L49" t="s">
        <v>871</v>
      </c>
      <c r="M49" s="3" t="str">
        <f>IF(B49="","","AB"&amp;"_"&amp;IFERROR(VLOOKUP(B49,LOOKUPS!$K$2:$L$9,2,FALSE),"UNK")&amp;"_"&amp;IFERROR(VLOOKUP(C49,LOOKUPS!$N$2:$O$10,2,FALSE),"UNK")&amp;"_"&amp;UPPER(L49))</f>
        <v>AB_ITNIC_CALC_DISALLOW</v>
      </c>
      <c r="N49" s="3">
        <f>IF(M49="","",COUNTIF($M$2:M49,M49))</f>
        <v>2</v>
      </c>
      <c r="O49" t="s">
        <v>947</v>
      </c>
      <c r="P49">
        <v>1</v>
      </c>
      <c r="Q49" s="5" t="s">
        <v>944</v>
      </c>
      <c r="R49" t="s">
        <v>943</v>
      </c>
      <c r="S49" t="s">
        <v>131</v>
      </c>
      <c r="T49" t="s">
        <v>17</v>
      </c>
      <c r="AA49" s="3"/>
      <c r="AC49" t="s">
        <v>948</v>
      </c>
    </row>
    <row r="50" spans="1:29" ht="28.8" x14ac:dyDescent="0.3">
      <c r="A50" s="3" t="str">
        <f t="shared" si="0"/>
        <v>AB_ITNIC_CALC_DISALLOW_003</v>
      </c>
      <c r="B50" t="s">
        <v>21</v>
      </c>
      <c r="C50" t="s">
        <v>40</v>
      </c>
      <c r="D50" t="s">
        <v>868</v>
      </c>
      <c r="E50" t="s">
        <v>25</v>
      </c>
      <c r="F50">
        <v>3</v>
      </c>
      <c r="G50" t="s">
        <v>16</v>
      </c>
      <c r="H50" t="s">
        <v>17</v>
      </c>
      <c r="I50" t="s">
        <v>949</v>
      </c>
      <c r="J50" t="s">
        <v>870</v>
      </c>
      <c r="K50">
        <v>1</v>
      </c>
      <c r="L50" t="s">
        <v>871</v>
      </c>
      <c r="M50" s="3" t="str">
        <f>IF(B50="","","AB"&amp;"_"&amp;IFERROR(VLOOKUP(B50,LOOKUPS!$K$2:$L$9,2,FALSE),"UNK")&amp;"_"&amp;IFERROR(VLOOKUP(C50,LOOKUPS!$N$2:$O$10,2,FALSE),"UNK")&amp;"_"&amp;UPPER(L50))</f>
        <v>AB_ITNIC_CALC_DISALLOW</v>
      </c>
      <c r="N50" s="3">
        <f>IF(M50="","",COUNTIF($M$2:M50,M50))</f>
        <v>3</v>
      </c>
      <c r="O50" t="s">
        <v>957</v>
      </c>
      <c r="P50">
        <v>1</v>
      </c>
      <c r="Q50" s="5" t="s">
        <v>943</v>
      </c>
      <c r="R50" t="s">
        <v>944</v>
      </c>
      <c r="S50" t="s">
        <v>225</v>
      </c>
      <c r="T50" t="s">
        <v>17</v>
      </c>
      <c r="AA50" s="3"/>
      <c r="AC50" t="s">
        <v>950</v>
      </c>
    </row>
    <row r="51" spans="1:29" ht="28.8" x14ac:dyDescent="0.3">
      <c r="A51" s="3" t="str">
        <f t="shared" si="0"/>
        <v>AB_ITNIC_CALC_DISALLOW_004</v>
      </c>
      <c r="B51" t="s">
        <v>21</v>
      </c>
      <c r="C51" t="s">
        <v>40</v>
      </c>
      <c r="D51" t="s">
        <v>868</v>
      </c>
      <c r="E51" t="s">
        <v>25</v>
      </c>
      <c r="F51">
        <v>3</v>
      </c>
      <c r="G51" t="s">
        <v>16</v>
      </c>
      <c r="H51" t="s">
        <v>17</v>
      </c>
      <c r="I51" t="s">
        <v>951</v>
      </c>
      <c r="J51" t="s">
        <v>870</v>
      </c>
      <c r="K51">
        <v>1</v>
      </c>
      <c r="L51" t="s">
        <v>871</v>
      </c>
      <c r="M51" s="3" t="str">
        <f>IF(B51="","","AB"&amp;"_"&amp;IFERROR(VLOOKUP(B51,LOOKUPS!$K$2:$L$9,2,FALSE),"UNK")&amp;"_"&amp;IFERROR(VLOOKUP(C51,LOOKUPS!$N$2:$O$10,2,FALSE),"UNK")&amp;"_"&amp;UPPER(L51))</f>
        <v>AB_ITNIC_CALC_DISALLOW</v>
      </c>
      <c r="N51" s="3">
        <f>IF(M51="","",COUNTIF($M$2:M51,M51))</f>
        <v>4</v>
      </c>
      <c r="O51" t="s">
        <v>952</v>
      </c>
      <c r="P51">
        <v>1</v>
      </c>
      <c r="Q51" s="5" t="s">
        <v>944</v>
      </c>
      <c r="R51" t="s">
        <v>943</v>
      </c>
      <c r="S51" t="s">
        <v>131</v>
      </c>
      <c r="T51" t="s">
        <v>17</v>
      </c>
      <c r="AA51" s="3"/>
      <c r="AC51" t="s">
        <v>953</v>
      </c>
    </row>
    <row r="52" spans="1:29" x14ac:dyDescent="0.3">
      <c r="A52" s="3" t="str">
        <f t="shared" si="0"/>
        <v/>
      </c>
      <c r="B52" s="3"/>
      <c r="D52" s="3"/>
      <c r="E52" s="3"/>
      <c r="F52" s="3"/>
      <c r="G52" s="3"/>
      <c r="H52" s="3"/>
      <c r="I52" s="3"/>
      <c r="J52" s="3"/>
      <c r="K52" s="3"/>
      <c r="L52" s="3"/>
      <c r="M52" s="3" t="str">
        <f>IF(B52="","","AB"&amp;"_"&amp;IFERROR(VLOOKUP(B52,LOOKUPS!$K$2:$L$9,2,FALSE),"UNK")&amp;"_"&amp;IFERROR(VLOOKUP(C52,LOOKUPS!$N$2:$O$10,2,FALSE),"UNK")&amp;"_"&amp;UPPER(L52))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IF(B53="","","AB"&amp;"_"&amp;IFERROR(VLOOKUP(B53,LOOKUPS!$K$2:$L$9,2,FALSE),"UNK")&amp;"_"&amp;IFERROR(VLOOKUP(C53,LOOKUPS!$N$2:$O$10,2,FALSE),"UNK")&amp;"_"&amp;UPPER(L53))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IF(B54="","","AB"&amp;"_"&amp;IFERROR(VLOOKUP(B54,LOOKUPS!$K$2:$L$9,2,FALSE),"UNK")&amp;"_"&amp;IFERROR(VLOOKUP(C54,LOOKUPS!$N$2:$O$10,2,FALSE),"UNK")&amp;"_"&amp;UPPER(L54))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IF(B55="","","AB"&amp;"_"&amp;IFERROR(VLOOKUP(B55,LOOKUPS!$K$2:$L$9,2,FALSE),"UNK")&amp;"_"&amp;IFERROR(VLOOKUP(C55,LOOKUPS!$N$2:$O$10,2,FALSE),"UNK")&amp;"_"&amp;UPPER(L55))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IF(B56="","","AB"&amp;"_"&amp;IFERROR(VLOOKUP(B56,LOOKUPS!$K$2:$L$9,2,FALSE),"UNK")&amp;"_"&amp;IFERROR(VLOOKUP(C56,LOOKUPS!$N$2:$O$10,2,FALSE),"UNK")&amp;"_"&amp;UPPER(L56))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IF(B57="","","AB"&amp;"_"&amp;IFERROR(VLOOKUP(B57,LOOKUPS!$K$2:$L$9,2,FALSE),"UNK")&amp;"_"&amp;IFERROR(VLOOKUP(C57,LOOKUPS!$N$2:$O$10,2,FALSE),"UNK")&amp;"_"&amp;UPPER(L57))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IF(B58="","","AB"&amp;"_"&amp;IFERROR(VLOOKUP(B58,LOOKUPS!$K$2:$L$9,2,FALSE),"UNK")&amp;"_"&amp;IFERROR(VLOOKUP(C58,LOOKUPS!$N$2:$O$10,2,FALSE),"UNK")&amp;"_"&amp;UPPER(L58))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IF(B59="","","AB"&amp;"_"&amp;IFERROR(VLOOKUP(B59,LOOKUPS!$K$2:$L$9,2,FALSE),"UNK")&amp;"_"&amp;IFERROR(VLOOKUP(C59,LOOKUPS!$N$2:$O$10,2,FALSE),"UNK")&amp;"_"&amp;UPPER(L59))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IF(B60="","","AB"&amp;"_"&amp;IFERROR(VLOOKUP(B60,LOOKUPS!$K$2:$L$9,2,FALSE),"UNK")&amp;"_"&amp;IFERROR(VLOOKUP(C60,LOOKUPS!$N$2:$O$10,2,FALSE),"UNK")&amp;"_"&amp;UPPER(L60))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IF(B61="","","AB"&amp;"_"&amp;IFERROR(VLOOKUP(B61,LOOKUPS!$K$2:$L$9,2,FALSE),"UNK")&amp;"_"&amp;IFERROR(VLOOKUP(C61,LOOKUPS!$N$2:$O$10,2,FALSE),"UNK")&amp;"_"&amp;UPPER(L61))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IF(B62="","","AB"&amp;"_"&amp;IFERROR(VLOOKUP(B62,LOOKUPS!$K$2:$L$9,2,FALSE),"UNK")&amp;"_"&amp;IFERROR(VLOOKUP(C62,LOOKUPS!$N$2:$O$10,2,FALSE),"UNK")&amp;"_"&amp;UPPER(L62))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IF(B63="","","AB"&amp;"_"&amp;IFERROR(VLOOKUP(B63,LOOKUPS!$K$2:$L$9,2,FALSE),"UNK")&amp;"_"&amp;IFERROR(VLOOKUP(C63,LOOKUPS!$N$2:$O$10,2,FALSE),"UNK")&amp;"_"&amp;UPPER(L63))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IF(B64="","","AB"&amp;"_"&amp;IFERROR(VLOOKUP(B64,LOOKUPS!$K$2:$L$9,2,FALSE),"UNK")&amp;"_"&amp;IFERROR(VLOOKUP(C64,LOOKUPS!$N$2:$O$10,2,FALSE),"UNK")&amp;"_"&amp;UPPER(L64))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IF(B65="","","AB"&amp;"_"&amp;IFERROR(VLOOKUP(B65,LOOKUPS!$K$2:$L$9,2,FALSE),"UNK")&amp;"_"&amp;IFERROR(VLOOKUP(C65,LOOKUPS!$N$2:$O$10,2,FALSE),"UNK")&amp;"_"&amp;UPPER(L65))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IF(B66="","","AB"&amp;"_"&amp;IFERROR(VLOOKUP(B66,LOOKUPS!$K$2:$L$9,2,FALSE),"UNK")&amp;"_"&amp;IFERROR(VLOOKUP(C66,LOOKUPS!$N$2:$O$10,2,FALSE),"UNK")&amp;"_"&amp;UPPER(L66))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IF(B67="","","AB"&amp;"_"&amp;IFERROR(VLOOKUP(B67,LOOKUPS!$K$2:$L$9,2,FALSE),"UNK")&amp;"_"&amp;IFERROR(VLOOKUP(C67,LOOKUPS!$N$2:$O$10,2,FALSE),"UNK")&amp;"_"&amp;UPPER(L67))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IF(B68="","","AB"&amp;"_"&amp;IFERROR(VLOOKUP(B68,LOOKUPS!$K$2:$L$9,2,FALSE),"UNK")&amp;"_"&amp;IFERROR(VLOOKUP(C68,LOOKUPS!$N$2:$O$10,2,FALSE),"UNK")&amp;"_"&amp;UPPER(L68))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IF(B69="","","AB"&amp;"_"&amp;IFERROR(VLOOKUP(B69,LOOKUPS!$K$2:$L$9,2,FALSE),"UNK")&amp;"_"&amp;IFERROR(VLOOKUP(C69,LOOKUPS!$N$2:$O$10,2,FALSE),"UNK")&amp;"_"&amp;UPPER(L69))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IF(B70="","","AB"&amp;"_"&amp;IFERROR(VLOOKUP(B70,LOOKUPS!$K$2:$L$9,2,FALSE),"UNK")&amp;"_"&amp;IFERROR(VLOOKUP(C70,LOOKUPS!$N$2:$O$10,2,FALSE),"UNK")&amp;"_"&amp;UPPER(L70))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IF(B71="","","AB"&amp;"_"&amp;IFERROR(VLOOKUP(B71,LOOKUPS!$K$2:$L$9,2,FALSE),"UNK")&amp;"_"&amp;IFERROR(VLOOKUP(C71,LOOKUPS!$N$2:$O$10,2,FALSE),"UNK")&amp;"_"&amp;UPPER(L71))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IF(B72="","","AB"&amp;"_"&amp;IFERROR(VLOOKUP(B72,LOOKUPS!$K$2:$L$9,2,FALSE),"UNK")&amp;"_"&amp;IFERROR(VLOOKUP(C72,LOOKUPS!$N$2:$O$10,2,FALSE),"UNK")&amp;"_"&amp;UPPER(L72))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IF(B73="","","AB"&amp;"_"&amp;IFERROR(VLOOKUP(B73,LOOKUPS!$K$2:$L$9,2,FALSE),"UNK")&amp;"_"&amp;IFERROR(VLOOKUP(C73,LOOKUPS!$N$2:$O$10,2,FALSE),"UNK")&amp;"_"&amp;UPPER(L73))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IF(B74="","","AB"&amp;"_"&amp;IFERROR(VLOOKUP(B74,LOOKUPS!$K$2:$L$9,2,FALSE),"UNK")&amp;"_"&amp;IFERROR(VLOOKUP(C74,LOOKUPS!$N$2:$O$10,2,FALSE),"UNK")&amp;"_"&amp;UPPER(L74))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IF(B75="","","AB"&amp;"_"&amp;IFERROR(VLOOKUP(B75,LOOKUPS!$K$2:$L$9,2,FALSE),"UNK")&amp;"_"&amp;IFERROR(VLOOKUP(C75,LOOKUPS!$N$2:$O$10,2,FALSE),"UNK")&amp;"_"&amp;UPPER(L75))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IF(B76="","","AB"&amp;"_"&amp;IFERROR(VLOOKUP(B76,LOOKUPS!$K$2:$L$9,2,FALSE),"UNK")&amp;"_"&amp;IFERROR(VLOOKUP(C76,LOOKUPS!$N$2:$O$10,2,FALSE),"UNK")&amp;"_"&amp;UPPER(L76))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IF(B77="","","AB"&amp;"_"&amp;IFERROR(VLOOKUP(B77,LOOKUPS!$K$2:$L$9,2,FALSE),"UNK")&amp;"_"&amp;IFERROR(VLOOKUP(C77,LOOKUPS!$N$2:$O$10,2,FALSE),"UNK")&amp;"_"&amp;UPPER(L77))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IF(B78="","","AB"&amp;"_"&amp;IFERROR(VLOOKUP(B78,LOOKUPS!$K$2:$L$9,2,FALSE),"UNK")&amp;"_"&amp;IFERROR(VLOOKUP(C78,LOOKUPS!$N$2:$O$10,2,FALSE),"UNK")&amp;"_"&amp;UPPER(L78))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IF(B79="","","AB"&amp;"_"&amp;IFERROR(VLOOKUP(B79,LOOKUPS!$K$2:$L$9,2,FALSE),"UNK")&amp;"_"&amp;IFERROR(VLOOKUP(C79,LOOKUPS!$N$2:$O$10,2,FALSE),"UNK")&amp;"_"&amp;UPPER(L79))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IF(B80="","","AB"&amp;"_"&amp;IFERROR(VLOOKUP(B80,LOOKUPS!$K$2:$L$9,2,FALSE),"UNK")&amp;"_"&amp;IFERROR(VLOOKUP(C80,LOOKUPS!$N$2:$O$10,2,FALSE),"UNK")&amp;"_"&amp;UPPER(L80))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IF(B81="","","AB"&amp;"_"&amp;IFERROR(VLOOKUP(B81,LOOKUPS!$K$2:$L$9,2,FALSE),"UNK")&amp;"_"&amp;IFERROR(VLOOKUP(C81,LOOKUPS!$N$2:$O$10,2,FALSE),"UNK")&amp;"_"&amp;UPPER(L81))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IF(B82="","","AB"&amp;"_"&amp;IFERROR(VLOOKUP(B82,LOOKUPS!$K$2:$L$9,2,FALSE),"UNK")&amp;"_"&amp;IFERROR(VLOOKUP(C82,LOOKUPS!$N$2:$O$10,2,FALSE),"UNK")&amp;"_"&amp;UPPER(L82))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IF(B83="","","AB"&amp;"_"&amp;IFERROR(VLOOKUP(B83,LOOKUPS!$K$2:$L$9,2,FALSE),"UNK")&amp;"_"&amp;IFERROR(VLOOKUP(C83,LOOKUPS!$N$2:$O$10,2,FALSE),"UNK")&amp;"_"&amp;UPPER(L83))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IF(B84="","","AB"&amp;"_"&amp;IFERROR(VLOOKUP(B84,LOOKUPS!$K$2:$L$9,2,FALSE),"UNK")&amp;"_"&amp;IFERROR(VLOOKUP(C84,LOOKUPS!$N$2:$O$10,2,FALSE),"UNK")&amp;"_"&amp;UPPER(L84))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IF(B85="","","AB"&amp;"_"&amp;IFERROR(VLOOKUP(B85,LOOKUPS!$K$2:$L$9,2,FALSE),"UNK")&amp;"_"&amp;IFERROR(VLOOKUP(C85,LOOKUPS!$N$2:$O$10,2,FALSE),"UNK")&amp;"_"&amp;UPPER(L85))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IF(B86="","","AB"&amp;"_"&amp;IFERROR(VLOOKUP(B86,LOOKUPS!$K$2:$L$9,2,FALSE),"UNK")&amp;"_"&amp;IFERROR(VLOOKUP(C86,LOOKUPS!$N$2:$O$10,2,FALSE),"UNK")&amp;"_"&amp;UPPER(L86))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IF(B87="","","AB"&amp;"_"&amp;IFERROR(VLOOKUP(B87,LOOKUPS!$K$2:$L$9,2,FALSE),"UNK")&amp;"_"&amp;IFERROR(VLOOKUP(C87,LOOKUPS!$N$2:$O$10,2,FALSE),"UNK")&amp;"_"&amp;UPPER(L87))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IF(B88="","","AB"&amp;"_"&amp;IFERROR(VLOOKUP(B88,LOOKUPS!$K$2:$L$9,2,FALSE),"UNK")&amp;"_"&amp;IFERROR(VLOOKUP(C88,LOOKUPS!$N$2:$O$10,2,FALSE),"UNK")&amp;"_"&amp;UPPER(L88))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IF(B89="","","AB"&amp;"_"&amp;IFERROR(VLOOKUP(B89,LOOKUPS!$K$2:$L$9,2,FALSE),"UNK")&amp;"_"&amp;IFERROR(VLOOKUP(C89,LOOKUPS!$N$2:$O$10,2,FALSE),"UNK")&amp;"_"&amp;UPPER(L89))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IF(B90="","","AB"&amp;"_"&amp;IFERROR(VLOOKUP(B90,LOOKUPS!$K$2:$L$9,2,FALSE),"UNK")&amp;"_"&amp;IFERROR(VLOOKUP(C90,LOOKUPS!$N$2:$O$10,2,FALSE),"UNK")&amp;"_"&amp;UPPER(L90))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IF(B91="","","AB"&amp;"_"&amp;IFERROR(VLOOKUP(B91,LOOKUPS!$K$2:$L$9,2,FALSE),"UNK")&amp;"_"&amp;IFERROR(VLOOKUP(C91,LOOKUPS!$N$2:$O$10,2,FALSE),"UNK")&amp;"_"&amp;UPPER(L91))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IF(B92="","","AB"&amp;"_"&amp;IFERROR(VLOOKUP(B92,LOOKUPS!$K$2:$L$9,2,FALSE),"UNK")&amp;"_"&amp;IFERROR(VLOOKUP(C92,LOOKUPS!$N$2:$O$10,2,FALSE),"UNK")&amp;"_"&amp;UPPER(L92))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IF(B93="","","AB"&amp;"_"&amp;IFERROR(VLOOKUP(B93,LOOKUPS!$K$2:$L$9,2,FALSE),"UNK")&amp;"_"&amp;IFERROR(VLOOKUP(C93,LOOKUPS!$N$2:$O$10,2,FALSE),"UNK")&amp;"_"&amp;UPPER(L93))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IF(B94="","","AB"&amp;"_"&amp;IFERROR(VLOOKUP(B94,LOOKUPS!$K$2:$L$9,2,FALSE),"UNK")&amp;"_"&amp;IFERROR(VLOOKUP(C94,LOOKUPS!$N$2:$O$10,2,FALSE),"UNK")&amp;"_"&amp;UPPER(L94))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IF(B95="","","AB"&amp;"_"&amp;IFERROR(VLOOKUP(B95,LOOKUPS!$K$2:$L$9,2,FALSE),"UNK")&amp;"_"&amp;IFERROR(VLOOKUP(C95,LOOKUPS!$N$2:$O$10,2,FALSE),"UNK")&amp;"_"&amp;UPPER(L95))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IF(B96="","","AB"&amp;"_"&amp;IFERROR(VLOOKUP(B96,LOOKUPS!$K$2:$L$9,2,FALSE),"UNK")&amp;"_"&amp;IFERROR(VLOOKUP(C96,LOOKUPS!$N$2:$O$10,2,FALSE),"UNK")&amp;"_"&amp;UPPER(L96))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IF(B97="","","AB"&amp;"_"&amp;IFERROR(VLOOKUP(B97,LOOKUPS!$K$2:$L$9,2,FALSE),"UNK")&amp;"_"&amp;IFERROR(VLOOKUP(C97,LOOKUPS!$N$2:$O$10,2,FALSE),"UNK")&amp;"_"&amp;UPPER(L97))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IF(B98="","","AB"&amp;"_"&amp;IFERROR(VLOOKUP(B98,LOOKUPS!$K$2:$L$9,2,FALSE),"UNK")&amp;"_"&amp;IFERROR(VLOOKUP(C98,LOOKUPS!$N$2:$O$10,2,FALSE),"UNK")&amp;"_"&amp;UPPER(L98))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IF(B99="","","AB"&amp;"_"&amp;IFERROR(VLOOKUP(B99,LOOKUPS!$K$2:$L$9,2,FALSE),"UNK")&amp;"_"&amp;IFERROR(VLOOKUP(C99,LOOKUPS!$N$2:$O$10,2,FALSE),"UNK")&amp;"_"&amp;UPPER(L99))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IF(B100="","","AB"&amp;"_"&amp;IFERROR(VLOOKUP(B100,LOOKUPS!$K$2:$L$9,2,FALSE),"UNK")&amp;"_"&amp;IFERROR(VLOOKUP(C100,LOOKUPS!$N$2:$O$10,2,FALSE),"UNK")&amp;"_"&amp;UPPER(L100))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IF(B101="","","AB"&amp;"_"&amp;IFERROR(VLOOKUP(B101,LOOKUPS!$K$2:$L$9,2,FALSE),"UNK")&amp;"_"&amp;IFERROR(VLOOKUP(C101,LOOKUPS!$N$2:$O$10,2,FALSE),"UNK")&amp;"_"&amp;UPPER(L101))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IF(B102="","","AB"&amp;"_"&amp;IFERROR(VLOOKUP(B102,LOOKUPS!$K$2:$L$9,2,FALSE),"UNK")&amp;"_"&amp;IFERROR(VLOOKUP(C102,LOOKUPS!$N$2:$O$10,2,FALSE),"UNK")&amp;"_"&amp;UPPER(L102))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IF(B103="","","AB"&amp;"_"&amp;IFERROR(VLOOKUP(B103,LOOKUPS!$K$2:$L$9,2,FALSE),"UNK")&amp;"_"&amp;IFERROR(VLOOKUP(C103,LOOKUPS!$N$2:$O$10,2,FALSE),"UNK")&amp;"_"&amp;UPPER(L103))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IF(B104="","","AB"&amp;"_"&amp;IFERROR(VLOOKUP(B104,LOOKUPS!$K$2:$L$9,2,FALSE),"UNK")&amp;"_"&amp;IFERROR(VLOOKUP(C104,LOOKUPS!$N$2:$O$10,2,FALSE),"UNK")&amp;"_"&amp;UPPER(L104))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IF(B105="","","AB"&amp;"_"&amp;IFERROR(VLOOKUP(B105,LOOKUPS!$K$2:$L$9,2,FALSE),"UNK")&amp;"_"&amp;IFERROR(VLOOKUP(C105,LOOKUPS!$N$2:$O$10,2,FALSE),"UNK")&amp;"_"&amp;UPPER(L105))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IF(B106="","","AB"&amp;"_"&amp;IFERROR(VLOOKUP(B106,LOOKUPS!$K$2:$L$9,2,FALSE),"UNK")&amp;"_"&amp;IFERROR(VLOOKUP(C106,LOOKUPS!$N$2:$O$10,2,FALSE),"UNK")&amp;"_"&amp;UPPER(L106))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IF(B107="","","AB"&amp;"_"&amp;IFERROR(VLOOKUP(B107,LOOKUPS!$K$2:$L$9,2,FALSE),"UNK")&amp;"_"&amp;IFERROR(VLOOKUP(C107,LOOKUPS!$N$2:$O$10,2,FALSE),"UNK")&amp;"_"&amp;UPPER(L107))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IF(B108="","","AB"&amp;"_"&amp;IFERROR(VLOOKUP(B108,LOOKUPS!$K$2:$L$9,2,FALSE),"UNK")&amp;"_"&amp;IFERROR(VLOOKUP(C108,LOOKUPS!$N$2:$O$10,2,FALSE),"UNK")&amp;"_"&amp;UPPER(L108))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IF(B109="","","AB"&amp;"_"&amp;IFERROR(VLOOKUP(B109,LOOKUPS!$K$2:$L$9,2,FALSE),"UNK")&amp;"_"&amp;IFERROR(VLOOKUP(C109,LOOKUPS!$N$2:$O$10,2,FALSE),"UNK")&amp;"_"&amp;UPPER(L109))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IF(B110="","","AB"&amp;"_"&amp;IFERROR(VLOOKUP(B110,LOOKUPS!$K$2:$L$9,2,FALSE),"UNK")&amp;"_"&amp;IFERROR(VLOOKUP(C110,LOOKUPS!$N$2:$O$10,2,FALSE),"UNK")&amp;"_"&amp;UPPER(L110))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IF(B111="","","AB"&amp;"_"&amp;IFERROR(VLOOKUP(B111,LOOKUPS!$K$2:$L$9,2,FALSE),"UNK")&amp;"_"&amp;IFERROR(VLOOKUP(C111,LOOKUPS!$N$2:$O$10,2,FALSE),"UNK")&amp;"_"&amp;UPPER(L111))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IF(B112="","","AB"&amp;"_"&amp;IFERROR(VLOOKUP(B112,LOOKUPS!$K$2:$L$9,2,FALSE),"UNK")&amp;"_"&amp;IFERROR(VLOOKUP(C112,LOOKUPS!$N$2:$O$10,2,FALSE),"UNK")&amp;"_"&amp;UPPER(L112))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IF(B113="","","AB"&amp;"_"&amp;IFERROR(VLOOKUP(B113,LOOKUPS!$K$2:$L$9,2,FALSE),"UNK")&amp;"_"&amp;IFERROR(VLOOKUP(C113,LOOKUPS!$N$2:$O$10,2,FALSE),"UNK")&amp;"_"&amp;UPPER(L113))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IF(B114="","","AB"&amp;"_"&amp;IFERROR(VLOOKUP(B114,LOOKUPS!$K$2:$L$9,2,FALSE),"UNK")&amp;"_"&amp;IFERROR(VLOOKUP(C114,LOOKUPS!$N$2:$O$10,2,FALSE),"UNK")&amp;"_"&amp;UPPER(L114))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IF(B115="","","AB"&amp;"_"&amp;IFERROR(VLOOKUP(B115,LOOKUPS!$K$2:$L$9,2,FALSE),"UNK")&amp;"_"&amp;IFERROR(VLOOKUP(C115,LOOKUPS!$N$2:$O$10,2,FALSE),"UNK")&amp;"_"&amp;UPPER(L115))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IF(B116="","","AB"&amp;"_"&amp;IFERROR(VLOOKUP(B116,LOOKUPS!$K$2:$L$9,2,FALSE),"UNK")&amp;"_"&amp;IFERROR(VLOOKUP(C116,LOOKUPS!$N$2:$O$10,2,FALSE),"UNK")&amp;"_"&amp;UPPER(L116))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IF(B117="","","AB"&amp;"_"&amp;IFERROR(VLOOKUP(B117,LOOKUPS!$K$2:$L$9,2,FALSE),"UNK")&amp;"_"&amp;IFERROR(VLOOKUP(C117,LOOKUPS!$N$2:$O$10,2,FALSE),"UNK")&amp;"_"&amp;UPPER(L117))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IF(B118="","","AB"&amp;"_"&amp;IFERROR(VLOOKUP(B118,LOOKUPS!$K$2:$L$9,2,FALSE),"UNK")&amp;"_"&amp;IFERROR(VLOOKUP(C118,LOOKUPS!$N$2:$O$10,2,FALSE),"UNK")&amp;"_"&amp;UPPER(L118))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IF(B119="","","AB"&amp;"_"&amp;IFERROR(VLOOKUP(B119,LOOKUPS!$K$2:$L$9,2,FALSE),"UNK")&amp;"_"&amp;IFERROR(VLOOKUP(C119,LOOKUPS!$N$2:$O$10,2,FALSE),"UNK")&amp;"_"&amp;UPPER(L119))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IF(B120="","","AB"&amp;"_"&amp;IFERROR(VLOOKUP(B120,LOOKUPS!$K$2:$L$9,2,FALSE),"UNK")&amp;"_"&amp;IFERROR(VLOOKUP(C120,LOOKUPS!$N$2:$O$10,2,FALSE),"UNK")&amp;"_"&amp;UPPER(L120))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IF(B121="","","AB"&amp;"_"&amp;IFERROR(VLOOKUP(B121,LOOKUPS!$K$2:$L$9,2,FALSE),"UNK")&amp;"_"&amp;IFERROR(VLOOKUP(C121,LOOKUPS!$N$2:$O$10,2,FALSE),"UNK")&amp;"_"&amp;UPPER(L121))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IF(B122="","","AB"&amp;"_"&amp;IFERROR(VLOOKUP(B122,LOOKUPS!$K$2:$L$9,2,FALSE),"UNK")&amp;"_"&amp;IFERROR(VLOOKUP(C122,LOOKUPS!$N$2:$O$10,2,FALSE),"UNK")&amp;"_"&amp;UPPER(L122))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IF(B123="","","AB"&amp;"_"&amp;IFERROR(VLOOKUP(B123,LOOKUPS!$K$2:$L$9,2,FALSE),"UNK")&amp;"_"&amp;IFERROR(VLOOKUP(C123,LOOKUPS!$N$2:$O$10,2,FALSE),"UNK")&amp;"_"&amp;UPPER(L123))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IF(B124="","","AB"&amp;"_"&amp;IFERROR(VLOOKUP(B124,LOOKUPS!$K$2:$L$9,2,FALSE),"UNK")&amp;"_"&amp;IFERROR(VLOOKUP(C124,LOOKUPS!$N$2:$O$10,2,FALSE),"UNK")&amp;"_"&amp;UPPER(L124))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IF(B125="","","AB"&amp;"_"&amp;IFERROR(VLOOKUP(B125,LOOKUPS!$K$2:$L$9,2,FALSE),"UNK")&amp;"_"&amp;IFERROR(VLOOKUP(C125,LOOKUPS!$N$2:$O$10,2,FALSE),"UNK")&amp;"_"&amp;UPPER(L125))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IF(B126="","","AB"&amp;"_"&amp;IFERROR(VLOOKUP(B126,LOOKUPS!$K$2:$L$9,2,FALSE),"UNK")&amp;"_"&amp;IFERROR(VLOOKUP(C126,LOOKUPS!$N$2:$O$10,2,FALSE),"UNK")&amp;"_"&amp;UPPER(L126))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IF(B127="","","AB"&amp;"_"&amp;IFERROR(VLOOKUP(B127,LOOKUPS!$K$2:$L$9,2,FALSE),"UNK")&amp;"_"&amp;IFERROR(VLOOKUP(C127,LOOKUPS!$N$2:$O$10,2,FALSE),"UNK")&amp;"_"&amp;UPPER(L127))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IF(B128="","","AB"&amp;"_"&amp;IFERROR(VLOOKUP(B128,LOOKUPS!$K$2:$L$9,2,FALSE),"UNK")&amp;"_"&amp;IFERROR(VLOOKUP(C128,LOOKUPS!$N$2:$O$10,2,FALSE),"UNK")&amp;"_"&amp;UPPER(L128))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IF(B129="","","AB"&amp;"_"&amp;IFERROR(VLOOKUP(B129,LOOKUPS!$K$2:$L$9,2,FALSE),"UNK")&amp;"_"&amp;IFERROR(VLOOKUP(C129,LOOKUPS!$N$2:$O$10,2,FALSE),"UNK")&amp;"_"&amp;UPPER(L129))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IF(B130="","","AB"&amp;"_"&amp;IFERROR(VLOOKUP(B130,LOOKUPS!$K$2:$L$9,2,FALSE),"UNK")&amp;"_"&amp;IFERROR(VLOOKUP(C130,LOOKUPS!$N$2:$O$10,2,FALSE),"UNK")&amp;"_"&amp;UPPER(L130))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IF(B131="","","AB"&amp;"_"&amp;IFERROR(VLOOKUP(B131,LOOKUPS!$K$2:$L$9,2,FALSE),"UNK")&amp;"_"&amp;IFERROR(VLOOKUP(C131,LOOKUPS!$N$2:$O$10,2,FALSE),"UNK")&amp;"_"&amp;UPPER(L131))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IF(B132="","","AB"&amp;"_"&amp;IFERROR(VLOOKUP(B132,LOOKUPS!$K$2:$L$9,2,FALSE),"UNK")&amp;"_"&amp;IFERROR(VLOOKUP(C132,LOOKUPS!$N$2:$O$10,2,FALSE),"UNK")&amp;"_"&amp;UPPER(L132))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IF(B133="","","AB"&amp;"_"&amp;IFERROR(VLOOKUP(B133,LOOKUPS!$K$2:$L$9,2,FALSE),"UNK")&amp;"_"&amp;IFERROR(VLOOKUP(C133,LOOKUPS!$N$2:$O$10,2,FALSE),"UNK")&amp;"_"&amp;UPPER(L133))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IF(B134="","","AB"&amp;"_"&amp;IFERROR(VLOOKUP(B134,LOOKUPS!$K$2:$L$9,2,FALSE),"UNK")&amp;"_"&amp;IFERROR(VLOOKUP(C134,LOOKUPS!$N$2:$O$10,2,FALSE),"UNK")&amp;"_"&amp;UPPER(L134))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IF(B135="","","AB"&amp;"_"&amp;IFERROR(VLOOKUP(B135,LOOKUPS!$K$2:$L$9,2,FALSE),"UNK")&amp;"_"&amp;IFERROR(VLOOKUP(C135,LOOKUPS!$N$2:$O$10,2,FALSE),"UNK")&amp;"_"&amp;UPPER(L135))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IF(B136="","","AB"&amp;"_"&amp;IFERROR(VLOOKUP(B136,LOOKUPS!$K$2:$L$9,2,FALSE),"UNK")&amp;"_"&amp;IFERROR(VLOOKUP(C136,LOOKUPS!$N$2:$O$10,2,FALSE),"UNK")&amp;"_"&amp;UPPER(L136))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IF(B137="","","AB"&amp;"_"&amp;IFERROR(VLOOKUP(B137,LOOKUPS!$K$2:$L$9,2,FALSE),"UNK")&amp;"_"&amp;IFERROR(VLOOKUP(C137,LOOKUPS!$N$2:$O$10,2,FALSE),"UNK")&amp;"_"&amp;UPPER(L137))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IF(B138="","","AB"&amp;"_"&amp;IFERROR(VLOOKUP(B138,LOOKUPS!$K$2:$L$9,2,FALSE),"UNK")&amp;"_"&amp;IFERROR(VLOOKUP(C138,LOOKUPS!$N$2:$O$10,2,FALSE),"UNK")&amp;"_"&amp;UPPER(L138))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IF(B139="","","AB"&amp;"_"&amp;IFERROR(VLOOKUP(B139,LOOKUPS!$K$2:$L$9,2,FALSE),"UNK")&amp;"_"&amp;IFERROR(VLOOKUP(C139,LOOKUPS!$N$2:$O$10,2,FALSE),"UNK")&amp;"_"&amp;UPPER(L139))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IF(B140="","","AB"&amp;"_"&amp;IFERROR(VLOOKUP(B140,LOOKUPS!$K$2:$L$9,2,FALSE),"UNK")&amp;"_"&amp;IFERROR(VLOOKUP(C140,LOOKUPS!$N$2:$O$10,2,FALSE),"UNK")&amp;"_"&amp;UPPER(L140))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IF(B141="","","AB"&amp;"_"&amp;IFERROR(VLOOKUP(B141,LOOKUPS!$K$2:$L$9,2,FALSE),"UNK")&amp;"_"&amp;IFERROR(VLOOKUP(C141,LOOKUPS!$N$2:$O$10,2,FALSE),"UNK")&amp;"_"&amp;UPPER(L141))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IF(B142="","","AB"&amp;"_"&amp;IFERROR(VLOOKUP(B142,LOOKUPS!$K$2:$L$9,2,FALSE),"UNK")&amp;"_"&amp;IFERROR(VLOOKUP(C142,LOOKUPS!$N$2:$O$10,2,FALSE),"UNK")&amp;"_"&amp;UPPER(L142))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IF(B143="","","AB"&amp;"_"&amp;IFERROR(VLOOKUP(B143,LOOKUPS!$K$2:$L$9,2,FALSE),"UNK")&amp;"_"&amp;IFERROR(VLOOKUP(C143,LOOKUPS!$N$2:$O$10,2,FALSE),"UNK")&amp;"_"&amp;UPPER(L143))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IF(B144="","","AB"&amp;"_"&amp;IFERROR(VLOOKUP(B144,LOOKUPS!$K$2:$L$9,2,FALSE),"UNK")&amp;"_"&amp;IFERROR(VLOOKUP(C144,LOOKUPS!$N$2:$O$10,2,FALSE),"UNK")&amp;"_"&amp;UPPER(L144))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IF(B145="","","AB"&amp;"_"&amp;IFERROR(VLOOKUP(B145,LOOKUPS!$K$2:$L$9,2,FALSE),"UNK")&amp;"_"&amp;IFERROR(VLOOKUP(C145,LOOKUPS!$N$2:$O$10,2,FALSE),"UNK")&amp;"_"&amp;UPPER(L145))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IF(B146="","","AB"&amp;"_"&amp;IFERROR(VLOOKUP(B146,LOOKUPS!$K$2:$L$9,2,FALSE),"UNK")&amp;"_"&amp;IFERROR(VLOOKUP(C146,LOOKUPS!$N$2:$O$10,2,FALSE),"UNK")&amp;"_"&amp;UPPER(L146))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IF(B147="","","AB"&amp;"_"&amp;IFERROR(VLOOKUP(B147,LOOKUPS!$K$2:$L$9,2,FALSE),"UNK")&amp;"_"&amp;IFERROR(VLOOKUP(C147,LOOKUPS!$N$2:$O$10,2,FALSE),"UNK")&amp;"_"&amp;UPPER(L147))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IF(B148="","","AB"&amp;"_"&amp;IFERROR(VLOOKUP(B148,LOOKUPS!$K$2:$L$9,2,FALSE),"UNK")&amp;"_"&amp;IFERROR(VLOOKUP(C148,LOOKUPS!$N$2:$O$10,2,FALSE),"UNK")&amp;"_"&amp;UPPER(L148))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IF(B149="","","AB"&amp;"_"&amp;IFERROR(VLOOKUP(B149,LOOKUPS!$K$2:$L$9,2,FALSE),"UNK")&amp;"_"&amp;IFERROR(VLOOKUP(C149,LOOKUPS!$N$2:$O$10,2,FALSE),"UNK")&amp;"_"&amp;UPPER(L149))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IF(B150="","","AB"&amp;"_"&amp;IFERROR(VLOOKUP(B150,LOOKUPS!$K$2:$L$9,2,FALSE),"UNK")&amp;"_"&amp;IFERROR(VLOOKUP(C150,LOOKUPS!$N$2:$O$10,2,FALSE),"UNK")&amp;"_"&amp;UPPER(L150))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IF(B151="","","AB"&amp;"_"&amp;IFERROR(VLOOKUP(B151,LOOKUPS!$K$2:$L$9,2,FALSE),"UNK")&amp;"_"&amp;IFERROR(VLOOKUP(C151,LOOKUPS!$N$2:$O$10,2,FALSE),"UNK")&amp;"_"&amp;UPPER(L151))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IF(B152="","","AB"&amp;"_"&amp;IFERROR(VLOOKUP(B152,LOOKUPS!$K$2:$L$9,2,FALSE),"UNK")&amp;"_"&amp;IFERROR(VLOOKUP(C152,LOOKUPS!$N$2:$O$10,2,FALSE),"UNK")&amp;"_"&amp;UPPER(L152))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IF(B153="","","AB"&amp;"_"&amp;IFERROR(VLOOKUP(B153,LOOKUPS!$K$2:$L$9,2,FALSE),"UNK")&amp;"_"&amp;IFERROR(VLOOKUP(C153,LOOKUPS!$N$2:$O$10,2,FALSE),"UNK")&amp;"_"&amp;UPPER(L153))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IF(B154="","","AB"&amp;"_"&amp;IFERROR(VLOOKUP(B154,LOOKUPS!$K$2:$L$9,2,FALSE),"UNK")&amp;"_"&amp;IFERROR(VLOOKUP(C154,LOOKUPS!$N$2:$O$10,2,FALSE),"UNK")&amp;"_"&amp;UPPER(L154))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IF(B155="","","AB"&amp;"_"&amp;IFERROR(VLOOKUP(B155,LOOKUPS!$K$2:$L$9,2,FALSE),"UNK")&amp;"_"&amp;IFERROR(VLOOKUP(C155,LOOKUPS!$N$2:$O$10,2,FALSE),"UNK")&amp;"_"&amp;UPPER(L155))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IF(B156="","","AB"&amp;"_"&amp;IFERROR(VLOOKUP(B156,LOOKUPS!$K$2:$L$9,2,FALSE),"UNK")&amp;"_"&amp;IFERROR(VLOOKUP(C156,LOOKUPS!$N$2:$O$10,2,FALSE),"UNK")&amp;"_"&amp;UPPER(L156))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IF(B157="","","AB"&amp;"_"&amp;IFERROR(VLOOKUP(B157,LOOKUPS!$K$2:$L$9,2,FALSE),"UNK")&amp;"_"&amp;IFERROR(VLOOKUP(C157,LOOKUPS!$N$2:$O$10,2,FALSE),"UNK")&amp;"_"&amp;UPPER(L157))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IF(B158="","","AB"&amp;"_"&amp;IFERROR(VLOOKUP(B158,LOOKUPS!$K$2:$L$9,2,FALSE),"UNK")&amp;"_"&amp;IFERROR(VLOOKUP(C158,LOOKUPS!$N$2:$O$10,2,FALSE),"UNK")&amp;"_"&amp;UPPER(L158))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IF(B159="","","AB"&amp;"_"&amp;IFERROR(VLOOKUP(B159,LOOKUPS!$K$2:$L$9,2,FALSE),"UNK")&amp;"_"&amp;IFERROR(VLOOKUP(C159,LOOKUPS!$N$2:$O$10,2,FALSE),"UNK")&amp;"_"&amp;UPPER(L159))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IF(B160="","","AB"&amp;"_"&amp;IFERROR(VLOOKUP(B160,LOOKUPS!$K$2:$L$9,2,FALSE),"UNK")&amp;"_"&amp;IFERROR(VLOOKUP(C160,LOOKUPS!$N$2:$O$10,2,FALSE),"UNK")&amp;"_"&amp;UPPER(L160))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IF(B161="","","AB"&amp;"_"&amp;IFERROR(VLOOKUP(B161,LOOKUPS!$K$2:$L$9,2,FALSE),"UNK")&amp;"_"&amp;IFERROR(VLOOKUP(C161,LOOKUPS!$N$2:$O$10,2,FALSE),"UNK")&amp;"_"&amp;UPPER(L161))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IF(B162="","","AB"&amp;"_"&amp;IFERROR(VLOOKUP(B162,LOOKUPS!$K$2:$L$9,2,FALSE),"UNK")&amp;"_"&amp;IFERROR(VLOOKUP(C162,LOOKUPS!$N$2:$O$10,2,FALSE),"UNK")&amp;"_"&amp;UPPER(L162))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IF(B163="","","AB"&amp;"_"&amp;IFERROR(VLOOKUP(B163,LOOKUPS!$K$2:$L$9,2,FALSE),"UNK")&amp;"_"&amp;IFERROR(VLOOKUP(C163,LOOKUPS!$N$2:$O$10,2,FALSE),"UNK")&amp;"_"&amp;UPPER(L163))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IF(B164="","","AB"&amp;"_"&amp;IFERROR(VLOOKUP(B164,LOOKUPS!$K$2:$L$9,2,FALSE),"UNK")&amp;"_"&amp;IFERROR(VLOOKUP(C164,LOOKUPS!$N$2:$O$10,2,FALSE),"UNK")&amp;"_"&amp;UPPER(L164))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IF(B165="","","AB"&amp;"_"&amp;IFERROR(VLOOKUP(B165,LOOKUPS!$K$2:$L$9,2,FALSE),"UNK")&amp;"_"&amp;IFERROR(VLOOKUP(C165,LOOKUPS!$N$2:$O$10,2,FALSE),"UNK")&amp;"_"&amp;UPPER(L165))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IF(B166="","","AB"&amp;"_"&amp;IFERROR(VLOOKUP(B166,LOOKUPS!$K$2:$L$9,2,FALSE),"UNK")&amp;"_"&amp;IFERROR(VLOOKUP(C166,LOOKUPS!$N$2:$O$10,2,FALSE),"UNK")&amp;"_"&amp;UPPER(L166))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IF(B167="","","AB"&amp;"_"&amp;IFERROR(VLOOKUP(B167,LOOKUPS!$K$2:$L$9,2,FALSE),"UNK")&amp;"_"&amp;IFERROR(VLOOKUP(C167,LOOKUPS!$N$2:$O$10,2,FALSE),"UNK")&amp;"_"&amp;UPPER(L167))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IF(B168="","","AB"&amp;"_"&amp;IFERROR(VLOOKUP(B168,LOOKUPS!$K$2:$L$9,2,FALSE),"UNK")&amp;"_"&amp;IFERROR(VLOOKUP(C168,LOOKUPS!$N$2:$O$10,2,FALSE),"UNK")&amp;"_"&amp;UPPER(L168))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IF(B169="","","AB"&amp;"_"&amp;IFERROR(VLOOKUP(B169,LOOKUPS!$K$2:$L$9,2,FALSE),"UNK")&amp;"_"&amp;IFERROR(VLOOKUP(C169,LOOKUPS!$N$2:$O$10,2,FALSE),"UNK")&amp;"_"&amp;UPPER(L169))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47 F5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E2:E47 E52:E1000</xm:sqref>
        </x14:dataValidation>
        <x14:dataValidation type="list" allowBlank="1" xr:uid="{8A6AFCA3-0201-4487-85FA-C307C9A7C8A3}">
          <x14:formula1>
            <xm:f>LOOKUPS!$E$2:$E$4</xm:f>
          </x14:formula1>
          <xm:sqref>G2:G47 G52:G169</xm:sqref>
        </x14:dataValidation>
        <x14:dataValidation type="list" allowBlank="1" xr:uid="{FA0317A5-2BF8-4476-9AF0-CF607799F648}">
          <x14:formula1>
            <xm:f>LOOKUPS!$G$2:$G$3</xm:f>
          </x14:formula1>
          <xm:sqref>H2:H47 H52:H169</xm:sqref>
        </x14:dataValidation>
        <x14:dataValidation type="list" allowBlank="1" showDropDown="1" xr:uid="{00000000-0002-0000-0300-000000000000}">
          <x14:formula1>
            <xm:f>LOOKUPS!$A$2:$A$9</xm:f>
          </x14:formula1>
          <xm:sqref>B170:B1000</xm:sqref>
        </x14:dataValidation>
        <x14:dataValidation type="list" allowBlank="1" xr:uid="{4434F220-3CBF-48CB-B993-6A17BED391F4}">
          <x14:formula1>
            <xm:f>LOOKUPS!$A$2:$A$9</xm:f>
          </x14:formula1>
          <xm:sqref>B2:B47 B52:B169</xm:sqref>
        </x14:dataValidation>
        <x14:dataValidation type="list" allowBlank="1" showDropDown="1" xr:uid="{00000000-0002-0000-0300-000001000000}">
          <x14:formula1>
            <xm:f>LOOKUPS!$C$2:$C$10</xm:f>
          </x14:formula1>
          <xm:sqref>C170:C1000</xm:sqref>
        </x14:dataValidation>
        <x14:dataValidation type="list" allowBlank="1" xr:uid="{884C0F39-2BFC-401B-A2BE-C29392A44013}">
          <x14:formula1>
            <xm:f>LOOKUPS!$C$2:$C$10</xm:f>
          </x14:formula1>
          <xm:sqref>C2:C169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opLeftCell="Z1" workbookViewId="0">
      <pane ySplit="1" topLeftCell="A28" activePane="bottomLeft" state="frozen"/>
      <selection pane="bottomLeft" activeCell="M30" sqref="M30:N32"/>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5" style="6" customWidth="1"/>
    <col min="16" max="16" width="11.88671875" style="6" customWidth="1"/>
    <col min="17" max="17" width="28" style="6" customWidth="1"/>
    <col min="18" max="18" width="18" style="6" customWidth="1"/>
    <col min="19" max="19" width="18.88671875" style="6" customWidth="1"/>
    <col min="20" max="20" width="28" style="6" customWidth="1"/>
    <col min="21" max="21" width="18" style="6" customWidth="1"/>
    <col min="22" max="22" width="18.88671875" style="6" customWidth="1"/>
    <col min="23" max="23" width="28" style="6" customWidth="1"/>
    <col min="24" max="24" width="18" style="6" customWidth="1"/>
    <col min="25" max="25" width="18.88671875" style="6" customWidth="1"/>
    <col min="26" max="26" width="28" style="6" customWidth="1"/>
    <col min="27" max="27" width="18" style="6" customWidth="1"/>
    <col min="28" max="28" width="18.88671875" style="6" customWidth="1"/>
    <col min="29" max="29" width="28" style="6" customWidth="1"/>
    <col min="30" max="30" width="18" style="6" customWidth="1"/>
    <col min="31" max="31" width="18.88671875" style="6" customWidth="1"/>
    <col min="32" max="32" width="27.33203125" style="6" customWidth="1"/>
    <col min="33" max="33" width="45" style="6" customWidth="1"/>
    <col min="34" max="16384" width="8.88671875" style="6"/>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65" si="0">IF(M2="","",M2&amp;"_"&amp;TEXT(N2,"000"))</f>
        <v>LIST_ITNIC_REQ_EIS_001</v>
      </c>
      <c r="B2" s="3" t="s">
        <v>21</v>
      </c>
      <c r="C2" s="3" t="s">
        <v>22</v>
      </c>
      <c r="D2" s="6" t="s">
        <v>815</v>
      </c>
      <c r="E2" s="3" t="s">
        <v>31</v>
      </c>
      <c r="F2" s="3">
        <v>3</v>
      </c>
      <c r="G2" s="3" t="s">
        <v>16</v>
      </c>
      <c r="H2" s="3" t="s">
        <v>17</v>
      </c>
      <c r="I2" s="3" t="s">
        <v>123</v>
      </c>
      <c r="J2" s="3" t="s">
        <v>124</v>
      </c>
      <c r="K2" s="3">
        <v>1</v>
      </c>
      <c r="L2" s="3" t="s">
        <v>125</v>
      </c>
      <c r="M2" s="3" t="str">
        <f>IF(B2="","","LIST"&amp;"_"&amp;IFERROR(VLOOKUP(B2,LOOKUPS!$K$2:$L$9,2,FALSE),"UNK")&amp;"_"&amp;IFERROR(VLOOKUP(C2,LOOKUPS!$N$2:$O$10,2,FALSE),"UNK")&amp;"_"&amp;UPPER(L2))</f>
        <v>LIST_ITNIC_REQ_EIS</v>
      </c>
      <c r="N2" s="3">
        <f>IF(M2="","",COUNTIF($M$2:M2,M2))</f>
        <v>1</v>
      </c>
      <c r="O2" s="3" t="s">
        <v>140</v>
      </c>
      <c r="P2" s="3">
        <v>4</v>
      </c>
      <c r="Q2" s="3" t="s">
        <v>141</v>
      </c>
      <c r="R2" s="3">
        <v>1000000</v>
      </c>
      <c r="S2" s="3" t="s">
        <v>17</v>
      </c>
      <c r="T2" s="3" t="s">
        <v>142</v>
      </c>
      <c r="U2" s="9">
        <v>0.3</v>
      </c>
      <c r="V2" s="3" t="s">
        <v>17</v>
      </c>
      <c r="W2" s="3" t="s">
        <v>143</v>
      </c>
      <c r="X2" s="3">
        <v>200000</v>
      </c>
      <c r="Y2" s="3" t="s">
        <v>17</v>
      </c>
      <c r="Z2" s="3" t="s">
        <v>144</v>
      </c>
      <c r="AA2" s="3">
        <v>0.5</v>
      </c>
      <c r="AB2" s="3" t="s">
        <v>17</v>
      </c>
      <c r="AC2" s="3"/>
      <c r="AD2" s="3"/>
      <c r="AE2" s="3"/>
      <c r="AF2" s="3" t="s">
        <v>17</v>
      </c>
      <c r="AG2" s="3" t="s">
        <v>145</v>
      </c>
    </row>
    <row r="3" spans="1:33" ht="86.4" x14ac:dyDescent="0.3">
      <c r="A3" s="3" t="str">
        <f t="shared" si="0"/>
        <v>LIST_ITNIC_REQ_EIS_002</v>
      </c>
      <c r="B3" s="3" t="s">
        <v>21</v>
      </c>
      <c r="C3" s="3" t="s">
        <v>22</v>
      </c>
      <c r="D3" s="6" t="s">
        <v>815</v>
      </c>
      <c r="E3" s="3" t="s">
        <v>31</v>
      </c>
      <c r="F3" s="3">
        <v>3</v>
      </c>
      <c r="G3" s="3" t="s">
        <v>16</v>
      </c>
      <c r="H3" s="3" t="s">
        <v>17</v>
      </c>
      <c r="I3" s="3" t="s">
        <v>123</v>
      </c>
      <c r="J3" s="3" t="s">
        <v>124</v>
      </c>
      <c r="K3" s="3">
        <v>1</v>
      </c>
      <c r="L3" s="3" t="s">
        <v>125</v>
      </c>
      <c r="M3" s="3" t="str">
        <f>IF(B3="","","LIST"&amp;"_"&amp;IFERROR(VLOOKUP(B3,LOOKUPS!$K$2:$L$9,2,FALSE),"UNK")&amp;"_"&amp;IFERROR(VLOOKUP(C3,LOOKUPS!$N$2:$O$10,2,FALSE),"UNK")&amp;"_"&amp;UPPER(L3))</f>
        <v>LIST_ITNIC_REQ_EIS</v>
      </c>
      <c r="N3" s="3">
        <f>IF(M3="","",COUNTIF($M$2:M3,M3))</f>
        <v>2</v>
      </c>
      <c r="O3" s="3" t="s">
        <v>146</v>
      </c>
      <c r="P3" s="3">
        <v>3</v>
      </c>
      <c r="Q3" s="3" t="s">
        <v>147</v>
      </c>
      <c r="R3" s="3">
        <v>1</v>
      </c>
      <c r="S3" s="3" t="s">
        <v>17</v>
      </c>
      <c r="T3" s="3" t="s">
        <v>148</v>
      </c>
      <c r="U3" s="3">
        <v>3</v>
      </c>
      <c r="V3" s="3" t="s">
        <v>17</v>
      </c>
      <c r="W3" s="3" t="s">
        <v>149</v>
      </c>
      <c r="X3" s="3" t="s">
        <v>150</v>
      </c>
      <c r="Y3" s="3" t="s">
        <v>17</v>
      </c>
      <c r="Z3" s="3"/>
      <c r="AA3" s="3"/>
      <c r="AB3" s="3"/>
      <c r="AC3" s="3"/>
      <c r="AD3" s="3"/>
      <c r="AE3" s="3"/>
      <c r="AF3" s="3" t="s">
        <v>17</v>
      </c>
      <c r="AG3" s="3" t="s">
        <v>800</v>
      </c>
    </row>
    <row r="4" spans="1:33" ht="72" x14ac:dyDescent="0.3">
      <c r="A4" s="3" t="str">
        <f t="shared" si="0"/>
        <v>LIST_ITNIC_REQ_PSC_001</v>
      </c>
      <c r="B4" s="3" t="s">
        <v>21</v>
      </c>
      <c r="C4" s="3" t="s">
        <v>22</v>
      </c>
      <c r="D4" s="3" t="s">
        <v>155</v>
      </c>
      <c r="E4" s="3" t="s">
        <v>31</v>
      </c>
      <c r="F4" s="3">
        <v>3</v>
      </c>
      <c r="G4" s="3" t="s">
        <v>16</v>
      </c>
      <c r="H4" s="3" t="s">
        <v>17</v>
      </c>
      <c r="I4" s="3" t="s">
        <v>165</v>
      </c>
      <c r="J4" s="3" t="s">
        <v>124</v>
      </c>
      <c r="K4" s="3">
        <v>1</v>
      </c>
      <c r="L4" s="3" t="s">
        <v>157</v>
      </c>
      <c r="M4" s="3" t="str">
        <f>IF(B4="","","LIST"&amp;"_"&amp;IFERROR(VLOOKUP(B4,LOOKUPS!$K$2:$L$9,2,FALSE),"UNK")&amp;"_"&amp;IFERROR(VLOOKUP(C4,LOOKUPS!$N$2:$O$10,2,FALSE),"UNK")&amp;"_"&amp;UPPER(L4))</f>
        <v>LIST_ITNIC_REQ_PSC</v>
      </c>
      <c r="N4" s="3">
        <f>IF(M4="","",COUNTIF($M$2:M4,M4))</f>
        <v>1</v>
      </c>
      <c r="O4" s="3" t="s">
        <v>173</v>
      </c>
      <c r="P4" s="3">
        <v>5</v>
      </c>
      <c r="Q4" s="3" t="s">
        <v>174</v>
      </c>
      <c r="R4" s="3" t="s">
        <v>175</v>
      </c>
      <c r="S4" s="3" t="s">
        <v>17</v>
      </c>
      <c r="T4" s="3" t="s">
        <v>176</v>
      </c>
      <c r="U4" s="3" t="s">
        <v>177</v>
      </c>
      <c r="V4" s="3" t="s">
        <v>17</v>
      </c>
      <c r="W4" s="3" t="s">
        <v>178</v>
      </c>
      <c r="X4" s="3" t="s">
        <v>179</v>
      </c>
      <c r="Y4" s="3" t="s">
        <v>17</v>
      </c>
      <c r="Z4" s="3" t="s">
        <v>180</v>
      </c>
      <c r="AA4" s="3" t="s">
        <v>181</v>
      </c>
      <c r="AB4" s="3" t="s">
        <v>17</v>
      </c>
      <c r="AC4" s="3" t="s">
        <v>182</v>
      </c>
      <c r="AD4" s="3" t="s">
        <v>183</v>
      </c>
      <c r="AE4" s="3" t="s">
        <v>17</v>
      </c>
      <c r="AF4" s="3" t="s">
        <v>17</v>
      </c>
      <c r="AG4" s="3" t="s">
        <v>801</v>
      </c>
    </row>
    <row r="5" spans="1:33" ht="100.8" x14ac:dyDescent="0.3">
      <c r="A5" s="3" t="str">
        <f t="shared" si="0"/>
        <v>LIST_ITNIC_REQ_PSC_002</v>
      </c>
      <c r="B5" s="3" t="s">
        <v>21</v>
      </c>
      <c r="C5" s="3" t="s">
        <v>22</v>
      </c>
      <c r="D5" s="3" t="s">
        <v>155</v>
      </c>
      <c r="E5" s="3" t="s">
        <v>31</v>
      </c>
      <c r="F5" s="3">
        <v>3</v>
      </c>
      <c r="G5" s="3" t="s">
        <v>16</v>
      </c>
      <c r="H5" s="3" t="s">
        <v>17</v>
      </c>
      <c r="I5" s="3" t="s">
        <v>184</v>
      </c>
      <c r="J5" s="3" t="s">
        <v>124</v>
      </c>
      <c r="K5" s="3">
        <v>1</v>
      </c>
      <c r="L5" s="3" t="s">
        <v>157</v>
      </c>
      <c r="M5" s="3" t="str">
        <f>IF(B5="","","LIST"&amp;"_"&amp;IFERROR(VLOOKUP(B5,LOOKUPS!$K$2:$L$9,2,FALSE),"UNK")&amp;"_"&amp;IFERROR(VLOOKUP(C5,LOOKUPS!$N$2:$O$10,2,FALSE),"UNK")&amp;"_"&amp;UPPER(L5))</f>
        <v>LIST_ITNIC_REQ_PSC</v>
      </c>
      <c r="N5" s="3">
        <f>IF(M5="","",COUNTIF($M$2:M5,M5))</f>
        <v>2</v>
      </c>
      <c r="O5" s="3" t="s">
        <v>185</v>
      </c>
      <c r="P5" s="3">
        <v>4</v>
      </c>
      <c r="Q5" s="3" t="s">
        <v>186</v>
      </c>
      <c r="R5" s="3" t="s">
        <v>187</v>
      </c>
      <c r="S5" s="3" t="s">
        <v>17</v>
      </c>
      <c r="T5" s="3" t="s">
        <v>188</v>
      </c>
      <c r="U5" s="3" t="s">
        <v>189</v>
      </c>
      <c r="V5" s="3" t="s">
        <v>17</v>
      </c>
      <c r="W5" s="3" t="s">
        <v>190</v>
      </c>
      <c r="X5" s="3">
        <v>45</v>
      </c>
      <c r="Y5" s="3" t="s">
        <v>17</v>
      </c>
      <c r="Z5" s="3" t="s">
        <v>191</v>
      </c>
      <c r="AA5" s="3" t="s">
        <v>192</v>
      </c>
      <c r="AB5" s="3" t="s">
        <v>17</v>
      </c>
      <c r="AC5" s="3"/>
      <c r="AD5" s="3"/>
      <c r="AE5" s="3"/>
      <c r="AF5" s="3" t="s">
        <v>17</v>
      </c>
      <c r="AG5" s="3" t="s">
        <v>802</v>
      </c>
    </row>
    <row r="6" spans="1:33" ht="57.6" x14ac:dyDescent="0.3">
      <c r="A6" s="3" t="str">
        <f t="shared" si="0"/>
        <v>LIST_ITNIC_REQ_SHS_001</v>
      </c>
      <c r="B6" s="6" t="s">
        <v>21</v>
      </c>
      <c r="C6" s="6" t="s">
        <v>22</v>
      </c>
      <c r="D6" s="6" t="s">
        <v>352</v>
      </c>
      <c r="E6" s="6" t="s">
        <v>31</v>
      </c>
      <c r="F6" s="6">
        <v>3</v>
      </c>
      <c r="G6" s="6" t="s">
        <v>16</v>
      </c>
      <c r="H6" s="6" t="s">
        <v>17</v>
      </c>
      <c r="I6" s="6" t="s">
        <v>242</v>
      </c>
      <c r="J6" s="6" t="s">
        <v>124</v>
      </c>
      <c r="K6" s="6">
        <v>1</v>
      </c>
      <c r="L6" s="6" t="s">
        <v>199</v>
      </c>
      <c r="M6" s="3" t="str">
        <f>IF(B6="","","LIST"&amp;"_"&amp;IFERROR(VLOOKUP(B6,LOOKUPS!$K$2:$L$9,2,FALSE),"UNK")&amp;"_"&amp;IFERROR(VLOOKUP(C6,LOOKUPS!$N$2:$O$10,2,FALSE),"UNK")&amp;"_"&amp;UPPER(L6))</f>
        <v>LIST_ITNIC_REQ_SHS</v>
      </c>
      <c r="N6" s="3">
        <f>IF(M6="","",COUNTIF($M$2:M6,M6))</f>
        <v>1</v>
      </c>
      <c r="O6" s="6" t="s">
        <v>243</v>
      </c>
      <c r="P6" s="6">
        <v>3</v>
      </c>
      <c r="Q6" s="6" t="s">
        <v>244</v>
      </c>
      <c r="R6" s="6" t="s">
        <v>245</v>
      </c>
      <c r="S6" s="3" t="s">
        <v>17</v>
      </c>
      <c r="T6" s="6" t="s">
        <v>246</v>
      </c>
      <c r="U6" s="6" t="s">
        <v>247</v>
      </c>
      <c r="V6" s="3" t="s">
        <v>17</v>
      </c>
      <c r="W6" s="6" t="s">
        <v>248</v>
      </c>
      <c r="X6" s="6" t="s">
        <v>249</v>
      </c>
      <c r="Y6" s="3" t="s">
        <v>17</v>
      </c>
      <c r="AF6" s="6" t="s">
        <v>17</v>
      </c>
      <c r="AG6" s="6" t="s">
        <v>250</v>
      </c>
    </row>
    <row r="7" spans="1:33" ht="100.8" x14ac:dyDescent="0.3">
      <c r="A7" s="3" t="str">
        <f t="shared" si="0"/>
        <v>LIST_ITNIC_REQ_SHS_002</v>
      </c>
      <c r="B7" s="3" t="s">
        <v>21</v>
      </c>
      <c r="C7" s="3" t="s">
        <v>22</v>
      </c>
      <c r="D7" s="6" t="s">
        <v>352</v>
      </c>
      <c r="E7" s="3" t="s">
        <v>31</v>
      </c>
      <c r="F7" s="3">
        <v>3</v>
      </c>
      <c r="G7" s="3" t="s">
        <v>16</v>
      </c>
      <c r="H7" s="3" t="s">
        <v>17</v>
      </c>
      <c r="I7" s="3" t="s">
        <v>210</v>
      </c>
      <c r="J7" s="3" t="s">
        <v>124</v>
      </c>
      <c r="K7" s="3">
        <v>1</v>
      </c>
      <c r="L7" s="3" t="s">
        <v>199</v>
      </c>
      <c r="M7" s="3" t="str">
        <f>IF(B7="","","LIST"&amp;"_"&amp;IFERROR(VLOOKUP(B7,LOOKUPS!$K$2:$L$9,2,FALSE),"UNK")&amp;"_"&amp;IFERROR(VLOOKUP(C7,LOOKUPS!$N$2:$O$10,2,FALSE),"UNK")&amp;"_"&amp;UPPER(L7))</f>
        <v>LIST_ITNIC_REQ_SHS</v>
      </c>
      <c r="N7" s="3">
        <f>IF(M7="","",COUNTIF($M$2:M7,M7))</f>
        <v>2</v>
      </c>
      <c r="O7" s="3" t="s">
        <v>751</v>
      </c>
      <c r="P7" s="3">
        <v>5</v>
      </c>
      <c r="Q7" s="3" t="s">
        <v>211</v>
      </c>
      <c r="R7" s="3">
        <v>60000</v>
      </c>
      <c r="S7" s="3" t="s">
        <v>17</v>
      </c>
      <c r="T7" s="3" t="s">
        <v>212</v>
      </c>
      <c r="U7" s="3">
        <v>3</v>
      </c>
      <c r="V7" s="3" t="s">
        <v>17</v>
      </c>
      <c r="W7" s="3" t="s">
        <v>213</v>
      </c>
      <c r="X7" s="3">
        <v>10</v>
      </c>
      <c r="Y7" s="3" t="s">
        <v>17</v>
      </c>
      <c r="Z7" s="3" t="s">
        <v>214</v>
      </c>
      <c r="AA7" s="3">
        <v>250000</v>
      </c>
      <c r="AB7" s="3" t="s">
        <v>17</v>
      </c>
      <c r="AC7" s="3" t="s">
        <v>215</v>
      </c>
      <c r="AD7" s="3">
        <v>3000000</v>
      </c>
      <c r="AE7" s="3" t="s">
        <v>17</v>
      </c>
      <c r="AF7" s="3" t="s">
        <v>17</v>
      </c>
      <c r="AG7" s="3" t="s">
        <v>803</v>
      </c>
    </row>
    <row r="8" spans="1:33" ht="115.2" x14ac:dyDescent="0.3">
      <c r="A8" s="3" t="str">
        <f t="shared" si="0"/>
        <v>LIST_ITNIC_REQ_SHS_003</v>
      </c>
      <c r="B8" s="3" t="s">
        <v>21</v>
      </c>
      <c r="C8" s="3" t="s">
        <v>22</v>
      </c>
      <c r="D8" s="6" t="s">
        <v>352</v>
      </c>
      <c r="E8" s="3" t="s">
        <v>31</v>
      </c>
      <c r="F8" s="3">
        <v>3</v>
      </c>
      <c r="G8" s="3" t="s">
        <v>16</v>
      </c>
      <c r="H8" s="3" t="s">
        <v>17</v>
      </c>
      <c r="I8" s="3" t="s">
        <v>216</v>
      </c>
      <c r="J8" s="3" t="s">
        <v>124</v>
      </c>
      <c r="K8" s="3">
        <v>1</v>
      </c>
      <c r="L8" s="3" t="s">
        <v>199</v>
      </c>
      <c r="M8" s="3" t="str">
        <f>IF(B8="","","LIST"&amp;"_"&amp;IFERROR(VLOOKUP(B8,LOOKUPS!$K$2:$L$9,2,FALSE),"UNK")&amp;"_"&amp;IFERROR(VLOOKUP(C8,LOOKUPS!$N$2:$O$10,2,FALSE),"UNK")&amp;"_"&amp;UPPER(L8))</f>
        <v>LIST_ITNIC_REQ_SHS</v>
      </c>
      <c r="N8" s="3">
        <f>IF(M8="","",COUNTIF($M$2:M8,M8))</f>
        <v>3</v>
      </c>
      <c r="O8" s="3" t="s">
        <v>772</v>
      </c>
      <c r="P8" s="3">
        <v>5</v>
      </c>
      <c r="Q8" s="3" t="s">
        <v>217</v>
      </c>
      <c r="R8" s="3">
        <v>5</v>
      </c>
      <c r="S8" s="3" t="s">
        <v>17</v>
      </c>
      <c r="T8" s="3" t="s">
        <v>218</v>
      </c>
      <c r="U8" s="3">
        <v>3</v>
      </c>
      <c r="V8" s="3" t="s">
        <v>17</v>
      </c>
      <c r="W8" s="3" t="s">
        <v>219</v>
      </c>
      <c r="X8" s="3" t="s">
        <v>220</v>
      </c>
      <c r="Y8" s="3" t="s">
        <v>17</v>
      </c>
      <c r="Z8" s="3" t="s">
        <v>221</v>
      </c>
      <c r="AA8" s="3">
        <v>3</v>
      </c>
      <c r="AB8" s="3" t="s">
        <v>17</v>
      </c>
      <c r="AC8" s="3" t="s">
        <v>222</v>
      </c>
      <c r="AD8" s="3">
        <v>5</v>
      </c>
      <c r="AE8" s="3" t="s">
        <v>17</v>
      </c>
      <c r="AF8" s="3" t="s">
        <v>17</v>
      </c>
      <c r="AG8" s="3" t="s">
        <v>804</v>
      </c>
    </row>
    <row r="9" spans="1:33" ht="43.2" x14ac:dyDescent="0.3">
      <c r="A9" s="3" t="str">
        <f t="shared" si="0"/>
        <v>LIST_CGT_REQ_SPLITYR_001</v>
      </c>
      <c r="B9" s="6" t="s">
        <v>28</v>
      </c>
      <c r="C9" s="6" t="s">
        <v>22</v>
      </c>
      <c r="D9" s="6" t="s">
        <v>428</v>
      </c>
      <c r="E9" s="6" t="s">
        <v>31</v>
      </c>
      <c r="F9" s="6">
        <v>3</v>
      </c>
      <c r="G9" s="6" t="s">
        <v>16</v>
      </c>
      <c r="H9" s="6" t="s">
        <v>17</v>
      </c>
      <c r="I9" s="6" t="s">
        <v>429</v>
      </c>
      <c r="J9" s="6" t="s">
        <v>430</v>
      </c>
      <c r="K9" s="6">
        <v>1</v>
      </c>
      <c r="L9" s="6" t="s">
        <v>431</v>
      </c>
      <c r="M9" s="3" t="str">
        <f>IF(B9="","","LIST"&amp;"_"&amp;IFERROR(VLOOKUP(B9,LOOKUPS!$K$2:$L$9,2,FALSE),"UNK")&amp;"_"&amp;IFERROR(VLOOKUP(C9,LOOKUPS!$N$2:$O$10,2,FALSE),"UNK")&amp;"_"&amp;UPPER(L9))</f>
        <v>LIST_CGT_REQ_SPLITYR</v>
      </c>
      <c r="N9" s="3">
        <f>IF(M9="","",COUNTIF($M$2:M9,M9))</f>
        <v>1</v>
      </c>
      <c r="O9" s="6" t="s">
        <v>432</v>
      </c>
      <c r="P9" s="6">
        <v>2</v>
      </c>
      <c r="Q9" s="6" t="s">
        <v>433</v>
      </c>
      <c r="R9" s="6" t="s">
        <v>434</v>
      </c>
      <c r="S9" s="3" t="s">
        <v>17</v>
      </c>
      <c r="T9" s="6" t="s">
        <v>435</v>
      </c>
      <c r="U9" s="6" t="s">
        <v>436</v>
      </c>
      <c r="V9" s="3" t="s">
        <v>17</v>
      </c>
      <c r="AF9" s="6" t="s">
        <v>17</v>
      </c>
      <c r="AG9" s="6" t="s">
        <v>437</v>
      </c>
    </row>
    <row r="10" spans="1:33" ht="43.2" x14ac:dyDescent="0.3">
      <c r="A10" s="3" t="str">
        <f t="shared" si="0"/>
        <v>LIST_CGT_REQ_SPLITYR_002</v>
      </c>
      <c r="B10" s="6" t="s">
        <v>28</v>
      </c>
      <c r="C10" s="6" t="s">
        <v>22</v>
      </c>
      <c r="D10" s="6" t="s">
        <v>428</v>
      </c>
      <c r="E10" s="6" t="s">
        <v>31</v>
      </c>
      <c r="F10" s="6">
        <v>3</v>
      </c>
      <c r="G10" s="6" t="s">
        <v>16</v>
      </c>
      <c r="H10" s="6" t="s">
        <v>17</v>
      </c>
      <c r="I10" s="6" t="s">
        <v>438</v>
      </c>
      <c r="J10" s="6" t="s">
        <v>430</v>
      </c>
      <c r="K10" s="6">
        <v>1</v>
      </c>
      <c r="L10" s="6" t="s">
        <v>431</v>
      </c>
      <c r="M10" s="3" t="str">
        <f>IF(B10="","","LIST"&amp;"_"&amp;IFERROR(VLOOKUP(B10,LOOKUPS!$K$2:$L$9,2,FALSE),"UNK")&amp;"_"&amp;IFERROR(VLOOKUP(C10,LOOKUPS!$N$2:$O$10,2,FALSE),"UNK")&amp;"_"&amp;UPPER(L10))</f>
        <v>LIST_CGT_REQ_SPLITYR</v>
      </c>
      <c r="N10" s="3">
        <f>IF(M10="","",COUNTIF($M$2:M10,M10))</f>
        <v>2</v>
      </c>
      <c r="O10" s="6" t="s">
        <v>439</v>
      </c>
      <c r="P10" s="6">
        <v>2</v>
      </c>
      <c r="Q10" s="6" t="s">
        <v>440</v>
      </c>
      <c r="R10" s="6" t="s">
        <v>441</v>
      </c>
      <c r="S10" s="3" t="s">
        <v>17</v>
      </c>
      <c r="T10" s="6" t="s">
        <v>442</v>
      </c>
      <c r="U10" s="6" t="s">
        <v>443</v>
      </c>
      <c r="V10" s="3" t="s">
        <v>17</v>
      </c>
      <c r="AF10" s="6" t="s">
        <v>17</v>
      </c>
      <c r="AG10" s="6" t="s">
        <v>444</v>
      </c>
    </row>
    <row r="11" spans="1:33" ht="57.6" x14ac:dyDescent="0.3">
      <c r="A11" s="3" t="str">
        <f t="shared" si="0"/>
        <v>LIST_CGT_REQ_SPLITYR_003</v>
      </c>
      <c r="B11" s="6" t="s">
        <v>28</v>
      </c>
      <c r="C11" s="6" t="s">
        <v>22</v>
      </c>
      <c r="D11" s="6" t="s">
        <v>428</v>
      </c>
      <c r="E11" s="6" t="s">
        <v>31</v>
      </c>
      <c r="F11" s="6">
        <v>3</v>
      </c>
      <c r="G11" s="6" t="s">
        <v>16</v>
      </c>
      <c r="H11" s="6" t="s">
        <v>17</v>
      </c>
      <c r="I11" s="6" t="s">
        <v>445</v>
      </c>
      <c r="J11" s="6" t="s">
        <v>430</v>
      </c>
      <c r="K11" s="6">
        <v>1</v>
      </c>
      <c r="L11" s="6" t="s">
        <v>431</v>
      </c>
      <c r="M11" s="3" t="str">
        <f>IF(B11="","","LIST"&amp;"_"&amp;IFERROR(VLOOKUP(B11,LOOKUPS!$K$2:$L$9,2,FALSE),"UNK")&amp;"_"&amp;IFERROR(VLOOKUP(C11,LOOKUPS!$N$2:$O$10,2,FALSE),"UNK")&amp;"_"&amp;UPPER(L11))</f>
        <v>LIST_CGT_REQ_SPLITYR</v>
      </c>
      <c r="N11" s="3">
        <f>IF(M11="","",COUNTIF($M$2:M11,M11))</f>
        <v>3</v>
      </c>
      <c r="O11" s="6" t="s">
        <v>806</v>
      </c>
      <c r="P11" s="6">
        <v>3</v>
      </c>
      <c r="Q11" s="6" t="s">
        <v>446</v>
      </c>
      <c r="R11" s="6" t="s">
        <v>381</v>
      </c>
      <c r="S11" s="3" t="s">
        <v>17</v>
      </c>
      <c r="T11" s="6" t="s">
        <v>447</v>
      </c>
      <c r="U11" s="6" t="s">
        <v>448</v>
      </c>
      <c r="V11" s="3" t="s">
        <v>17</v>
      </c>
      <c r="W11" s="6" t="s">
        <v>449</v>
      </c>
      <c r="X11" s="6" t="s">
        <v>450</v>
      </c>
      <c r="Y11" s="6" t="s">
        <v>17</v>
      </c>
      <c r="AF11" s="6" t="s">
        <v>17</v>
      </c>
      <c r="AG11" s="6" t="s">
        <v>451</v>
      </c>
    </row>
    <row r="12" spans="1:33" ht="57.6" x14ac:dyDescent="0.3">
      <c r="A12" s="3" t="str">
        <f t="shared" si="0"/>
        <v>LIST_CGT_REQ_SPLITYR_004</v>
      </c>
      <c r="B12" s="6" t="s">
        <v>28</v>
      </c>
      <c r="C12" s="6" t="s">
        <v>22</v>
      </c>
      <c r="D12" s="6" t="s">
        <v>428</v>
      </c>
      <c r="E12" s="6" t="s">
        <v>31</v>
      </c>
      <c r="F12" s="6">
        <v>3</v>
      </c>
      <c r="G12" s="6" t="s">
        <v>16</v>
      </c>
      <c r="H12" s="6" t="s">
        <v>17</v>
      </c>
      <c r="I12" s="6" t="s">
        <v>452</v>
      </c>
      <c r="J12" s="6" t="s">
        <v>430</v>
      </c>
      <c r="K12" s="6">
        <v>1</v>
      </c>
      <c r="L12" s="6" t="s">
        <v>431</v>
      </c>
      <c r="M12" s="3" t="str">
        <f>IF(B12="","","LIST"&amp;"_"&amp;IFERROR(VLOOKUP(B12,LOOKUPS!$K$2:$L$9,2,FALSE),"UNK")&amp;"_"&amp;IFERROR(VLOOKUP(C12,LOOKUPS!$N$2:$O$10,2,FALSE),"UNK")&amp;"_"&amp;UPPER(L12))</f>
        <v>LIST_CGT_REQ_SPLITYR</v>
      </c>
      <c r="N12" s="3">
        <f>IF(M12="","",COUNTIF($M$2:M12,M12))</f>
        <v>4</v>
      </c>
      <c r="O12" s="6" t="s">
        <v>453</v>
      </c>
      <c r="P12" s="6">
        <v>2</v>
      </c>
      <c r="Q12" s="6" t="s">
        <v>454</v>
      </c>
      <c r="R12" s="6" t="s">
        <v>455</v>
      </c>
      <c r="S12" s="3" t="s">
        <v>17</v>
      </c>
      <c r="T12" s="6" t="s">
        <v>456</v>
      </c>
      <c r="U12" s="6" t="s">
        <v>457</v>
      </c>
      <c r="V12" s="3" t="s">
        <v>17</v>
      </c>
      <c r="AF12" s="6" t="s">
        <v>17</v>
      </c>
      <c r="AG12" s="6" t="s">
        <v>458</v>
      </c>
    </row>
    <row r="13" spans="1:33" ht="43.2" x14ac:dyDescent="0.3">
      <c r="A13" s="3" t="str">
        <f t="shared" si="0"/>
        <v>LIST_CGT_REQ_SPLITYR_005</v>
      </c>
      <c r="B13" s="6" t="s">
        <v>28</v>
      </c>
      <c r="C13" s="6" t="s">
        <v>22</v>
      </c>
      <c r="D13" s="6" t="s">
        <v>428</v>
      </c>
      <c r="E13" s="6" t="s">
        <v>31</v>
      </c>
      <c r="F13" s="6">
        <v>3</v>
      </c>
      <c r="G13" s="6" t="s">
        <v>16</v>
      </c>
      <c r="H13" s="6" t="s">
        <v>17</v>
      </c>
      <c r="I13" s="6" t="s">
        <v>459</v>
      </c>
      <c r="J13" s="6" t="s">
        <v>430</v>
      </c>
      <c r="K13" s="6">
        <v>1</v>
      </c>
      <c r="L13" s="6" t="s">
        <v>431</v>
      </c>
      <c r="M13" s="3" t="str">
        <f>IF(B13="","","LIST"&amp;"_"&amp;IFERROR(VLOOKUP(B13,LOOKUPS!$K$2:$L$9,2,FALSE),"UNK")&amp;"_"&amp;IFERROR(VLOOKUP(C13,LOOKUPS!$N$2:$O$10,2,FALSE),"UNK")&amp;"_"&amp;UPPER(L13))</f>
        <v>LIST_CGT_REQ_SPLITYR</v>
      </c>
      <c r="N13" s="3">
        <f>IF(M13="","",COUNTIF($M$2:M13,M13))</f>
        <v>5</v>
      </c>
      <c r="O13" s="3" t="s">
        <v>460</v>
      </c>
      <c r="P13" s="3">
        <v>2</v>
      </c>
      <c r="Q13" s="3" t="s">
        <v>461</v>
      </c>
      <c r="R13" s="3" t="s">
        <v>441</v>
      </c>
      <c r="S13" s="3" t="s">
        <v>17</v>
      </c>
      <c r="T13" s="3" t="s">
        <v>462</v>
      </c>
      <c r="U13" s="3" t="s">
        <v>463</v>
      </c>
      <c r="V13" s="3" t="s">
        <v>17</v>
      </c>
      <c r="W13" s="3"/>
      <c r="X13" s="3"/>
      <c r="Y13" s="3"/>
      <c r="Z13" s="3"/>
      <c r="AA13" s="3"/>
      <c r="AB13" s="3"/>
      <c r="AC13" s="3"/>
      <c r="AD13" s="3"/>
      <c r="AE13" s="3"/>
      <c r="AF13" s="3" t="s">
        <v>17</v>
      </c>
      <c r="AG13" s="3" t="s">
        <v>464</v>
      </c>
    </row>
    <row r="14" spans="1:33" ht="43.2" x14ac:dyDescent="0.3">
      <c r="A14" s="3" t="str">
        <f t="shared" si="0"/>
        <v>LIST_CGT_REQ_SPLITYR_006</v>
      </c>
      <c r="B14" s="6" t="s">
        <v>28</v>
      </c>
      <c r="C14" s="6" t="s">
        <v>22</v>
      </c>
      <c r="D14" s="6" t="s">
        <v>428</v>
      </c>
      <c r="E14" s="6" t="s">
        <v>31</v>
      </c>
      <c r="F14" s="6">
        <v>3</v>
      </c>
      <c r="G14" s="6" t="s">
        <v>16</v>
      </c>
      <c r="H14" s="6" t="s">
        <v>17</v>
      </c>
      <c r="I14" s="6" t="s">
        <v>465</v>
      </c>
      <c r="J14" s="6" t="s">
        <v>430</v>
      </c>
      <c r="K14" s="6">
        <v>1</v>
      </c>
      <c r="L14" s="6" t="s">
        <v>431</v>
      </c>
      <c r="M14" s="3" t="str">
        <f>IF(B14="","","LIST"&amp;"_"&amp;IFERROR(VLOOKUP(B14,LOOKUPS!$K$2:$L$9,2,FALSE),"UNK")&amp;"_"&amp;IFERROR(VLOOKUP(C14,LOOKUPS!$N$2:$O$10,2,FALSE),"UNK")&amp;"_"&amp;UPPER(L14))</f>
        <v>LIST_CGT_REQ_SPLITYR</v>
      </c>
      <c r="N14" s="3">
        <f>IF(M14="","",COUNTIF($M$2:M14,M14))</f>
        <v>6</v>
      </c>
      <c r="O14" s="6" t="s">
        <v>466</v>
      </c>
      <c r="P14" s="6">
        <v>2</v>
      </c>
      <c r="Q14" s="6" t="s">
        <v>467</v>
      </c>
      <c r="R14" s="6" t="s">
        <v>468</v>
      </c>
      <c r="S14" s="3" t="s">
        <v>17</v>
      </c>
      <c r="T14" s="6" t="s">
        <v>469</v>
      </c>
      <c r="U14" s="6" t="s">
        <v>441</v>
      </c>
      <c r="V14" s="3" t="s">
        <v>17</v>
      </c>
      <c r="AF14" s="6" t="s">
        <v>17</v>
      </c>
      <c r="AG14" s="6" t="s">
        <v>470</v>
      </c>
    </row>
    <row r="15" spans="1:33" ht="43.2" x14ac:dyDescent="0.3">
      <c r="A15" s="3" t="str">
        <f t="shared" si="0"/>
        <v>LIST_CGT_REQ_RESDOM_001</v>
      </c>
      <c r="B15" s="6" t="s">
        <v>28</v>
      </c>
      <c r="C15" s="6" t="s">
        <v>22</v>
      </c>
      <c r="D15" s="6" t="s">
        <v>471</v>
      </c>
      <c r="E15" s="6" t="s">
        <v>31</v>
      </c>
      <c r="F15" s="6">
        <v>3</v>
      </c>
      <c r="G15" s="6" t="s">
        <v>16</v>
      </c>
      <c r="H15" s="6" t="s">
        <v>17</v>
      </c>
      <c r="I15" s="6" t="s">
        <v>472</v>
      </c>
      <c r="J15" s="6" t="s">
        <v>430</v>
      </c>
      <c r="K15" s="6">
        <v>1</v>
      </c>
      <c r="L15" s="6" t="s">
        <v>473</v>
      </c>
      <c r="M15" s="3" t="str">
        <f>IF(B15="","","LIST"&amp;"_"&amp;IFERROR(VLOOKUP(B15,LOOKUPS!$K$2:$L$9,2,FALSE),"UNK")&amp;"_"&amp;IFERROR(VLOOKUP(C15,LOOKUPS!$N$2:$O$10,2,FALSE),"UNK")&amp;"_"&amp;UPPER(L15))</f>
        <v>LIST_CGT_REQ_RESDOM</v>
      </c>
      <c r="N15" s="3">
        <f>IF(M15="","",COUNTIF($M$2:M15,M15))</f>
        <v>1</v>
      </c>
      <c r="O15" s="6" t="s">
        <v>474</v>
      </c>
      <c r="P15" s="6">
        <v>2</v>
      </c>
      <c r="Q15" s="6" t="s">
        <v>475</v>
      </c>
      <c r="R15" s="6">
        <v>16</v>
      </c>
      <c r="S15" s="3" t="s">
        <v>17</v>
      </c>
      <c r="T15" s="6" t="s">
        <v>476</v>
      </c>
      <c r="U15" s="6">
        <v>3</v>
      </c>
      <c r="V15" s="3" t="s">
        <v>17</v>
      </c>
      <c r="AF15" s="6" t="s">
        <v>17</v>
      </c>
      <c r="AG15" s="6" t="s">
        <v>477</v>
      </c>
    </row>
    <row r="16" spans="1:33" ht="43.2" x14ac:dyDescent="0.3">
      <c r="A16" s="3" t="str">
        <f t="shared" si="0"/>
        <v>LIST_CGT_REQ_RESDOM_002</v>
      </c>
      <c r="B16" s="6" t="s">
        <v>28</v>
      </c>
      <c r="C16" s="6" t="s">
        <v>22</v>
      </c>
      <c r="D16" s="6" t="s">
        <v>471</v>
      </c>
      <c r="E16" s="6" t="s">
        <v>31</v>
      </c>
      <c r="F16" s="6">
        <v>3</v>
      </c>
      <c r="G16" s="6" t="s">
        <v>16</v>
      </c>
      <c r="H16" s="6" t="s">
        <v>17</v>
      </c>
      <c r="I16" s="6" t="s">
        <v>472</v>
      </c>
      <c r="J16" s="6" t="s">
        <v>430</v>
      </c>
      <c r="K16" s="6">
        <v>1</v>
      </c>
      <c r="L16" s="6" t="s">
        <v>473</v>
      </c>
      <c r="M16" s="3" t="str">
        <f>IF(B16="","","LIST"&amp;"_"&amp;IFERROR(VLOOKUP(B16,LOOKUPS!$K$2:$L$9,2,FALSE),"UNK")&amp;"_"&amp;IFERROR(VLOOKUP(C16,LOOKUPS!$N$2:$O$10,2,FALSE),"UNK")&amp;"_"&amp;UPPER(L16))</f>
        <v>LIST_CGT_REQ_RESDOM</v>
      </c>
      <c r="N16" s="3">
        <f>IF(M16="","",COUNTIF($M$2:M16,M16))</f>
        <v>2</v>
      </c>
      <c r="O16" s="6" t="s">
        <v>478</v>
      </c>
      <c r="P16" s="6">
        <v>2</v>
      </c>
      <c r="Q16" s="6" t="s">
        <v>479</v>
      </c>
      <c r="R16" s="6">
        <v>46</v>
      </c>
      <c r="S16" s="3" t="s">
        <v>17</v>
      </c>
      <c r="T16" s="6" t="s">
        <v>230</v>
      </c>
      <c r="U16" s="6">
        <v>3</v>
      </c>
      <c r="V16" s="3" t="s">
        <v>17</v>
      </c>
      <c r="AF16" s="6" t="s">
        <v>17</v>
      </c>
      <c r="AG16" s="6" t="s">
        <v>480</v>
      </c>
    </row>
    <row r="17" spans="1:33" ht="43.2" x14ac:dyDescent="0.3">
      <c r="A17" s="3" t="str">
        <f t="shared" si="0"/>
        <v>LIST_CGT_REQ_RESDOM_003</v>
      </c>
      <c r="B17" s="6" t="s">
        <v>28</v>
      </c>
      <c r="C17" s="6" t="s">
        <v>22</v>
      </c>
      <c r="D17" s="6" t="s">
        <v>471</v>
      </c>
      <c r="E17" s="6" t="s">
        <v>31</v>
      </c>
      <c r="F17" s="6">
        <v>3</v>
      </c>
      <c r="G17" s="6" t="s">
        <v>16</v>
      </c>
      <c r="H17" s="6" t="s">
        <v>17</v>
      </c>
      <c r="I17" s="6" t="s">
        <v>481</v>
      </c>
      <c r="J17" s="6" t="s">
        <v>430</v>
      </c>
      <c r="K17" s="6">
        <v>1</v>
      </c>
      <c r="L17" s="6" t="s">
        <v>473</v>
      </c>
      <c r="M17" s="3" t="str">
        <f>IF(B17="","","LIST"&amp;"_"&amp;IFERROR(VLOOKUP(B17,LOOKUPS!$K$2:$L$9,2,FALSE),"UNK")&amp;"_"&amp;IFERROR(VLOOKUP(C17,LOOKUPS!$N$2:$O$10,2,FALSE),"UNK")&amp;"_"&amp;UPPER(L17))</f>
        <v>LIST_CGT_REQ_RESDOM</v>
      </c>
      <c r="N17" s="3">
        <f>IF(M17="","",COUNTIF($M$2:M17,M17))</f>
        <v>3</v>
      </c>
      <c r="O17" s="6" t="s">
        <v>482</v>
      </c>
      <c r="P17" s="6">
        <v>2</v>
      </c>
      <c r="Q17" s="6" t="s">
        <v>483</v>
      </c>
      <c r="R17" s="6">
        <v>183</v>
      </c>
      <c r="S17" s="3" t="s">
        <v>17</v>
      </c>
      <c r="T17" s="6" t="s">
        <v>484</v>
      </c>
      <c r="U17" s="6">
        <v>30</v>
      </c>
      <c r="V17" s="3" t="s">
        <v>17</v>
      </c>
      <c r="AF17" s="6" t="s">
        <v>17</v>
      </c>
      <c r="AG17" s="6" t="s">
        <v>485</v>
      </c>
    </row>
    <row r="18" spans="1:33" ht="57.6" x14ac:dyDescent="0.3">
      <c r="A18" s="3" t="str">
        <f t="shared" si="0"/>
        <v>LIST_CGT_REQ_RESDOM_004</v>
      </c>
      <c r="B18" s="6" t="s">
        <v>28</v>
      </c>
      <c r="C18" s="6" t="s">
        <v>22</v>
      </c>
      <c r="D18" s="6" t="s">
        <v>471</v>
      </c>
      <c r="E18" s="6" t="s">
        <v>31</v>
      </c>
      <c r="F18" s="6">
        <v>3</v>
      </c>
      <c r="G18" s="6" t="s">
        <v>16</v>
      </c>
      <c r="H18" s="6" t="s">
        <v>17</v>
      </c>
      <c r="I18" s="6" t="s">
        <v>486</v>
      </c>
      <c r="J18" s="6" t="s">
        <v>430</v>
      </c>
      <c r="K18" s="6">
        <v>1</v>
      </c>
      <c r="L18" s="6" t="s">
        <v>473</v>
      </c>
      <c r="M18" s="3" t="str">
        <f>IF(B18="","","LIST"&amp;"_"&amp;IFERROR(VLOOKUP(B18,LOOKUPS!$K$2:$L$9,2,FALSE),"UNK")&amp;"_"&amp;IFERROR(VLOOKUP(C18,LOOKUPS!$N$2:$O$10,2,FALSE),"UNK")&amp;"_"&amp;UPPER(L18))</f>
        <v>LIST_CGT_REQ_RESDOM</v>
      </c>
      <c r="N18" s="3">
        <f>IF(M18="","",COUNTIF($M$2:M18,M18))</f>
        <v>4</v>
      </c>
      <c r="O18" s="6" t="s">
        <v>487</v>
      </c>
      <c r="P18" s="6">
        <v>3</v>
      </c>
      <c r="Q18" s="6" t="s">
        <v>488</v>
      </c>
      <c r="R18" s="6">
        <v>91</v>
      </c>
      <c r="S18" s="3" t="s">
        <v>17</v>
      </c>
      <c r="T18" s="6" t="s">
        <v>489</v>
      </c>
      <c r="U18" s="6">
        <v>40</v>
      </c>
      <c r="V18" s="3" t="s">
        <v>17</v>
      </c>
      <c r="W18" s="6" t="s">
        <v>490</v>
      </c>
      <c r="X18" s="6">
        <v>90</v>
      </c>
      <c r="Y18" s="6" t="s">
        <v>17</v>
      </c>
      <c r="AF18" s="6" t="s">
        <v>17</v>
      </c>
      <c r="AG18" s="6" t="s">
        <v>491</v>
      </c>
    </row>
    <row r="19" spans="1:33" ht="72" x14ac:dyDescent="0.3">
      <c r="A19" s="3" t="str">
        <f t="shared" si="0"/>
        <v>LIST_CGT_REQ_RESDOM_005</v>
      </c>
      <c r="B19" s="6" t="s">
        <v>28</v>
      </c>
      <c r="C19" s="6" t="s">
        <v>22</v>
      </c>
      <c r="D19" s="6" t="s">
        <v>471</v>
      </c>
      <c r="E19" s="6" t="s">
        <v>31</v>
      </c>
      <c r="F19" s="6">
        <v>3</v>
      </c>
      <c r="G19" s="6" t="s">
        <v>16</v>
      </c>
      <c r="H19" s="6" t="s">
        <v>17</v>
      </c>
      <c r="I19" s="6" t="s">
        <v>492</v>
      </c>
      <c r="J19" s="6" t="s">
        <v>430</v>
      </c>
      <c r="K19" s="6">
        <v>1</v>
      </c>
      <c r="L19" s="6" t="s">
        <v>473</v>
      </c>
      <c r="M19" s="3" t="str">
        <f>IF(B19="","","LIST"&amp;"_"&amp;IFERROR(VLOOKUP(B19,LOOKUPS!$K$2:$L$9,2,FALSE),"UNK")&amp;"_"&amp;IFERROR(VLOOKUP(C19,LOOKUPS!$N$2:$O$10,2,FALSE),"UNK")&amp;"_"&amp;UPPER(L19))</f>
        <v>LIST_CGT_REQ_RESDOM</v>
      </c>
      <c r="N19" s="3">
        <f>IF(M19="","",COUNTIF($M$2:M19,M19))</f>
        <v>5</v>
      </c>
      <c r="O19" s="6" t="s">
        <v>493</v>
      </c>
      <c r="P19" s="6">
        <v>3</v>
      </c>
      <c r="Q19" s="6" t="s">
        <v>494</v>
      </c>
      <c r="R19" s="6" t="s">
        <v>495</v>
      </c>
      <c r="S19" s="3" t="s">
        <v>17</v>
      </c>
      <c r="T19" s="6" t="s">
        <v>496</v>
      </c>
      <c r="U19" s="6" t="s">
        <v>497</v>
      </c>
      <c r="V19" s="3" t="s">
        <v>17</v>
      </c>
      <c r="W19" s="6" t="s">
        <v>494</v>
      </c>
      <c r="X19" s="6" t="s">
        <v>498</v>
      </c>
      <c r="Y19" s="6" t="s">
        <v>17</v>
      </c>
      <c r="AF19" s="6" t="s">
        <v>17</v>
      </c>
      <c r="AG19" s="6" t="s">
        <v>499</v>
      </c>
    </row>
    <row r="20" spans="1:33" ht="72" x14ac:dyDescent="0.3">
      <c r="A20" s="3" t="str">
        <f t="shared" si="0"/>
        <v>LIST_CGT_REQ_RESDOM_006</v>
      </c>
      <c r="B20" s="6" t="s">
        <v>28</v>
      </c>
      <c r="C20" s="6" t="s">
        <v>22</v>
      </c>
      <c r="D20" s="6" t="s">
        <v>471</v>
      </c>
      <c r="E20" s="6" t="s">
        <v>31</v>
      </c>
      <c r="F20" s="6">
        <v>3</v>
      </c>
      <c r="G20" s="6" t="s">
        <v>16</v>
      </c>
      <c r="H20" s="6" t="s">
        <v>17</v>
      </c>
      <c r="I20" s="6" t="s">
        <v>500</v>
      </c>
      <c r="J20" s="6" t="s">
        <v>430</v>
      </c>
      <c r="K20" s="6">
        <v>1</v>
      </c>
      <c r="L20" s="6" t="s">
        <v>473</v>
      </c>
      <c r="M20" s="3" t="str">
        <f>IF(B20="","","LIST"&amp;"_"&amp;IFERROR(VLOOKUP(B20,LOOKUPS!$K$2:$L$9,2,FALSE),"UNK")&amp;"_"&amp;IFERROR(VLOOKUP(C20,LOOKUPS!$N$2:$O$10,2,FALSE),"UNK")&amp;"_"&amp;UPPER(L20))</f>
        <v>LIST_CGT_REQ_RESDOM</v>
      </c>
      <c r="N20" s="3">
        <f>IF(M20="","",COUNTIF($M$2:M20,M20))</f>
        <v>6</v>
      </c>
      <c r="O20" s="6" t="s">
        <v>501</v>
      </c>
      <c r="P20" s="6">
        <v>3</v>
      </c>
      <c r="Q20" s="6" t="s">
        <v>502</v>
      </c>
      <c r="R20" s="6">
        <v>15</v>
      </c>
      <c r="S20" s="3" t="s">
        <v>17</v>
      </c>
      <c r="T20" s="6" t="s">
        <v>503</v>
      </c>
      <c r="U20" s="6">
        <v>20</v>
      </c>
      <c r="V20" s="3" t="s">
        <v>17</v>
      </c>
      <c r="W20" s="6" t="s">
        <v>504</v>
      </c>
      <c r="X20" s="6" t="s">
        <v>505</v>
      </c>
      <c r="Y20" s="6" t="s">
        <v>17</v>
      </c>
      <c r="AF20" s="6" t="s">
        <v>17</v>
      </c>
      <c r="AG20" s="6" t="s">
        <v>506</v>
      </c>
    </row>
    <row r="21" spans="1:33" ht="28.8" x14ac:dyDescent="0.3">
      <c r="A21" s="3" t="str">
        <f t="shared" si="0"/>
        <v>LIST_IHT_REQ_DEEMDOM_001</v>
      </c>
      <c r="B21" s="6" t="s">
        <v>34</v>
      </c>
      <c r="C21" s="6" t="s">
        <v>22</v>
      </c>
      <c r="D21" s="6" t="s">
        <v>608</v>
      </c>
      <c r="E21" s="6" t="s">
        <v>31</v>
      </c>
      <c r="F21" s="6">
        <v>3</v>
      </c>
      <c r="G21" s="6" t="s">
        <v>16</v>
      </c>
      <c r="H21" s="6" t="s">
        <v>17</v>
      </c>
      <c r="I21" s="6" t="s">
        <v>643</v>
      </c>
      <c r="J21" s="6" t="s">
        <v>590</v>
      </c>
      <c r="K21" s="6">
        <v>1</v>
      </c>
      <c r="L21" s="6" t="s">
        <v>591</v>
      </c>
      <c r="M21" s="3" t="str">
        <f>IF(B21="","","LIST"&amp;"_"&amp;IFERROR(VLOOKUP(B21,LOOKUPS!$K$2:$L$9,2,FALSE),"UNK")&amp;"_"&amp;IFERROR(VLOOKUP(C21,LOOKUPS!$N$2:$O$10,2,FALSE),"UNK")&amp;"_"&amp;UPPER(L21))</f>
        <v>LIST_IHT_REQ_DEEMDOM</v>
      </c>
      <c r="N21" s="3">
        <f>IF(M21="","",COUNTIF($M$2:M21,M21))</f>
        <v>1</v>
      </c>
      <c r="O21" s="6" t="s">
        <v>644</v>
      </c>
      <c r="P21" s="6">
        <v>2</v>
      </c>
      <c r="Q21" s="10" t="s">
        <v>645</v>
      </c>
      <c r="R21" s="10" t="s">
        <v>345</v>
      </c>
      <c r="S21" s="3" t="s">
        <v>17</v>
      </c>
      <c r="T21" s="6" t="s">
        <v>646</v>
      </c>
      <c r="U21" s="11" t="s">
        <v>344</v>
      </c>
      <c r="V21" s="3" t="s">
        <v>17</v>
      </c>
      <c r="X21" s="10"/>
      <c r="AA21" s="11"/>
      <c r="AF21" s="6" t="s">
        <v>17</v>
      </c>
      <c r="AG21" s="6" t="s">
        <v>647</v>
      </c>
    </row>
    <row r="22" spans="1:33" ht="28.8" x14ac:dyDescent="0.3">
      <c r="A22" s="3" t="str">
        <f t="shared" si="0"/>
        <v>LIST_IHT_REQ_DEEMDOM_002</v>
      </c>
      <c r="B22" s="6" t="s">
        <v>34</v>
      </c>
      <c r="C22" s="6" t="s">
        <v>22</v>
      </c>
      <c r="D22" s="6" t="s">
        <v>608</v>
      </c>
      <c r="E22" s="6" t="s">
        <v>31</v>
      </c>
      <c r="F22" s="6">
        <v>3</v>
      </c>
      <c r="G22" s="6" t="s">
        <v>16</v>
      </c>
      <c r="H22" s="6" t="s">
        <v>17</v>
      </c>
      <c r="I22" s="6" t="s">
        <v>593</v>
      </c>
      <c r="J22" s="6" t="s">
        <v>590</v>
      </c>
      <c r="K22" s="6">
        <v>1</v>
      </c>
      <c r="L22" s="6" t="s">
        <v>591</v>
      </c>
      <c r="M22" s="3" t="str">
        <f>IF(B22="","","LIST"&amp;"_"&amp;IFERROR(VLOOKUP(B22,LOOKUPS!$K$2:$L$9,2,FALSE),"UNK")&amp;"_"&amp;IFERROR(VLOOKUP(C22,LOOKUPS!$N$2:$O$10,2,FALSE),"UNK")&amp;"_"&amp;UPPER(L22))</f>
        <v>LIST_IHT_REQ_DEEMDOM</v>
      </c>
      <c r="N22" s="3">
        <f>IF(M22="","",COUNTIF($M$2:M22,M22))</f>
        <v>2</v>
      </c>
      <c r="O22" s="6" t="s">
        <v>648</v>
      </c>
      <c r="P22" s="6">
        <v>2</v>
      </c>
      <c r="Q22" s="11" t="s">
        <v>476</v>
      </c>
      <c r="R22" s="6">
        <v>3</v>
      </c>
      <c r="S22" s="3" t="s">
        <v>17</v>
      </c>
      <c r="T22" s="6" t="s">
        <v>649</v>
      </c>
      <c r="U22" s="6" t="s">
        <v>594</v>
      </c>
      <c r="V22" s="3" t="s">
        <v>17</v>
      </c>
      <c r="AF22" s="6" t="s">
        <v>17</v>
      </c>
      <c r="AG22" s="6" t="s">
        <v>650</v>
      </c>
    </row>
    <row r="23" spans="1:33" ht="57.6" x14ac:dyDescent="0.3">
      <c r="A23" s="3" t="str">
        <f t="shared" si="0"/>
        <v>LIST_IHT_REQ_DEEMDOM_003</v>
      </c>
      <c r="B23" s="6" t="s">
        <v>34</v>
      </c>
      <c r="C23" s="6" t="s">
        <v>22</v>
      </c>
      <c r="D23" s="6" t="s">
        <v>608</v>
      </c>
      <c r="E23" s="6" t="s">
        <v>31</v>
      </c>
      <c r="F23" s="6">
        <v>3</v>
      </c>
      <c r="G23" s="6" t="s">
        <v>16</v>
      </c>
      <c r="H23" s="6" t="s">
        <v>17</v>
      </c>
      <c r="I23" s="6" t="s">
        <v>596</v>
      </c>
      <c r="J23" s="6" t="s">
        <v>590</v>
      </c>
      <c r="K23" s="6">
        <v>1</v>
      </c>
      <c r="L23" s="6" t="s">
        <v>591</v>
      </c>
      <c r="M23" s="3" t="str">
        <f>IF(B23="","","LIST"&amp;"_"&amp;IFERROR(VLOOKUP(B23,LOOKUPS!$K$2:$L$9,2,FALSE),"UNK")&amp;"_"&amp;IFERROR(VLOOKUP(C23,LOOKUPS!$N$2:$O$10,2,FALSE),"UNK")&amp;"_"&amp;UPPER(L23))</f>
        <v>LIST_IHT_REQ_DEEMDOM</v>
      </c>
      <c r="N23" s="3">
        <f>IF(M23="","",COUNTIF($M$2:M23,M23))</f>
        <v>3</v>
      </c>
      <c r="O23" s="6" t="s">
        <v>651</v>
      </c>
      <c r="P23" s="6">
        <v>4</v>
      </c>
      <c r="Q23" s="11" t="s">
        <v>652</v>
      </c>
      <c r="R23" s="6" t="s">
        <v>381</v>
      </c>
      <c r="S23" s="3" t="s">
        <v>17</v>
      </c>
      <c r="T23" s="6" t="s">
        <v>494</v>
      </c>
      <c r="U23" s="6" t="s">
        <v>495</v>
      </c>
      <c r="V23" s="3" t="s">
        <v>17</v>
      </c>
      <c r="W23" s="6" t="s">
        <v>653</v>
      </c>
      <c r="X23" s="6">
        <v>1</v>
      </c>
      <c r="Y23" s="6" t="s">
        <v>17</v>
      </c>
      <c r="Z23" s="6" t="s">
        <v>476</v>
      </c>
      <c r="AA23" s="6">
        <v>2</v>
      </c>
      <c r="AB23" s="6" t="s">
        <v>17</v>
      </c>
      <c r="AF23" s="6" t="s">
        <v>17</v>
      </c>
      <c r="AG23" s="6" t="s">
        <v>654</v>
      </c>
    </row>
    <row r="24" spans="1:33" ht="57.6" x14ac:dyDescent="0.3">
      <c r="A24" s="3" t="str">
        <f t="shared" si="0"/>
        <v>LIST_IHT_REQ_DEEMDOM_004</v>
      </c>
      <c r="B24" s="6" t="s">
        <v>34</v>
      </c>
      <c r="C24" s="6" t="s">
        <v>22</v>
      </c>
      <c r="D24" s="6" t="s">
        <v>608</v>
      </c>
      <c r="E24" s="6" t="s">
        <v>31</v>
      </c>
      <c r="F24" s="6">
        <v>3</v>
      </c>
      <c r="G24" s="6" t="s">
        <v>16</v>
      </c>
      <c r="H24" s="6" t="s">
        <v>17</v>
      </c>
      <c r="I24" s="6" t="s">
        <v>655</v>
      </c>
      <c r="J24" s="6" t="s">
        <v>590</v>
      </c>
      <c r="K24" s="6">
        <v>1</v>
      </c>
      <c r="L24" s="6" t="s">
        <v>591</v>
      </c>
      <c r="M24" s="3" t="str">
        <f>IF(B24="","","LIST"&amp;"_"&amp;IFERROR(VLOOKUP(B24,LOOKUPS!$K$2:$L$9,2,FALSE),"UNK")&amp;"_"&amp;IFERROR(VLOOKUP(C24,LOOKUPS!$N$2:$O$10,2,FALSE),"UNK")&amp;"_"&amp;UPPER(L24))</f>
        <v>LIST_IHT_REQ_DEEMDOM</v>
      </c>
      <c r="N24" s="3">
        <f>IF(M24="","",COUNTIF($M$2:M24,M24))</f>
        <v>4</v>
      </c>
      <c r="O24" s="6" t="s">
        <v>656</v>
      </c>
      <c r="P24" s="6">
        <v>4</v>
      </c>
      <c r="Q24" s="6" t="s">
        <v>657</v>
      </c>
      <c r="R24" s="6">
        <v>15</v>
      </c>
      <c r="S24" s="3" t="s">
        <v>17</v>
      </c>
      <c r="T24" s="6" t="s">
        <v>658</v>
      </c>
      <c r="U24" s="6">
        <v>20</v>
      </c>
      <c r="V24" s="3" t="s">
        <v>17</v>
      </c>
      <c r="W24" s="6" t="s">
        <v>653</v>
      </c>
      <c r="X24" s="6">
        <v>1</v>
      </c>
      <c r="Y24" s="6" t="s">
        <v>17</v>
      </c>
      <c r="Z24" s="6" t="s">
        <v>476</v>
      </c>
      <c r="AA24" s="6">
        <v>4</v>
      </c>
      <c r="AB24" s="6" t="s">
        <v>17</v>
      </c>
      <c r="AF24" s="6" t="s">
        <v>17</v>
      </c>
      <c r="AG24" s="6" t="s">
        <v>659</v>
      </c>
    </row>
    <row r="25" spans="1:33" ht="43.2" x14ac:dyDescent="0.3">
      <c r="A25" s="3" t="str">
        <f t="shared" si="0"/>
        <v>LIST_IHT_REQ_DEEMDOM_005</v>
      </c>
      <c r="B25" s="6" t="s">
        <v>34</v>
      </c>
      <c r="C25" s="6" t="s">
        <v>22</v>
      </c>
      <c r="D25" s="6" t="s">
        <v>608</v>
      </c>
      <c r="E25" s="6" t="s">
        <v>31</v>
      </c>
      <c r="F25" s="6">
        <v>3</v>
      </c>
      <c r="G25" s="6" t="s">
        <v>16</v>
      </c>
      <c r="H25" s="6" t="s">
        <v>17</v>
      </c>
      <c r="I25" s="6" t="s">
        <v>660</v>
      </c>
      <c r="J25" s="6" t="s">
        <v>590</v>
      </c>
      <c r="K25" s="6">
        <v>1</v>
      </c>
      <c r="L25" s="6" t="s">
        <v>591</v>
      </c>
      <c r="M25" s="3" t="str">
        <f>IF(B25="","","LIST"&amp;"_"&amp;IFERROR(VLOOKUP(B25,LOOKUPS!$K$2:$L$9,2,FALSE),"UNK")&amp;"_"&amp;IFERROR(VLOOKUP(C25,LOOKUPS!$N$2:$O$10,2,FALSE),"UNK")&amp;"_"&amp;UPPER(L25))</f>
        <v>LIST_IHT_REQ_DEEMDOM</v>
      </c>
      <c r="N25" s="3">
        <f>IF(M25="","",COUNTIF($M$2:M25,M25))</f>
        <v>5</v>
      </c>
      <c r="O25" s="6" t="s">
        <v>661</v>
      </c>
      <c r="P25" s="6">
        <v>5</v>
      </c>
      <c r="Q25" s="11" t="s">
        <v>662</v>
      </c>
      <c r="R25" s="6">
        <v>3</v>
      </c>
      <c r="S25" s="3" t="s">
        <v>17</v>
      </c>
      <c r="T25" s="6" t="s">
        <v>663</v>
      </c>
      <c r="U25" s="6">
        <v>15</v>
      </c>
      <c r="V25" s="3" t="s">
        <v>17</v>
      </c>
      <c r="W25" s="6" t="s">
        <v>658</v>
      </c>
      <c r="X25" s="6">
        <v>20</v>
      </c>
      <c r="Y25" s="6" t="s">
        <v>17</v>
      </c>
      <c r="Z25" s="6" t="s">
        <v>653</v>
      </c>
      <c r="AA25" s="6">
        <v>1</v>
      </c>
      <c r="AB25" s="6" t="s">
        <v>17</v>
      </c>
      <c r="AC25" s="6" t="s">
        <v>664</v>
      </c>
      <c r="AD25" s="6">
        <v>4</v>
      </c>
      <c r="AE25" s="6" t="s">
        <v>17</v>
      </c>
      <c r="AF25" s="6" t="s">
        <v>17</v>
      </c>
      <c r="AG25" s="6" t="s">
        <v>665</v>
      </c>
    </row>
    <row r="26" spans="1:33" ht="28.8" x14ac:dyDescent="0.3">
      <c r="A26" s="3" t="str">
        <f t="shared" si="0"/>
        <v>LIST_IHT_REQ_DEEMDOM_006</v>
      </c>
      <c r="B26" s="6" t="s">
        <v>34</v>
      </c>
      <c r="C26" s="6" t="s">
        <v>22</v>
      </c>
      <c r="D26" s="6" t="s">
        <v>608</v>
      </c>
      <c r="E26" s="6" t="s">
        <v>31</v>
      </c>
      <c r="F26" s="6">
        <v>3</v>
      </c>
      <c r="G26" s="6" t="s">
        <v>16</v>
      </c>
      <c r="H26" s="6" t="s">
        <v>17</v>
      </c>
      <c r="I26" s="6" t="s">
        <v>606</v>
      </c>
      <c r="J26" s="6" t="s">
        <v>590</v>
      </c>
      <c r="K26" s="6">
        <v>1</v>
      </c>
      <c r="L26" s="6" t="s">
        <v>591</v>
      </c>
      <c r="M26" s="3" t="str">
        <f>IF(B26="","","LIST"&amp;"_"&amp;IFERROR(VLOOKUP(B26,LOOKUPS!$K$2:$L$9,2,FALSE),"UNK")&amp;"_"&amp;IFERROR(VLOOKUP(C26,LOOKUPS!$N$2:$O$10,2,FALSE),"UNK")&amp;"_"&amp;UPPER(L26))</f>
        <v>LIST_IHT_REQ_DEEMDOM</v>
      </c>
      <c r="N26" s="3">
        <f>IF(M26="","",COUNTIF($M$2:M26,M26))</f>
        <v>6</v>
      </c>
      <c r="O26" s="6" t="s">
        <v>666</v>
      </c>
      <c r="P26" s="6">
        <v>2</v>
      </c>
      <c r="Q26" s="6" t="s">
        <v>667</v>
      </c>
      <c r="R26" s="6" t="s">
        <v>595</v>
      </c>
      <c r="S26" s="3" t="s">
        <v>17</v>
      </c>
      <c r="T26" s="6" t="s">
        <v>668</v>
      </c>
      <c r="U26" s="6" t="s">
        <v>607</v>
      </c>
      <c r="V26" s="3" t="s">
        <v>17</v>
      </c>
      <c r="AF26" s="6" t="s">
        <v>17</v>
      </c>
      <c r="AG26" s="6" t="s">
        <v>669</v>
      </c>
    </row>
    <row r="27" spans="1:33" ht="57.6" x14ac:dyDescent="0.3">
      <c r="A27" s="3" t="str">
        <f t="shared" si="0"/>
        <v>LIST_IHT_CALC_DTR_001</v>
      </c>
      <c r="B27" s="3" t="s">
        <v>34</v>
      </c>
      <c r="C27" s="3" t="s">
        <v>40</v>
      </c>
      <c r="D27" s="3" t="s">
        <v>851</v>
      </c>
      <c r="E27" s="3" t="s">
        <v>31</v>
      </c>
      <c r="F27" s="3">
        <v>3</v>
      </c>
      <c r="G27" s="3" t="s">
        <v>16</v>
      </c>
      <c r="H27" s="3" t="s">
        <v>17</v>
      </c>
      <c r="I27" s="3" t="s">
        <v>852</v>
      </c>
      <c r="J27" s="3" t="s">
        <v>124</v>
      </c>
      <c r="K27" s="3">
        <v>1</v>
      </c>
      <c r="L27" s="3" t="s">
        <v>853</v>
      </c>
      <c r="M27" s="3" t="str">
        <f>IF(B27="","","LIST"&amp;"_"&amp;IFERROR(VLOOKUP(B27,LOOKUPS!$K$2:$L$9,2,FALSE),"UNK")&amp;"_"&amp;IFERROR(VLOOKUP(C27,LOOKUPS!$N$2:$O$10,2,FALSE),"UNK")&amp;"_"&amp;UPPER(L27))</f>
        <v>LIST_IHT_CALC_DTR</v>
      </c>
      <c r="N27" s="3">
        <f>IF(M27="","",COUNTIF($M$2:M27,M27))</f>
        <v>1</v>
      </c>
      <c r="O27" s="3" t="s">
        <v>842</v>
      </c>
      <c r="P27" s="3">
        <v>4</v>
      </c>
      <c r="Q27" s="3" t="s">
        <v>843</v>
      </c>
      <c r="R27" s="3" t="s">
        <v>854</v>
      </c>
      <c r="S27" s="3" t="s">
        <v>17</v>
      </c>
      <c r="T27" s="3" t="s">
        <v>844</v>
      </c>
      <c r="U27" s="3" t="s">
        <v>845</v>
      </c>
      <c r="V27" s="3" t="s">
        <v>17</v>
      </c>
      <c r="W27" s="3" t="s">
        <v>846</v>
      </c>
      <c r="X27" s="3" t="s">
        <v>847</v>
      </c>
      <c r="Y27" s="3" t="s">
        <v>17</v>
      </c>
      <c r="Z27" s="3" t="s">
        <v>848</v>
      </c>
      <c r="AA27" s="3" t="s">
        <v>849</v>
      </c>
      <c r="AB27" s="3" t="s">
        <v>17</v>
      </c>
      <c r="AC27" s="3"/>
      <c r="AD27" s="3"/>
      <c r="AE27" s="3"/>
      <c r="AF27" s="3" t="s">
        <v>17</v>
      </c>
      <c r="AG27" s="3" t="s">
        <v>850</v>
      </c>
    </row>
    <row r="28" spans="1:33" ht="115.2" x14ac:dyDescent="0.3">
      <c r="A28" s="3" t="str">
        <f t="shared" ref="A28" si="1">IF(M28="","",M28&amp;"_"&amp;TEXT(N28,"000"))</f>
        <v>LIST_IHT_CALC_GIFTRESBEN_001</v>
      </c>
      <c r="B28" s="3" t="s">
        <v>34</v>
      </c>
      <c r="C28" s="3" t="s">
        <v>40</v>
      </c>
      <c r="D28" s="3" t="s">
        <v>855</v>
      </c>
      <c r="E28" s="3" t="s">
        <v>31</v>
      </c>
      <c r="F28" s="3">
        <v>3</v>
      </c>
      <c r="G28" s="3" t="s">
        <v>16</v>
      </c>
      <c r="H28" s="3" t="s">
        <v>17</v>
      </c>
      <c r="I28" s="3" t="s">
        <v>856</v>
      </c>
      <c r="J28" s="3" t="s">
        <v>124</v>
      </c>
      <c r="K28" s="3">
        <v>1</v>
      </c>
      <c r="L28" s="3" t="s">
        <v>857</v>
      </c>
      <c r="M28" s="3" t="str">
        <f>IF(B28="","","LIST"&amp;"_"&amp;IFERROR(VLOOKUP(B28,LOOKUPS!$K$2:$L$9,2,FALSE),"UNK")&amp;"_"&amp;IFERROR(VLOOKUP(C28,LOOKUPS!$N$2:$O$10,2,FALSE),"UNK")&amp;"_"&amp;UPPER(L28))</f>
        <v>LIST_IHT_CALC_GIFTRESBEN</v>
      </c>
      <c r="N28" s="3">
        <f>IF(M28="","",COUNTIF($M$2:M28,M28))</f>
        <v>1</v>
      </c>
      <c r="O28" s="3" t="s">
        <v>859</v>
      </c>
      <c r="P28" s="3">
        <v>4</v>
      </c>
      <c r="Q28" s="3" t="s">
        <v>858</v>
      </c>
      <c r="R28" s="3" t="s">
        <v>860</v>
      </c>
      <c r="S28" s="3" t="s">
        <v>17</v>
      </c>
      <c r="T28" s="3" t="s">
        <v>861</v>
      </c>
      <c r="U28" s="3" t="s">
        <v>862</v>
      </c>
      <c r="V28" s="3" t="s">
        <v>17</v>
      </c>
      <c r="W28" s="3" t="s">
        <v>863</v>
      </c>
      <c r="X28" s="3" t="s">
        <v>864</v>
      </c>
      <c r="Y28" s="3" t="s">
        <v>17</v>
      </c>
      <c r="Z28" s="3" t="s">
        <v>865</v>
      </c>
      <c r="AA28" s="3" t="s">
        <v>866</v>
      </c>
      <c r="AB28" s="3" t="s">
        <v>17</v>
      </c>
      <c r="AC28" s="3"/>
      <c r="AD28" s="3"/>
      <c r="AE28" s="3"/>
      <c r="AF28" s="3" t="s">
        <v>17</v>
      </c>
      <c r="AG28" s="3" t="s">
        <v>867</v>
      </c>
    </row>
    <row r="29" spans="1:33" x14ac:dyDescent="0.3">
      <c r="A29" s="3" t="str">
        <f t="shared" si="0"/>
        <v>LIST_ITNIC_CALC_LEASES_001</v>
      </c>
      <c r="B29" s="3" t="s">
        <v>21</v>
      </c>
      <c r="C29" s="3" t="s">
        <v>40</v>
      </c>
      <c r="D29" s="3" t="s">
        <v>954</v>
      </c>
      <c r="E29" s="3" t="s">
        <v>31</v>
      </c>
      <c r="F29" s="3">
        <v>3</v>
      </c>
      <c r="G29" s="3" t="s">
        <v>16</v>
      </c>
      <c r="H29" s="3" t="s">
        <v>17</v>
      </c>
      <c r="I29" s="3" t="s">
        <v>963</v>
      </c>
      <c r="J29" s="3" t="s">
        <v>124</v>
      </c>
      <c r="K29" s="3">
        <v>1</v>
      </c>
      <c r="L29" s="3" t="s">
        <v>964</v>
      </c>
      <c r="M29" s="3" t="str">
        <f>IF(B29="","","LIST"&amp;"_"&amp;IFERROR(VLOOKUP(B29,LOOKUPS!$K$2:$L$9,2,FALSE),"UNK")&amp;"_"&amp;IFERROR(VLOOKUP(C29,LOOKUPS!$N$2:$O$10,2,FALSE),"UNK")&amp;"_"&amp;UPPER(L29))</f>
        <v>LIST_ITNIC_CALC_LEASES</v>
      </c>
      <c r="N29" s="3">
        <f>IF(M29="","",COUNTIF($M$2:M29,M29))</f>
        <v>1</v>
      </c>
      <c r="O29" t="s">
        <v>958</v>
      </c>
      <c r="P29" s="12">
        <v>3</v>
      </c>
      <c r="Q29" t="s">
        <v>965</v>
      </c>
      <c r="R29" t="s">
        <v>959</v>
      </c>
      <c r="S29" t="s">
        <v>17</v>
      </c>
      <c r="T29" t="s">
        <v>965</v>
      </c>
      <c r="U29" t="s">
        <v>962</v>
      </c>
      <c r="V29" t="s">
        <v>17</v>
      </c>
      <c r="W29" t="s">
        <v>960</v>
      </c>
      <c r="X29" t="s">
        <v>961</v>
      </c>
      <c r="Y29" t="s">
        <v>17</v>
      </c>
      <c r="Z29"/>
      <c r="AA29"/>
      <c r="AB29"/>
      <c r="AC29"/>
      <c r="AD29"/>
      <c r="AE29"/>
      <c r="AF29"/>
      <c r="AG29" t="s">
        <v>955</v>
      </c>
    </row>
    <row r="30" spans="1:33" ht="28.8" x14ac:dyDescent="0.3">
      <c r="A30" s="3" t="str">
        <f t="shared" si="0"/>
        <v>LIST_ITNIC_CALC_LEASES_002</v>
      </c>
      <c r="B30" s="3" t="s">
        <v>21</v>
      </c>
      <c r="C30" s="3" t="s">
        <v>40</v>
      </c>
      <c r="D30" s="3" t="s">
        <v>954</v>
      </c>
      <c r="E30" s="3" t="s">
        <v>31</v>
      </c>
      <c r="F30" s="3">
        <v>3</v>
      </c>
      <c r="G30" s="3" t="s">
        <v>16</v>
      </c>
      <c r="H30" s="3" t="s">
        <v>17</v>
      </c>
      <c r="I30" s="3" t="s">
        <v>963</v>
      </c>
      <c r="J30" s="3" t="s">
        <v>124</v>
      </c>
      <c r="K30" s="3">
        <v>1</v>
      </c>
      <c r="L30" s="3" t="s">
        <v>964</v>
      </c>
      <c r="M30" s="3" t="str">
        <f>IF(B30="","","LIST"&amp;"_"&amp;IFERROR(VLOOKUP(B30,LOOKUPS!$K$2:$L$9,2,FALSE),"UNK")&amp;"_"&amp;IFERROR(VLOOKUP(C30,LOOKUPS!$N$2:$O$10,2,FALSE),"UNK")&amp;"_"&amp;UPPER(L30))</f>
        <v>LIST_ITNIC_CALC_LEASES</v>
      </c>
      <c r="N30" s="3">
        <f>IF(M30="","",COUNTIF($M$2:M30,M30))</f>
        <v>2</v>
      </c>
      <c r="O30" t="s">
        <v>967</v>
      </c>
      <c r="P30" s="13">
        <v>2</v>
      </c>
      <c r="Q30" s="13" t="s">
        <v>966</v>
      </c>
      <c r="R30" s="14">
        <v>0.02</v>
      </c>
      <c r="S30" s="13" t="s">
        <v>17</v>
      </c>
      <c r="T30" s="13" t="s">
        <v>968</v>
      </c>
      <c r="U30" s="13" t="s">
        <v>969</v>
      </c>
      <c r="V30" s="13" t="s">
        <v>17</v>
      </c>
      <c r="W30" s="13"/>
      <c r="X30" s="13"/>
      <c r="Y30" s="13"/>
      <c r="Z30" s="13"/>
      <c r="AA30" s="13"/>
      <c r="AB30" s="13"/>
      <c r="AC30" s="13"/>
      <c r="AD30" s="13"/>
      <c r="AE30" s="13"/>
      <c r="AF30" s="13"/>
      <c r="AG30" t="s">
        <v>956</v>
      </c>
    </row>
    <row r="31" spans="1:33" ht="72" x14ac:dyDescent="0.3">
      <c r="A31" s="3" t="str">
        <f t="shared" si="0"/>
        <v>LIST_ITNIC_DEF_BADGES_001</v>
      </c>
      <c r="B31" s="6" t="s">
        <v>21</v>
      </c>
      <c r="C31" s="6" t="s">
        <v>15</v>
      </c>
      <c r="D31" s="6" t="s">
        <v>970</v>
      </c>
      <c r="E31" s="6" t="s">
        <v>31</v>
      </c>
      <c r="F31" s="6">
        <v>3</v>
      </c>
      <c r="G31" s="6" t="s">
        <v>16</v>
      </c>
      <c r="H31" s="6" t="s">
        <v>17</v>
      </c>
      <c r="I31" s="6" t="s">
        <v>1012</v>
      </c>
      <c r="J31" s="6" t="s">
        <v>870</v>
      </c>
      <c r="K31" s="6">
        <v>1</v>
      </c>
      <c r="L31" s="6" t="s">
        <v>972</v>
      </c>
      <c r="M31" s="3" t="str">
        <f>IF(B31="","","LIST"&amp;"_"&amp;IFERROR(VLOOKUP(B31,LOOKUPS!$K$2:$L$9,2,FALSE),"UNK")&amp;"_"&amp;IFERROR(VLOOKUP(C31,LOOKUPS!$N$2:$O$10,2,FALSE),"UNK")&amp;"_"&amp;UPPER(L31))</f>
        <v>LIST_ITNIC_DEF_BADGES</v>
      </c>
      <c r="N31" s="3">
        <f>IF(M31="","",COUNTIF($M$2:M31,M31))</f>
        <v>1</v>
      </c>
      <c r="O31" s="6" t="s">
        <v>1013</v>
      </c>
      <c r="P31" s="6">
        <v>4</v>
      </c>
      <c r="Q31" s="6" t="s">
        <v>1027</v>
      </c>
      <c r="R31" s="6" t="s">
        <v>1014</v>
      </c>
      <c r="S31" s="6" t="s">
        <v>17</v>
      </c>
      <c r="T31" s="6" t="s">
        <v>1025</v>
      </c>
      <c r="U31" s="6" t="s">
        <v>1015</v>
      </c>
      <c r="V31" s="6" t="s">
        <v>17</v>
      </c>
      <c r="W31" s="6" t="s">
        <v>1026</v>
      </c>
      <c r="X31" s="6" t="s">
        <v>1016</v>
      </c>
      <c r="Y31" s="6" t="s">
        <v>17</v>
      </c>
      <c r="Z31" s="6" t="s">
        <v>1028</v>
      </c>
      <c r="AA31" s="6" t="s">
        <v>1017</v>
      </c>
      <c r="AB31" s="6" t="s">
        <v>17</v>
      </c>
      <c r="AF31" s="6" t="s">
        <v>17</v>
      </c>
      <c r="AG31" s="6" t="s">
        <v>1018</v>
      </c>
    </row>
    <row r="32" spans="1:33" ht="57.6" x14ac:dyDescent="0.3">
      <c r="A32" s="3" t="str">
        <f t="shared" si="0"/>
        <v>LIST_ITNIC_DEF_BADGES_002</v>
      </c>
      <c r="B32" s="6" t="s">
        <v>21</v>
      </c>
      <c r="C32" s="6" t="s">
        <v>15</v>
      </c>
      <c r="D32" s="6" t="s">
        <v>970</v>
      </c>
      <c r="E32" s="6" t="s">
        <v>31</v>
      </c>
      <c r="F32" s="6">
        <v>3</v>
      </c>
      <c r="G32" s="6" t="s">
        <v>16</v>
      </c>
      <c r="H32" s="6" t="s">
        <v>17</v>
      </c>
      <c r="I32" s="6" t="s">
        <v>1012</v>
      </c>
      <c r="J32" s="6" t="s">
        <v>870</v>
      </c>
      <c r="K32" s="6">
        <v>1</v>
      </c>
      <c r="L32" s="6" t="s">
        <v>972</v>
      </c>
      <c r="M32" s="3" t="str">
        <f>IF(B32="","","LIST"&amp;"_"&amp;IFERROR(VLOOKUP(B32,LOOKUPS!$K$2:$L$9,2,FALSE),"UNK")&amp;"_"&amp;IFERROR(VLOOKUP(C32,LOOKUPS!$N$2:$O$10,2,FALSE),"UNK")&amp;"_"&amp;UPPER(L32))</f>
        <v>LIST_ITNIC_DEF_BADGES</v>
      </c>
      <c r="N32" s="3">
        <f>IF(M32="","",COUNTIF($M$2:M32,M32))</f>
        <v>2</v>
      </c>
      <c r="O32" s="11" t="s">
        <v>1020</v>
      </c>
      <c r="P32" s="6">
        <v>3</v>
      </c>
      <c r="Q32" s="6" t="s">
        <v>1029</v>
      </c>
      <c r="R32" s="6" t="s">
        <v>1021</v>
      </c>
      <c r="S32" s="6" t="s">
        <v>17</v>
      </c>
      <c r="T32" s="6" t="s">
        <v>1030</v>
      </c>
      <c r="U32" s="6" t="s">
        <v>1022</v>
      </c>
      <c r="V32" s="6" t="s">
        <v>17</v>
      </c>
      <c r="W32" s="6" t="s">
        <v>1031</v>
      </c>
      <c r="X32" s="6" t="s">
        <v>1023</v>
      </c>
      <c r="Y32" s="6" t="s">
        <v>17</v>
      </c>
      <c r="AF32" s="6" t="s">
        <v>17</v>
      </c>
      <c r="AG32" s="6" t="s">
        <v>1024</v>
      </c>
    </row>
    <row r="33" spans="1:33" ht="28.8" x14ac:dyDescent="0.3">
      <c r="A33" s="3" t="str">
        <f t="shared" si="0"/>
        <v/>
      </c>
      <c r="B33" s="3"/>
      <c r="C33" s="3"/>
      <c r="D33" s="3"/>
      <c r="E33" s="3"/>
      <c r="F33" s="3"/>
      <c r="G33" s="3"/>
      <c r="H33" s="3"/>
      <c r="I33" s="3"/>
      <c r="J33" s="3"/>
      <c r="K33" s="3"/>
      <c r="L33" s="3"/>
      <c r="M33" s="3" t="str">
        <f>IF(B33="","","LIST"&amp;"_"&amp;IFERROR(VLOOKUP(B33,LOOKUPS!$K$2:$L$9,2,FALSE),"UNK")&amp;"_"&amp;IFERROR(VLOOKUP(C33,LOOKUPS!$N$2:$O$10,2,FALSE),"UNK")&amp;"_"&amp;UPPER(L33))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ht="28.8" x14ac:dyDescent="0.3">
      <c r="A34" s="3" t="str">
        <f t="shared" si="0"/>
        <v/>
      </c>
      <c r="B34" s="3"/>
      <c r="C34" s="3"/>
      <c r="D34" s="3"/>
      <c r="E34" s="3"/>
      <c r="F34" s="3"/>
      <c r="G34" s="3"/>
      <c r="H34" s="3"/>
      <c r="I34" s="3"/>
      <c r="J34" s="3"/>
      <c r="K34" s="3"/>
      <c r="L34" s="3"/>
      <c r="M34" s="3" t="str">
        <f>IF(B34="","","LIST"&amp;"_"&amp;IFERROR(VLOOKUP(B34,LOOKUPS!$K$2:$L$9,2,FALSE),"UNK")&amp;"_"&amp;IFERROR(VLOOKUP(C34,LOOKUPS!$N$2:$O$10,2,FALSE),"UNK")&amp;"_"&amp;UPPER(L34))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ht="28.8" x14ac:dyDescent="0.3">
      <c r="A35" s="3" t="str">
        <f t="shared" si="0"/>
        <v/>
      </c>
      <c r="B35" s="3"/>
      <c r="C35" s="3"/>
      <c r="D35" s="3"/>
      <c r="E35" s="3"/>
      <c r="F35" s="3"/>
      <c r="G35" s="3"/>
      <c r="H35" s="3"/>
      <c r="I35" s="3"/>
      <c r="J35" s="3"/>
      <c r="K35" s="3"/>
      <c r="L35" s="3"/>
      <c r="M35" s="3" t="str">
        <f>IF(B35="","","LIST"&amp;"_"&amp;IFERROR(VLOOKUP(B35,LOOKUPS!$K$2:$L$9,2,FALSE),"UNK")&amp;"_"&amp;IFERROR(VLOOKUP(C35,LOOKUPS!$N$2:$O$10,2,FALSE),"UNK")&amp;"_"&amp;UPPER(L35))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ht="28.8" x14ac:dyDescent="0.3">
      <c r="A36" s="3" t="str">
        <f t="shared" si="0"/>
        <v/>
      </c>
      <c r="B36" s="3"/>
      <c r="C36" s="3"/>
      <c r="D36" s="3"/>
      <c r="E36" s="3"/>
      <c r="F36" s="3"/>
      <c r="G36" s="3"/>
      <c r="H36" s="3"/>
      <c r="I36" s="3"/>
      <c r="J36" s="3"/>
      <c r="K36" s="3"/>
      <c r="L36" s="3"/>
      <c r="M36" s="3" t="str">
        <f>IF(B36="","","LIST"&amp;"_"&amp;IFERROR(VLOOKUP(B36,LOOKUPS!$K$2:$L$9,2,FALSE),"UNK")&amp;"_"&amp;IFERROR(VLOOKUP(C36,LOOKUPS!$N$2:$O$10,2,FALSE),"UNK")&amp;"_"&amp;UPPER(L36))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ht="28.8" x14ac:dyDescent="0.3">
      <c r="A37" s="3" t="str">
        <f t="shared" si="0"/>
        <v/>
      </c>
      <c r="B37" s="3"/>
      <c r="C37" s="3"/>
      <c r="D37" s="3"/>
      <c r="E37" s="3"/>
      <c r="F37" s="3"/>
      <c r="G37" s="3"/>
      <c r="H37" s="3"/>
      <c r="I37" s="3"/>
      <c r="J37" s="3"/>
      <c r="K37" s="3"/>
      <c r="L37" s="3"/>
      <c r="M37" s="3" t="str">
        <f>IF(B37="","","LIST"&amp;"_"&amp;IFERROR(VLOOKUP(B37,LOOKUPS!$K$2:$L$9,2,FALSE),"UNK")&amp;"_"&amp;IFERROR(VLOOKUP(C37,LOOKUPS!$N$2:$O$10,2,FALSE),"UNK")&amp;"_"&amp;UPPER(L37))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ht="28.8" x14ac:dyDescent="0.3">
      <c r="A38" s="3" t="str">
        <f t="shared" si="0"/>
        <v/>
      </c>
      <c r="B38" s="3"/>
      <c r="C38" s="3"/>
      <c r="D38" s="3"/>
      <c r="E38" s="3"/>
      <c r="F38" s="3"/>
      <c r="G38" s="3"/>
      <c r="H38" s="3"/>
      <c r="I38" s="3"/>
      <c r="J38" s="3"/>
      <c r="K38" s="3"/>
      <c r="L38" s="3"/>
      <c r="M38" s="3" t="str">
        <f>IF(B38="","","LIST"&amp;"_"&amp;IFERROR(VLOOKUP(B38,LOOKUPS!$K$2:$L$9,2,FALSE),"UNK")&amp;"_"&amp;IFERROR(VLOOKUP(C38,LOOKUPS!$N$2:$O$10,2,FALSE),"UNK")&amp;"_"&amp;UPPER(L38))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ht="28.8" x14ac:dyDescent="0.3">
      <c r="A39" s="3" t="str">
        <f t="shared" si="0"/>
        <v/>
      </c>
      <c r="B39" s="3"/>
      <c r="C39" s="3"/>
      <c r="D39" s="3"/>
      <c r="E39" s="3"/>
      <c r="F39" s="3"/>
      <c r="G39" s="3"/>
      <c r="H39" s="3"/>
      <c r="I39" s="3"/>
      <c r="J39" s="3"/>
      <c r="K39" s="3"/>
      <c r="L39" s="3"/>
      <c r="M39" s="3" t="str">
        <f>IF(B39="","","LIST"&amp;"_"&amp;IFERROR(VLOOKUP(B39,LOOKUPS!$K$2:$L$9,2,FALSE),"UNK")&amp;"_"&amp;IFERROR(VLOOKUP(C39,LOOKUPS!$N$2:$O$10,2,FALSE),"UNK")&amp;"_"&amp;UPPER(L39))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ht="28.8" x14ac:dyDescent="0.3">
      <c r="A40" s="3" t="str">
        <f t="shared" si="0"/>
        <v/>
      </c>
      <c r="B40" s="3"/>
      <c r="C40" s="3"/>
      <c r="D40" s="3"/>
      <c r="E40" s="3"/>
      <c r="F40" s="3"/>
      <c r="G40" s="3"/>
      <c r="H40" s="3"/>
      <c r="I40" s="3"/>
      <c r="J40" s="3"/>
      <c r="K40" s="3"/>
      <c r="L40" s="3"/>
      <c r="M40" s="3" t="str">
        <f>IF(B40="","","LIST"&amp;"_"&amp;IFERROR(VLOOKUP(B40,LOOKUPS!$K$2:$L$9,2,FALSE),"UNK")&amp;"_"&amp;IFERROR(VLOOKUP(C40,LOOKUPS!$N$2:$O$10,2,FALSE),"UNK")&amp;"_"&amp;UPPER(L40))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ht="28.8" x14ac:dyDescent="0.3">
      <c r="A41" s="3" t="str">
        <f t="shared" si="0"/>
        <v/>
      </c>
      <c r="B41" s="3"/>
      <c r="C41" s="3"/>
      <c r="D41" s="3"/>
      <c r="E41" s="3"/>
      <c r="F41" s="3"/>
      <c r="G41" s="3"/>
      <c r="H41" s="3"/>
      <c r="I41" s="3"/>
      <c r="J41" s="3"/>
      <c r="K41" s="3"/>
      <c r="L41" s="3"/>
      <c r="M41" s="3" t="str">
        <f>IF(B41="","","LIST"&amp;"_"&amp;IFERROR(VLOOKUP(B41,LOOKUPS!$K$2:$L$9,2,FALSE),"UNK")&amp;"_"&amp;IFERROR(VLOOKUP(C41,LOOKUPS!$N$2:$O$10,2,FALSE),"UNK")&amp;"_"&amp;UPPER(L41))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ht="28.8" x14ac:dyDescent="0.3">
      <c r="A42" s="3" t="str">
        <f t="shared" si="0"/>
        <v/>
      </c>
      <c r="B42" s="3"/>
      <c r="C42" s="3"/>
      <c r="D42" s="3"/>
      <c r="E42" s="3"/>
      <c r="F42" s="3"/>
      <c r="G42" s="3"/>
      <c r="H42" s="3"/>
      <c r="I42" s="3"/>
      <c r="J42" s="3"/>
      <c r="K42" s="3"/>
      <c r="L42" s="3"/>
      <c r="M42" s="3" t="str">
        <f>IF(B42="","","LIST"&amp;"_"&amp;IFERROR(VLOOKUP(B42,LOOKUPS!$K$2:$L$9,2,FALSE),"UNK")&amp;"_"&amp;IFERROR(VLOOKUP(C42,LOOKUPS!$N$2:$O$10,2,FALSE),"UNK")&amp;"_"&amp;UPPER(L42))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ht="28.8" x14ac:dyDescent="0.3">
      <c r="A43" s="3" t="str">
        <f t="shared" si="0"/>
        <v/>
      </c>
      <c r="B43" s="3"/>
      <c r="C43" s="3"/>
      <c r="D43" s="3"/>
      <c r="E43" s="3"/>
      <c r="F43" s="3"/>
      <c r="G43" s="3"/>
      <c r="H43" s="3"/>
      <c r="I43" s="3"/>
      <c r="J43" s="3"/>
      <c r="K43" s="3"/>
      <c r="L43" s="3"/>
      <c r="M43" s="3" t="str">
        <f>IF(B43="","","LIST"&amp;"_"&amp;IFERROR(VLOOKUP(B43,LOOKUPS!$K$2:$L$9,2,FALSE),"UNK")&amp;"_"&amp;IFERROR(VLOOKUP(C43,LOOKUPS!$N$2:$O$10,2,FALSE),"UNK")&amp;"_"&amp;UPPER(L43))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ht="28.8" x14ac:dyDescent="0.3">
      <c r="A44" s="3" t="str">
        <f t="shared" si="0"/>
        <v/>
      </c>
      <c r="B44" s="3"/>
      <c r="C44" s="3"/>
      <c r="D44" s="3"/>
      <c r="E44" s="3"/>
      <c r="F44" s="3"/>
      <c r="G44" s="3"/>
      <c r="H44" s="3"/>
      <c r="I44" s="3"/>
      <c r="J44" s="3"/>
      <c r="K44" s="3"/>
      <c r="L44" s="3"/>
      <c r="M44" s="3" t="str">
        <f>IF(B44="","","LIST"&amp;"_"&amp;IFERROR(VLOOKUP(B44,LOOKUPS!$K$2:$L$9,2,FALSE),"UNK")&amp;"_"&amp;IFERROR(VLOOKUP(C44,LOOKUPS!$N$2:$O$10,2,FALSE),"UNK")&amp;"_"&amp;UPPER(L44))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ht="28.8" x14ac:dyDescent="0.3">
      <c r="A45" s="3" t="str">
        <f t="shared" si="0"/>
        <v/>
      </c>
      <c r="B45" s="3"/>
      <c r="C45" s="3"/>
      <c r="D45" s="3"/>
      <c r="E45" s="3"/>
      <c r="F45" s="3"/>
      <c r="G45" s="3"/>
      <c r="H45" s="3"/>
      <c r="I45" s="3"/>
      <c r="J45" s="3"/>
      <c r="K45" s="3"/>
      <c r="L45" s="3"/>
      <c r="M45" s="3" t="str">
        <f>IF(B45="","","LIST"&amp;"_"&amp;IFERROR(VLOOKUP(B45,LOOKUPS!$K$2:$L$9,2,FALSE),"UNK")&amp;"_"&amp;IFERROR(VLOOKUP(C45,LOOKUPS!$N$2:$O$10,2,FALSE),"UNK")&amp;"_"&amp;UPPER(L45))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ht="28.8" x14ac:dyDescent="0.3">
      <c r="A46" s="3" t="str">
        <f t="shared" si="0"/>
        <v/>
      </c>
      <c r="B46" s="3"/>
      <c r="C46" s="3"/>
      <c r="D46" s="3"/>
      <c r="E46" s="3"/>
      <c r="F46" s="3"/>
      <c r="G46" s="3"/>
      <c r="H46" s="3"/>
      <c r="I46" s="3"/>
      <c r="J46" s="3"/>
      <c r="K46" s="3"/>
      <c r="L46" s="3"/>
      <c r="M46" s="3" t="str">
        <f>IF(B46="","","LIST"&amp;"_"&amp;IFERROR(VLOOKUP(B46,LOOKUPS!$K$2:$L$9,2,FALSE),"UNK")&amp;"_"&amp;IFERROR(VLOOKUP(C46,LOOKUPS!$N$2:$O$10,2,FALSE),"UNK")&amp;"_"&amp;UPPER(L46))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ht="28.8" x14ac:dyDescent="0.3">
      <c r="A47" s="3" t="str">
        <f t="shared" si="0"/>
        <v/>
      </c>
      <c r="B47" s="3"/>
      <c r="C47" s="3"/>
      <c r="D47" s="3"/>
      <c r="E47" s="3"/>
      <c r="F47" s="3"/>
      <c r="G47" s="3"/>
      <c r="H47" s="3"/>
      <c r="I47" s="3"/>
      <c r="J47" s="3"/>
      <c r="K47" s="3"/>
      <c r="L47" s="3"/>
      <c r="M47" s="3" t="str">
        <f>IF(B47="","","LIST"&amp;"_"&amp;IFERROR(VLOOKUP(B47,LOOKUPS!$K$2:$L$9,2,FALSE),"UNK")&amp;"_"&amp;IFERROR(VLOOKUP(C47,LOOKUPS!$N$2:$O$10,2,FALSE),"UNK")&amp;"_"&amp;UPPER(L47))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ht="28.8" x14ac:dyDescent="0.3">
      <c r="A48" s="3" t="str">
        <f t="shared" si="0"/>
        <v/>
      </c>
      <c r="B48" s="3"/>
      <c r="C48" s="3"/>
      <c r="D48" s="3"/>
      <c r="E48" s="3"/>
      <c r="F48" s="3"/>
      <c r="G48" s="3"/>
      <c r="H48" s="3"/>
      <c r="I48" s="3"/>
      <c r="J48" s="3"/>
      <c r="K48" s="3"/>
      <c r="L48" s="3"/>
      <c r="M48" s="3" t="str">
        <f>IF(B48="","","LIST"&amp;"_"&amp;IFERROR(VLOOKUP(B48,LOOKUPS!$K$2:$L$9,2,FALSE),"UNK")&amp;"_"&amp;IFERROR(VLOOKUP(C48,LOOKUPS!$N$2:$O$10,2,FALSE),"UNK")&amp;"_"&amp;UPPER(L48))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ht="28.8" x14ac:dyDescent="0.3">
      <c r="A49" s="3" t="str">
        <f t="shared" si="0"/>
        <v/>
      </c>
      <c r="B49" s="3"/>
      <c r="C49" s="3"/>
      <c r="D49" s="3"/>
      <c r="E49" s="3"/>
      <c r="F49" s="3"/>
      <c r="G49" s="3"/>
      <c r="H49" s="3"/>
      <c r="I49" s="3"/>
      <c r="J49" s="3"/>
      <c r="K49" s="3"/>
      <c r="L49" s="3"/>
      <c r="M49" s="3" t="str">
        <f>IF(B49="","","LIST"&amp;"_"&amp;IFERROR(VLOOKUP(B49,LOOKUPS!$K$2:$L$9,2,FALSE),"UNK")&amp;"_"&amp;IFERROR(VLOOKUP(C49,LOOKUPS!$N$2:$O$10,2,FALSE),"UNK")&amp;"_"&amp;UPPER(L49))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ht="28.8" x14ac:dyDescent="0.3">
      <c r="A50" s="3" t="str">
        <f t="shared" si="0"/>
        <v/>
      </c>
      <c r="B50" s="3"/>
      <c r="C50" s="3"/>
      <c r="D50" s="3"/>
      <c r="E50" s="3"/>
      <c r="F50" s="3"/>
      <c r="G50" s="3"/>
      <c r="H50" s="3"/>
      <c r="I50" s="3"/>
      <c r="J50" s="3"/>
      <c r="K50" s="3"/>
      <c r="L50" s="3"/>
      <c r="M50" s="3" t="str">
        <f>IF(B50="","","LIST"&amp;"_"&amp;IFERROR(VLOOKUP(B50,LOOKUPS!$K$2:$L$9,2,FALSE),"UNK")&amp;"_"&amp;IFERROR(VLOOKUP(C50,LOOKUPS!$N$2:$O$10,2,FALSE),"UNK")&amp;"_"&amp;UPPER(L50))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ht="28.8" x14ac:dyDescent="0.3">
      <c r="A51" s="3" t="str">
        <f t="shared" si="0"/>
        <v/>
      </c>
      <c r="B51" s="3"/>
      <c r="C51" s="3"/>
      <c r="D51" s="3"/>
      <c r="E51" s="3"/>
      <c r="F51" s="3"/>
      <c r="G51" s="3"/>
      <c r="H51" s="3"/>
      <c r="I51" s="3"/>
      <c r="J51" s="3"/>
      <c r="K51" s="3"/>
      <c r="L51" s="3"/>
      <c r="M51" s="3" t="str">
        <f>IF(B51="","","LIST"&amp;"_"&amp;IFERROR(VLOOKUP(B51,LOOKUPS!$K$2:$L$9,2,FALSE),"UNK")&amp;"_"&amp;IFERROR(VLOOKUP(C51,LOOKUPS!$N$2:$O$10,2,FALSE),"UNK")&amp;"_"&amp;UPPER(L51))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ht="28.8" x14ac:dyDescent="0.3">
      <c r="A52" s="3" t="str">
        <f t="shared" si="0"/>
        <v/>
      </c>
      <c r="B52" s="3"/>
      <c r="C52" s="3"/>
      <c r="D52" s="3"/>
      <c r="E52" s="3"/>
      <c r="F52" s="3"/>
      <c r="G52" s="3"/>
      <c r="H52" s="3"/>
      <c r="I52" s="3"/>
      <c r="J52" s="3"/>
      <c r="K52" s="3"/>
      <c r="L52" s="3"/>
      <c r="M52" s="3" t="str">
        <f>IF(B52="","","LIST"&amp;"_"&amp;IFERROR(VLOOKUP(B52,LOOKUPS!$K$2:$L$9,2,FALSE),"UNK")&amp;"_"&amp;IFERROR(VLOOKUP(C52,LOOKUPS!$N$2:$O$10,2,FALSE),"UNK")&amp;"_"&amp;UPPER(L52))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ht="28.8" x14ac:dyDescent="0.3">
      <c r="A53" s="3" t="str">
        <f t="shared" si="0"/>
        <v/>
      </c>
      <c r="B53" s="3"/>
      <c r="C53" s="3"/>
      <c r="D53" s="3"/>
      <c r="E53" s="3"/>
      <c r="F53" s="3"/>
      <c r="G53" s="3"/>
      <c r="H53" s="3"/>
      <c r="I53" s="3"/>
      <c r="J53" s="3"/>
      <c r="K53" s="3"/>
      <c r="L53" s="3"/>
      <c r="M53" s="3" t="str">
        <f>IF(B53="","","LIST"&amp;"_"&amp;IFERROR(VLOOKUP(B53,LOOKUPS!$K$2:$L$9,2,FALSE),"UNK")&amp;"_"&amp;IFERROR(VLOOKUP(C53,LOOKUPS!$N$2:$O$10,2,FALSE),"UNK")&amp;"_"&amp;UPPER(L53))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ht="28.8" x14ac:dyDescent="0.3">
      <c r="A54" s="3" t="str">
        <f t="shared" si="0"/>
        <v/>
      </c>
      <c r="B54" s="3"/>
      <c r="C54" s="3"/>
      <c r="D54" s="3"/>
      <c r="E54" s="3"/>
      <c r="F54" s="3"/>
      <c r="G54" s="3"/>
      <c r="H54" s="3"/>
      <c r="I54" s="3"/>
      <c r="J54" s="3"/>
      <c r="K54" s="3"/>
      <c r="L54" s="3"/>
      <c r="M54" s="3" t="str">
        <f>IF(B54="","","LIST"&amp;"_"&amp;IFERROR(VLOOKUP(B54,LOOKUPS!$K$2:$L$9,2,FALSE),"UNK")&amp;"_"&amp;IFERROR(VLOOKUP(C54,LOOKUPS!$N$2:$O$10,2,FALSE),"UNK")&amp;"_"&amp;UPPER(L54))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ht="28.8" x14ac:dyDescent="0.3">
      <c r="A55" s="3" t="str">
        <f t="shared" si="0"/>
        <v/>
      </c>
      <c r="B55" s="3"/>
      <c r="C55" s="3"/>
      <c r="D55" s="3"/>
      <c r="E55" s="3"/>
      <c r="F55" s="3"/>
      <c r="G55" s="3"/>
      <c r="H55" s="3"/>
      <c r="I55" s="3"/>
      <c r="J55" s="3"/>
      <c r="K55" s="3"/>
      <c r="L55" s="3"/>
      <c r="M55" s="3" t="str">
        <f>IF(B55="","","LIST"&amp;"_"&amp;IFERROR(VLOOKUP(B55,LOOKUPS!$K$2:$L$9,2,FALSE),"UNK")&amp;"_"&amp;IFERROR(VLOOKUP(C55,LOOKUPS!$N$2:$O$10,2,FALSE),"UNK")&amp;"_"&amp;UPPER(L55))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ht="28.8" x14ac:dyDescent="0.3">
      <c r="A56" s="3" t="str">
        <f t="shared" si="0"/>
        <v/>
      </c>
      <c r="B56" s="3"/>
      <c r="C56" s="3"/>
      <c r="D56" s="3"/>
      <c r="E56" s="3"/>
      <c r="F56" s="3"/>
      <c r="G56" s="3"/>
      <c r="H56" s="3"/>
      <c r="I56" s="3"/>
      <c r="J56" s="3"/>
      <c r="K56" s="3"/>
      <c r="L56" s="3"/>
      <c r="M56" s="3" t="str">
        <f>IF(B56="","","LIST"&amp;"_"&amp;IFERROR(VLOOKUP(B56,LOOKUPS!$K$2:$L$9,2,FALSE),"UNK")&amp;"_"&amp;IFERROR(VLOOKUP(C56,LOOKUPS!$N$2:$O$10,2,FALSE),"UNK")&amp;"_"&amp;UPPER(L56))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ht="28.8" x14ac:dyDescent="0.3">
      <c r="A57" s="3" t="str">
        <f t="shared" si="0"/>
        <v/>
      </c>
      <c r="B57" s="3"/>
      <c r="C57" s="3"/>
      <c r="D57" s="3"/>
      <c r="E57" s="3"/>
      <c r="F57" s="3"/>
      <c r="G57" s="3"/>
      <c r="H57" s="3"/>
      <c r="I57" s="3"/>
      <c r="J57" s="3"/>
      <c r="K57" s="3"/>
      <c r="L57" s="3"/>
      <c r="M57" s="3" t="str">
        <f>IF(B57="","","LIST"&amp;"_"&amp;IFERROR(VLOOKUP(B57,LOOKUPS!$K$2:$L$9,2,FALSE),"UNK")&amp;"_"&amp;IFERROR(VLOOKUP(C57,LOOKUPS!$N$2:$O$10,2,FALSE),"UNK")&amp;"_"&amp;UPPER(L57))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ht="28.8" x14ac:dyDescent="0.3">
      <c r="A58" s="3" t="str">
        <f t="shared" si="0"/>
        <v/>
      </c>
      <c r="B58" s="3"/>
      <c r="C58" s="3"/>
      <c r="D58" s="3"/>
      <c r="E58" s="3"/>
      <c r="F58" s="3"/>
      <c r="G58" s="3"/>
      <c r="H58" s="3"/>
      <c r="I58" s="3"/>
      <c r="J58" s="3"/>
      <c r="K58" s="3"/>
      <c r="L58" s="3"/>
      <c r="M58" s="3" t="str">
        <f>IF(B58="","","LIST"&amp;"_"&amp;IFERROR(VLOOKUP(B58,LOOKUPS!$K$2:$L$9,2,FALSE),"UNK")&amp;"_"&amp;IFERROR(VLOOKUP(C58,LOOKUPS!$N$2:$O$10,2,FALSE),"UNK")&amp;"_"&amp;UPPER(L58))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ht="28.8" x14ac:dyDescent="0.3">
      <c r="A59" s="3" t="str">
        <f t="shared" si="0"/>
        <v/>
      </c>
      <c r="B59" s="3"/>
      <c r="C59" s="3"/>
      <c r="D59" s="3"/>
      <c r="E59" s="3"/>
      <c r="F59" s="3"/>
      <c r="G59" s="3"/>
      <c r="H59" s="3"/>
      <c r="I59" s="3"/>
      <c r="J59" s="3"/>
      <c r="K59" s="3"/>
      <c r="L59" s="3"/>
      <c r="M59" s="3" t="str">
        <f>IF(B59="","","LIST"&amp;"_"&amp;IFERROR(VLOOKUP(B59,LOOKUPS!$K$2:$L$9,2,FALSE),"UNK")&amp;"_"&amp;IFERROR(VLOOKUP(C59,LOOKUPS!$N$2:$O$10,2,FALSE),"UNK")&amp;"_"&amp;UPPER(L59))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ht="28.8" x14ac:dyDescent="0.3">
      <c r="A60" s="3" t="str">
        <f t="shared" si="0"/>
        <v/>
      </c>
      <c r="B60" s="3"/>
      <c r="C60" s="3"/>
      <c r="D60" s="3"/>
      <c r="E60" s="3"/>
      <c r="F60" s="3"/>
      <c r="G60" s="3"/>
      <c r="H60" s="3"/>
      <c r="I60" s="3"/>
      <c r="J60" s="3"/>
      <c r="K60" s="3"/>
      <c r="L60" s="3"/>
      <c r="M60" s="3" t="str">
        <f>IF(B60="","","LIST"&amp;"_"&amp;IFERROR(VLOOKUP(B60,LOOKUPS!$K$2:$L$9,2,FALSE),"UNK")&amp;"_"&amp;IFERROR(VLOOKUP(C60,LOOKUPS!$N$2:$O$10,2,FALSE),"UNK")&amp;"_"&amp;UPPER(L60))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ht="28.8" x14ac:dyDescent="0.3">
      <c r="A61" s="3" t="str">
        <f t="shared" si="0"/>
        <v/>
      </c>
      <c r="B61" s="3"/>
      <c r="C61" s="3"/>
      <c r="D61" s="3"/>
      <c r="E61" s="3"/>
      <c r="F61" s="3"/>
      <c r="G61" s="3"/>
      <c r="H61" s="3"/>
      <c r="I61" s="3"/>
      <c r="J61" s="3"/>
      <c r="K61" s="3"/>
      <c r="L61" s="3"/>
      <c r="M61" s="3" t="str">
        <f>IF(B61="","","LIST"&amp;"_"&amp;IFERROR(VLOOKUP(B61,LOOKUPS!$K$2:$L$9,2,FALSE),"UNK")&amp;"_"&amp;IFERROR(VLOOKUP(C61,LOOKUPS!$N$2:$O$10,2,FALSE),"UNK")&amp;"_"&amp;UPPER(L61))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ht="28.8" x14ac:dyDescent="0.3">
      <c r="A62" s="3" t="str">
        <f t="shared" si="0"/>
        <v/>
      </c>
      <c r="B62" s="3"/>
      <c r="C62" s="3"/>
      <c r="D62" s="3"/>
      <c r="E62" s="3"/>
      <c r="F62" s="3"/>
      <c r="G62" s="3"/>
      <c r="H62" s="3"/>
      <c r="I62" s="3"/>
      <c r="J62" s="3"/>
      <c r="K62" s="3"/>
      <c r="L62" s="3"/>
      <c r="M62" s="3" t="str">
        <f>IF(B62="","","LIST"&amp;"_"&amp;IFERROR(VLOOKUP(B62,LOOKUPS!$K$2:$L$9,2,FALSE),"UNK")&amp;"_"&amp;IFERROR(VLOOKUP(C62,LOOKUPS!$N$2:$O$10,2,FALSE),"UNK")&amp;"_"&amp;UPPER(L62))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ht="28.8" x14ac:dyDescent="0.3">
      <c r="A63" s="3" t="str">
        <f t="shared" si="0"/>
        <v/>
      </c>
      <c r="B63" s="3"/>
      <c r="C63" s="3"/>
      <c r="D63" s="3"/>
      <c r="E63" s="3"/>
      <c r="F63" s="3"/>
      <c r="G63" s="3"/>
      <c r="H63" s="3"/>
      <c r="I63" s="3"/>
      <c r="J63" s="3"/>
      <c r="K63" s="3"/>
      <c r="L63" s="3"/>
      <c r="M63" s="3" t="str">
        <f>IF(B63="","","LIST"&amp;"_"&amp;IFERROR(VLOOKUP(B63,LOOKUPS!$K$2:$L$9,2,FALSE),"UNK")&amp;"_"&amp;IFERROR(VLOOKUP(C63,LOOKUPS!$N$2:$O$10,2,FALSE),"UNK")&amp;"_"&amp;UPPER(L63))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ht="28.8" x14ac:dyDescent="0.3">
      <c r="A64" s="3" t="str">
        <f t="shared" si="0"/>
        <v/>
      </c>
      <c r="B64" s="3"/>
      <c r="C64" s="3"/>
      <c r="D64" s="3"/>
      <c r="E64" s="3"/>
      <c r="F64" s="3"/>
      <c r="G64" s="3"/>
      <c r="H64" s="3"/>
      <c r="I64" s="3"/>
      <c r="J64" s="3"/>
      <c r="K64" s="3"/>
      <c r="L64" s="3"/>
      <c r="M64" s="3" t="str">
        <f>IF(B64="","","LIST"&amp;"_"&amp;IFERROR(VLOOKUP(B64,LOOKUPS!$K$2:$L$9,2,FALSE),"UNK")&amp;"_"&amp;IFERROR(VLOOKUP(C64,LOOKUPS!$N$2:$O$10,2,FALSE),"UNK")&amp;"_"&amp;UPPER(L64))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ht="28.8" x14ac:dyDescent="0.3">
      <c r="A65" s="3" t="str">
        <f t="shared" si="0"/>
        <v/>
      </c>
      <c r="B65" s="3"/>
      <c r="C65" s="3"/>
      <c r="D65" s="3"/>
      <c r="E65" s="3"/>
      <c r="F65" s="3"/>
      <c r="G65" s="3"/>
      <c r="H65" s="3"/>
      <c r="I65" s="3"/>
      <c r="J65" s="3"/>
      <c r="K65" s="3"/>
      <c r="L65" s="3"/>
      <c r="M65" s="3" t="str">
        <f>IF(B65="","","LIST"&amp;"_"&amp;IFERROR(VLOOKUP(B65,LOOKUPS!$K$2:$L$9,2,FALSE),"UNK")&amp;"_"&amp;IFERROR(VLOOKUP(C65,LOOKUPS!$N$2:$O$10,2,FALSE),"UNK")&amp;"_"&amp;UPPER(L65))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ht="28.8" x14ac:dyDescent="0.3">
      <c r="A66" s="3" t="str">
        <f t="shared" ref="A66:A129" si="2">IF(M66="","",M66&amp;"_"&amp;TEXT(N66,"000"))</f>
        <v/>
      </c>
      <c r="B66" s="3"/>
      <c r="C66" s="3"/>
      <c r="D66" s="3"/>
      <c r="E66" s="3"/>
      <c r="F66" s="3"/>
      <c r="G66" s="3"/>
      <c r="H66" s="3"/>
      <c r="I66" s="3"/>
      <c r="J66" s="3"/>
      <c r="K66" s="3"/>
      <c r="L66" s="3"/>
      <c r="M66" s="3" t="str">
        <f>IF(B66="","","LIST"&amp;"_"&amp;IFERROR(VLOOKUP(B66,LOOKUPS!$K$2:$L$9,2,FALSE),"UNK")&amp;"_"&amp;IFERROR(VLOOKUP(C66,LOOKUPS!$N$2:$O$10,2,FALSE),"UNK")&amp;"_"&amp;UPPER(L66))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ht="28.8" x14ac:dyDescent="0.3">
      <c r="A67" s="3" t="str">
        <f t="shared" si="2"/>
        <v/>
      </c>
      <c r="B67" s="3"/>
      <c r="C67" s="3"/>
      <c r="D67" s="3"/>
      <c r="E67" s="3"/>
      <c r="F67" s="3"/>
      <c r="G67" s="3"/>
      <c r="H67" s="3"/>
      <c r="I67" s="3"/>
      <c r="J67" s="3"/>
      <c r="K67" s="3"/>
      <c r="L67" s="3"/>
      <c r="M67" s="3" t="str">
        <f>IF(B67="","","LIST"&amp;"_"&amp;IFERROR(VLOOKUP(B67,LOOKUPS!$K$2:$L$9,2,FALSE),"UNK")&amp;"_"&amp;IFERROR(VLOOKUP(C67,LOOKUPS!$N$2:$O$10,2,FALSE),"UNK")&amp;"_"&amp;UPPER(L67))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ht="28.8" x14ac:dyDescent="0.3">
      <c r="A68" s="3" t="str">
        <f t="shared" si="2"/>
        <v/>
      </c>
      <c r="B68" s="3"/>
      <c r="C68" s="3"/>
      <c r="D68" s="3"/>
      <c r="E68" s="3"/>
      <c r="F68" s="3"/>
      <c r="G68" s="3"/>
      <c r="H68" s="3"/>
      <c r="I68" s="3"/>
      <c r="J68" s="3"/>
      <c r="K68" s="3"/>
      <c r="L68" s="3"/>
      <c r="M68" s="3" t="str">
        <f>IF(B68="","","LIST"&amp;"_"&amp;IFERROR(VLOOKUP(B68,LOOKUPS!$K$2:$L$9,2,FALSE),"UNK")&amp;"_"&amp;IFERROR(VLOOKUP(C68,LOOKUPS!$N$2:$O$10,2,FALSE),"UNK")&amp;"_"&amp;UPPER(L68))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ht="28.8" x14ac:dyDescent="0.3">
      <c r="A69" s="3" t="str">
        <f t="shared" si="2"/>
        <v/>
      </c>
      <c r="B69" s="3"/>
      <c r="C69" s="3"/>
      <c r="D69" s="3"/>
      <c r="E69" s="3"/>
      <c r="F69" s="3"/>
      <c r="G69" s="3"/>
      <c r="H69" s="3"/>
      <c r="I69" s="3"/>
      <c r="J69" s="3"/>
      <c r="K69" s="3"/>
      <c r="L69" s="3"/>
      <c r="M69" s="3" t="str">
        <f>IF(B69="","","LIST"&amp;"_"&amp;IFERROR(VLOOKUP(B69,LOOKUPS!$K$2:$L$9,2,FALSE),"UNK")&amp;"_"&amp;IFERROR(VLOOKUP(C69,LOOKUPS!$N$2:$O$10,2,FALSE),"UNK")&amp;"_"&amp;UPPER(L69))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ht="28.8" x14ac:dyDescent="0.3">
      <c r="A70" s="3" t="str">
        <f t="shared" si="2"/>
        <v/>
      </c>
      <c r="B70" s="3"/>
      <c r="C70" s="3"/>
      <c r="D70" s="3"/>
      <c r="E70" s="3"/>
      <c r="F70" s="3"/>
      <c r="G70" s="3"/>
      <c r="H70" s="3"/>
      <c r="I70" s="3"/>
      <c r="J70" s="3"/>
      <c r="K70" s="3"/>
      <c r="L70" s="3"/>
      <c r="M70" s="3" t="str">
        <f>IF(B70="","","LIST"&amp;"_"&amp;IFERROR(VLOOKUP(B70,LOOKUPS!$K$2:$L$9,2,FALSE),"UNK")&amp;"_"&amp;IFERROR(VLOOKUP(C70,LOOKUPS!$N$2:$O$10,2,FALSE),"UNK")&amp;"_"&amp;UPPER(L70))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ht="28.8" x14ac:dyDescent="0.3">
      <c r="A71" s="3" t="str">
        <f t="shared" si="2"/>
        <v/>
      </c>
      <c r="B71" s="3"/>
      <c r="C71" s="3"/>
      <c r="D71" s="3"/>
      <c r="E71" s="3"/>
      <c r="F71" s="3"/>
      <c r="G71" s="3"/>
      <c r="H71" s="3"/>
      <c r="I71" s="3"/>
      <c r="J71" s="3"/>
      <c r="K71" s="3"/>
      <c r="L71" s="3"/>
      <c r="M71" s="3" t="str">
        <f>IF(B71="","","LIST"&amp;"_"&amp;IFERROR(VLOOKUP(B71,LOOKUPS!$K$2:$L$9,2,FALSE),"UNK")&amp;"_"&amp;IFERROR(VLOOKUP(C71,LOOKUPS!$N$2:$O$10,2,FALSE),"UNK")&amp;"_"&amp;UPPER(L71))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ht="28.8" x14ac:dyDescent="0.3">
      <c r="A72" s="3" t="str">
        <f t="shared" si="2"/>
        <v/>
      </c>
      <c r="B72" s="3"/>
      <c r="C72" s="3"/>
      <c r="D72" s="3"/>
      <c r="E72" s="3"/>
      <c r="F72" s="3"/>
      <c r="G72" s="3"/>
      <c r="H72" s="3"/>
      <c r="I72" s="3"/>
      <c r="J72" s="3"/>
      <c r="K72" s="3"/>
      <c r="L72" s="3"/>
      <c r="M72" s="3" t="str">
        <f>IF(B72="","","LIST"&amp;"_"&amp;IFERROR(VLOOKUP(B72,LOOKUPS!$K$2:$L$9,2,FALSE),"UNK")&amp;"_"&amp;IFERROR(VLOOKUP(C72,LOOKUPS!$N$2:$O$10,2,FALSE),"UNK")&amp;"_"&amp;UPPER(L72))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ht="28.8" x14ac:dyDescent="0.3">
      <c r="A73" s="3" t="str">
        <f t="shared" si="2"/>
        <v/>
      </c>
      <c r="B73" s="3"/>
      <c r="C73" s="3"/>
      <c r="D73" s="3"/>
      <c r="E73" s="3"/>
      <c r="F73" s="3"/>
      <c r="G73" s="3"/>
      <c r="H73" s="3"/>
      <c r="I73" s="3"/>
      <c r="J73" s="3"/>
      <c r="K73" s="3"/>
      <c r="L73" s="3"/>
      <c r="M73" s="3" t="str">
        <f>IF(B73="","","LIST"&amp;"_"&amp;IFERROR(VLOOKUP(B73,LOOKUPS!$K$2:$L$9,2,FALSE),"UNK")&amp;"_"&amp;IFERROR(VLOOKUP(C73,LOOKUPS!$N$2:$O$10,2,FALSE),"UNK")&amp;"_"&amp;UPPER(L73))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ht="28.8" x14ac:dyDescent="0.3">
      <c r="A74" s="3" t="str">
        <f t="shared" si="2"/>
        <v/>
      </c>
      <c r="B74" s="3"/>
      <c r="C74" s="3"/>
      <c r="D74" s="3"/>
      <c r="E74" s="3"/>
      <c r="F74" s="3"/>
      <c r="G74" s="3"/>
      <c r="H74" s="3"/>
      <c r="I74" s="3"/>
      <c r="J74" s="3"/>
      <c r="K74" s="3"/>
      <c r="L74" s="3"/>
      <c r="M74" s="3" t="str">
        <f>IF(B74="","","LIST"&amp;"_"&amp;IFERROR(VLOOKUP(B74,LOOKUPS!$K$2:$L$9,2,FALSE),"UNK")&amp;"_"&amp;IFERROR(VLOOKUP(C74,LOOKUPS!$N$2:$O$10,2,FALSE),"UNK")&amp;"_"&amp;UPPER(L74))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ht="28.8" x14ac:dyDescent="0.3">
      <c r="A75" s="3" t="str">
        <f t="shared" si="2"/>
        <v/>
      </c>
      <c r="B75" s="3"/>
      <c r="C75" s="3"/>
      <c r="D75" s="3"/>
      <c r="E75" s="3"/>
      <c r="F75" s="3"/>
      <c r="G75" s="3"/>
      <c r="H75" s="3"/>
      <c r="I75" s="3"/>
      <c r="J75" s="3"/>
      <c r="K75" s="3"/>
      <c r="L75" s="3"/>
      <c r="M75" s="3" t="str">
        <f>IF(B75="","","LIST"&amp;"_"&amp;IFERROR(VLOOKUP(B75,LOOKUPS!$K$2:$L$9,2,FALSE),"UNK")&amp;"_"&amp;IFERROR(VLOOKUP(C75,LOOKUPS!$N$2:$O$10,2,FALSE),"UNK")&amp;"_"&amp;UPPER(L75))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ht="28.8" x14ac:dyDescent="0.3">
      <c r="A76" s="3" t="str">
        <f t="shared" si="2"/>
        <v/>
      </c>
      <c r="B76" s="3"/>
      <c r="C76" s="3"/>
      <c r="D76" s="3"/>
      <c r="E76" s="3"/>
      <c r="F76" s="3"/>
      <c r="G76" s="3"/>
      <c r="H76" s="3"/>
      <c r="I76" s="3"/>
      <c r="J76" s="3"/>
      <c r="K76" s="3"/>
      <c r="L76" s="3"/>
      <c r="M76" s="3" t="str">
        <f>IF(B76="","","LIST"&amp;"_"&amp;IFERROR(VLOOKUP(B76,LOOKUPS!$K$2:$L$9,2,FALSE),"UNK")&amp;"_"&amp;IFERROR(VLOOKUP(C76,LOOKUPS!$N$2:$O$10,2,FALSE),"UNK")&amp;"_"&amp;UPPER(L76))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ht="28.8" x14ac:dyDescent="0.3">
      <c r="A77" s="3" t="str">
        <f t="shared" si="2"/>
        <v/>
      </c>
      <c r="B77" s="3"/>
      <c r="C77" s="3"/>
      <c r="D77" s="3"/>
      <c r="E77" s="3"/>
      <c r="F77" s="3"/>
      <c r="G77" s="3"/>
      <c r="H77" s="3"/>
      <c r="I77" s="3"/>
      <c r="J77" s="3"/>
      <c r="K77" s="3"/>
      <c r="L77" s="3"/>
      <c r="M77" s="3" t="str">
        <f>IF(B77="","","LIST"&amp;"_"&amp;IFERROR(VLOOKUP(B77,LOOKUPS!$K$2:$L$9,2,FALSE),"UNK")&amp;"_"&amp;IFERROR(VLOOKUP(C77,LOOKUPS!$N$2:$O$10,2,FALSE),"UNK")&amp;"_"&amp;UPPER(L77))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ht="28.8" x14ac:dyDescent="0.3">
      <c r="A78" s="3" t="str">
        <f t="shared" si="2"/>
        <v/>
      </c>
      <c r="B78" s="3"/>
      <c r="C78" s="3"/>
      <c r="D78" s="3"/>
      <c r="E78" s="3"/>
      <c r="F78" s="3"/>
      <c r="G78" s="3"/>
      <c r="H78" s="3"/>
      <c r="I78" s="3"/>
      <c r="J78" s="3"/>
      <c r="K78" s="3"/>
      <c r="L78" s="3"/>
      <c r="M78" s="3" t="str">
        <f>IF(B78="","","LIST"&amp;"_"&amp;IFERROR(VLOOKUP(B78,LOOKUPS!$K$2:$L$9,2,FALSE),"UNK")&amp;"_"&amp;IFERROR(VLOOKUP(C78,LOOKUPS!$N$2:$O$10,2,FALSE),"UNK")&amp;"_"&amp;UPPER(L78))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ht="28.8" x14ac:dyDescent="0.3">
      <c r="A79" s="3" t="str">
        <f t="shared" si="2"/>
        <v/>
      </c>
      <c r="B79" s="3"/>
      <c r="C79" s="3"/>
      <c r="D79" s="3"/>
      <c r="E79" s="3"/>
      <c r="F79" s="3"/>
      <c r="G79" s="3"/>
      <c r="H79" s="3"/>
      <c r="I79" s="3"/>
      <c r="J79" s="3"/>
      <c r="K79" s="3"/>
      <c r="L79" s="3"/>
      <c r="M79" s="3" t="str">
        <f>IF(B79="","","LIST"&amp;"_"&amp;IFERROR(VLOOKUP(B79,LOOKUPS!$K$2:$L$9,2,FALSE),"UNK")&amp;"_"&amp;IFERROR(VLOOKUP(C79,LOOKUPS!$N$2:$O$10,2,FALSE),"UNK")&amp;"_"&amp;UPPER(L79))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ht="28.8" x14ac:dyDescent="0.3">
      <c r="A80" s="3" t="str">
        <f t="shared" si="2"/>
        <v/>
      </c>
      <c r="B80" s="3"/>
      <c r="C80" s="3"/>
      <c r="D80" s="3"/>
      <c r="E80" s="3"/>
      <c r="F80" s="3"/>
      <c r="G80" s="3"/>
      <c r="H80" s="3"/>
      <c r="I80" s="3"/>
      <c r="J80" s="3"/>
      <c r="K80" s="3"/>
      <c r="L80" s="3"/>
      <c r="M80" s="3" t="str">
        <f>IF(B80="","","LIST"&amp;"_"&amp;IFERROR(VLOOKUP(B80,LOOKUPS!$K$2:$L$9,2,FALSE),"UNK")&amp;"_"&amp;IFERROR(VLOOKUP(C80,LOOKUPS!$N$2:$O$10,2,FALSE),"UNK")&amp;"_"&amp;UPPER(L80))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ht="28.8" x14ac:dyDescent="0.3">
      <c r="A81" s="3" t="str">
        <f t="shared" si="2"/>
        <v/>
      </c>
      <c r="B81" s="3"/>
      <c r="C81" s="3"/>
      <c r="D81" s="3"/>
      <c r="E81" s="3"/>
      <c r="F81" s="3"/>
      <c r="G81" s="3"/>
      <c r="H81" s="3"/>
      <c r="I81" s="3"/>
      <c r="J81" s="3"/>
      <c r="K81" s="3"/>
      <c r="L81" s="3"/>
      <c r="M81" s="3" t="str">
        <f>IF(B81="","","LIST"&amp;"_"&amp;IFERROR(VLOOKUP(B81,LOOKUPS!$K$2:$L$9,2,FALSE),"UNK")&amp;"_"&amp;IFERROR(VLOOKUP(C81,LOOKUPS!$N$2:$O$10,2,FALSE),"UNK")&amp;"_"&amp;UPPER(L81))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ht="28.8" x14ac:dyDescent="0.3">
      <c r="A82" s="3" t="str">
        <f t="shared" si="2"/>
        <v/>
      </c>
      <c r="B82" s="3"/>
      <c r="C82" s="3"/>
      <c r="D82" s="3"/>
      <c r="E82" s="3"/>
      <c r="F82" s="3"/>
      <c r="G82" s="3"/>
      <c r="H82" s="3"/>
      <c r="I82" s="3"/>
      <c r="J82" s="3"/>
      <c r="K82" s="3"/>
      <c r="L82" s="3"/>
      <c r="M82" s="3" t="str">
        <f>IF(B82="","","LIST"&amp;"_"&amp;IFERROR(VLOOKUP(B82,LOOKUPS!$K$2:$L$9,2,FALSE),"UNK")&amp;"_"&amp;IFERROR(VLOOKUP(C82,LOOKUPS!$N$2:$O$10,2,FALSE),"UNK")&amp;"_"&amp;UPPER(L82))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ht="28.8" x14ac:dyDescent="0.3">
      <c r="A83" s="3" t="str">
        <f t="shared" si="2"/>
        <v/>
      </c>
      <c r="B83" s="3"/>
      <c r="C83" s="3"/>
      <c r="D83" s="3"/>
      <c r="E83" s="3"/>
      <c r="F83" s="3"/>
      <c r="G83" s="3"/>
      <c r="H83" s="3"/>
      <c r="I83" s="3"/>
      <c r="J83" s="3"/>
      <c r="K83" s="3"/>
      <c r="L83" s="3"/>
      <c r="M83" s="3" t="str">
        <f>IF(B83="","","LIST"&amp;"_"&amp;IFERROR(VLOOKUP(B83,LOOKUPS!$K$2:$L$9,2,FALSE),"UNK")&amp;"_"&amp;IFERROR(VLOOKUP(C83,LOOKUPS!$N$2:$O$10,2,FALSE),"UNK")&amp;"_"&amp;UPPER(L83))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ht="28.8" x14ac:dyDescent="0.3">
      <c r="A84" s="3" t="str">
        <f t="shared" si="2"/>
        <v/>
      </c>
      <c r="B84" s="3"/>
      <c r="C84" s="3"/>
      <c r="D84" s="3"/>
      <c r="E84" s="3"/>
      <c r="F84" s="3"/>
      <c r="G84" s="3"/>
      <c r="H84" s="3"/>
      <c r="I84" s="3"/>
      <c r="J84" s="3"/>
      <c r="K84" s="3"/>
      <c r="L84" s="3"/>
      <c r="M84" s="3" t="str">
        <f>IF(B84="","","LIST"&amp;"_"&amp;IFERROR(VLOOKUP(B84,LOOKUPS!$K$2:$L$9,2,FALSE),"UNK")&amp;"_"&amp;IFERROR(VLOOKUP(C84,LOOKUPS!$N$2:$O$10,2,FALSE),"UNK")&amp;"_"&amp;UPPER(L84))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ht="28.8" x14ac:dyDescent="0.3">
      <c r="A85" s="3" t="str">
        <f t="shared" si="2"/>
        <v/>
      </c>
      <c r="B85" s="3"/>
      <c r="C85" s="3"/>
      <c r="D85" s="3"/>
      <c r="E85" s="3"/>
      <c r="F85" s="3"/>
      <c r="G85" s="3"/>
      <c r="H85" s="3"/>
      <c r="I85" s="3"/>
      <c r="J85" s="3"/>
      <c r="K85" s="3"/>
      <c r="L85" s="3"/>
      <c r="M85" s="3" t="str">
        <f>IF(B85="","","LIST"&amp;"_"&amp;IFERROR(VLOOKUP(B85,LOOKUPS!$K$2:$L$9,2,FALSE),"UNK")&amp;"_"&amp;IFERROR(VLOOKUP(C85,LOOKUPS!$N$2:$O$10,2,FALSE),"UNK")&amp;"_"&amp;UPPER(L85))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ht="28.8" x14ac:dyDescent="0.3">
      <c r="A86" s="3" t="str">
        <f t="shared" si="2"/>
        <v/>
      </c>
      <c r="B86" s="3"/>
      <c r="C86" s="3"/>
      <c r="D86" s="3"/>
      <c r="E86" s="3"/>
      <c r="F86" s="3"/>
      <c r="G86" s="3"/>
      <c r="H86" s="3"/>
      <c r="I86" s="3"/>
      <c r="J86" s="3"/>
      <c r="K86" s="3"/>
      <c r="L86" s="3"/>
      <c r="M86" s="3" t="str">
        <f>IF(B86="","","LIST"&amp;"_"&amp;IFERROR(VLOOKUP(B86,LOOKUPS!$K$2:$L$9,2,FALSE),"UNK")&amp;"_"&amp;IFERROR(VLOOKUP(C86,LOOKUPS!$N$2:$O$10,2,FALSE),"UNK")&amp;"_"&amp;UPPER(L86))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ht="28.8" x14ac:dyDescent="0.3">
      <c r="A87" s="3" t="str">
        <f t="shared" si="2"/>
        <v/>
      </c>
      <c r="B87" s="3"/>
      <c r="C87" s="3"/>
      <c r="D87" s="3"/>
      <c r="E87" s="3"/>
      <c r="F87" s="3"/>
      <c r="G87" s="3"/>
      <c r="H87" s="3"/>
      <c r="I87" s="3"/>
      <c r="J87" s="3"/>
      <c r="K87" s="3"/>
      <c r="L87" s="3"/>
      <c r="M87" s="3" t="str">
        <f>IF(B87="","","LIST"&amp;"_"&amp;IFERROR(VLOOKUP(B87,LOOKUPS!$K$2:$L$9,2,FALSE),"UNK")&amp;"_"&amp;IFERROR(VLOOKUP(C87,LOOKUPS!$N$2:$O$10,2,FALSE),"UNK")&amp;"_"&amp;UPPER(L87))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ht="28.8" x14ac:dyDescent="0.3">
      <c r="A88" s="3" t="str">
        <f t="shared" si="2"/>
        <v/>
      </c>
      <c r="B88" s="3"/>
      <c r="C88" s="3"/>
      <c r="D88" s="3"/>
      <c r="E88" s="3"/>
      <c r="F88" s="3"/>
      <c r="G88" s="3"/>
      <c r="H88" s="3"/>
      <c r="I88" s="3"/>
      <c r="J88" s="3"/>
      <c r="K88" s="3"/>
      <c r="L88" s="3"/>
      <c r="M88" s="3" t="str">
        <f>IF(B88="","","LIST"&amp;"_"&amp;IFERROR(VLOOKUP(B88,LOOKUPS!$K$2:$L$9,2,FALSE),"UNK")&amp;"_"&amp;IFERROR(VLOOKUP(C88,LOOKUPS!$N$2:$O$10,2,FALSE),"UNK")&amp;"_"&amp;UPPER(L88))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ht="28.8" x14ac:dyDescent="0.3">
      <c r="A89" s="3" t="str">
        <f t="shared" si="2"/>
        <v/>
      </c>
      <c r="B89" s="3"/>
      <c r="C89" s="3"/>
      <c r="D89" s="3"/>
      <c r="E89" s="3"/>
      <c r="F89" s="3"/>
      <c r="G89" s="3"/>
      <c r="H89" s="3"/>
      <c r="I89" s="3"/>
      <c r="J89" s="3"/>
      <c r="K89" s="3"/>
      <c r="L89" s="3"/>
      <c r="M89" s="3" t="str">
        <f>IF(B89="","","LIST"&amp;"_"&amp;IFERROR(VLOOKUP(B89,LOOKUPS!$K$2:$L$9,2,FALSE),"UNK")&amp;"_"&amp;IFERROR(VLOOKUP(C89,LOOKUPS!$N$2:$O$10,2,FALSE),"UNK")&amp;"_"&amp;UPPER(L89))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ht="28.8" x14ac:dyDescent="0.3">
      <c r="A90" s="3" t="str">
        <f t="shared" si="2"/>
        <v/>
      </c>
      <c r="B90" s="3"/>
      <c r="C90" s="3"/>
      <c r="D90" s="3"/>
      <c r="E90" s="3"/>
      <c r="F90" s="3"/>
      <c r="G90" s="3"/>
      <c r="H90" s="3"/>
      <c r="I90" s="3"/>
      <c r="J90" s="3"/>
      <c r="K90" s="3"/>
      <c r="L90" s="3"/>
      <c r="M90" s="3" t="str">
        <f>IF(B90="","","LIST"&amp;"_"&amp;IFERROR(VLOOKUP(B90,LOOKUPS!$K$2:$L$9,2,FALSE),"UNK")&amp;"_"&amp;IFERROR(VLOOKUP(C90,LOOKUPS!$N$2:$O$10,2,FALSE),"UNK")&amp;"_"&amp;UPPER(L90))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ht="28.8" x14ac:dyDescent="0.3">
      <c r="A91" s="3" t="str">
        <f t="shared" si="2"/>
        <v/>
      </c>
      <c r="B91" s="3"/>
      <c r="C91" s="3"/>
      <c r="D91" s="3"/>
      <c r="E91" s="3"/>
      <c r="F91" s="3"/>
      <c r="G91" s="3"/>
      <c r="H91" s="3"/>
      <c r="I91" s="3"/>
      <c r="J91" s="3"/>
      <c r="K91" s="3"/>
      <c r="L91" s="3"/>
      <c r="M91" s="3" t="str">
        <f>IF(B91="","","LIST"&amp;"_"&amp;IFERROR(VLOOKUP(B91,LOOKUPS!$K$2:$L$9,2,FALSE),"UNK")&amp;"_"&amp;IFERROR(VLOOKUP(C91,LOOKUPS!$N$2:$O$10,2,FALSE),"UNK")&amp;"_"&amp;UPPER(L91))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ht="28.8" x14ac:dyDescent="0.3">
      <c r="A92" s="3" t="str">
        <f t="shared" si="2"/>
        <v/>
      </c>
      <c r="B92" s="3"/>
      <c r="C92" s="3"/>
      <c r="D92" s="3"/>
      <c r="E92" s="3"/>
      <c r="F92" s="3"/>
      <c r="G92" s="3"/>
      <c r="H92" s="3"/>
      <c r="I92" s="3"/>
      <c r="J92" s="3"/>
      <c r="K92" s="3"/>
      <c r="L92" s="3"/>
      <c r="M92" s="3" t="str">
        <f>IF(B92="","","LIST"&amp;"_"&amp;IFERROR(VLOOKUP(B92,LOOKUPS!$K$2:$L$9,2,FALSE),"UNK")&amp;"_"&amp;IFERROR(VLOOKUP(C92,LOOKUPS!$N$2:$O$10,2,FALSE),"UNK")&amp;"_"&amp;UPPER(L92))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ht="28.8" x14ac:dyDescent="0.3">
      <c r="A93" s="3" t="str">
        <f t="shared" si="2"/>
        <v/>
      </c>
      <c r="B93" s="3"/>
      <c r="C93" s="3"/>
      <c r="D93" s="3"/>
      <c r="E93" s="3"/>
      <c r="F93" s="3"/>
      <c r="G93" s="3"/>
      <c r="H93" s="3"/>
      <c r="I93" s="3"/>
      <c r="J93" s="3"/>
      <c r="K93" s="3"/>
      <c r="L93" s="3"/>
      <c r="M93" s="3" t="str">
        <f>IF(B93="","","LIST"&amp;"_"&amp;IFERROR(VLOOKUP(B93,LOOKUPS!$K$2:$L$9,2,FALSE),"UNK")&amp;"_"&amp;IFERROR(VLOOKUP(C93,LOOKUPS!$N$2:$O$10,2,FALSE),"UNK")&amp;"_"&amp;UPPER(L93))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ht="28.8" x14ac:dyDescent="0.3">
      <c r="A94" s="3" t="str">
        <f t="shared" si="2"/>
        <v/>
      </c>
      <c r="B94" s="3"/>
      <c r="C94" s="3"/>
      <c r="D94" s="3"/>
      <c r="E94" s="3"/>
      <c r="F94" s="3"/>
      <c r="G94" s="3"/>
      <c r="H94" s="3"/>
      <c r="I94" s="3"/>
      <c r="J94" s="3"/>
      <c r="K94" s="3"/>
      <c r="L94" s="3"/>
      <c r="M94" s="3" t="str">
        <f>IF(B94="","","LIST"&amp;"_"&amp;IFERROR(VLOOKUP(B94,LOOKUPS!$K$2:$L$9,2,FALSE),"UNK")&amp;"_"&amp;IFERROR(VLOOKUP(C94,LOOKUPS!$N$2:$O$10,2,FALSE),"UNK")&amp;"_"&amp;UPPER(L94))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ht="28.8" x14ac:dyDescent="0.3">
      <c r="A95" s="3" t="str">
        <f t="shared" si="2"/>
        <v/>
      </c>
      <c r="B95" s="3"/>
      <c r="C95" s="3"/>
      <c r="D95" s="3"/>
      <c r="E95" s="3"/>
      <c r="F95" s="3"/>
      <c r="G95" s="3"/>
      <c r="H95" s="3"/>
      <c r="I95" s="3"/>
      <c r="J95" s="3"/>
      <c r="K95" s="3"/>
      <c r="L95" s="3"/>
      <c r="M95" s="3" t="str">
        <f>IF(B95="","","LIST"&amp;"_"&amp;IFERROR(VLOOKUP(B95,LOOKUPS!$K$2:$L$9,2,FALSE),"UNK")&amp;"_"&amp;IFERROR(VLOOKUP(C95,LOOKUPS!$N$2:$O$10,2,FALSE),"UNK")&amp;"_"&amp;UPPER(L95))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ht="28.8" x14ac:dyDescent="0.3">
      <c r="A96" s="3" t="str">
        <f t="shared" si="2"/>
        <v/>
      </c>
      <c r="B96" s="3"/>
      <c r="C96" s="3"/>
      <c r="D96" s="3"/>
      <c r="E96" s="3"/>
      <c r="F96" s="3"/>
      <c r="G96" s="3"/>
      <c r="H96" s="3"/>
      <c r="I96" s="3"/>
      <c r="J96" s="3"/>
      <c r="K96" s="3"/>
      <c r="L96" s="3"/>
      <c r="M96" s="3" t="str">
        <f>IF(B96="","","LIST"&amp;"_"&amp;IFERROR(VLOOKUP(B96,LOOKUPS!$K$2:$L$9,2,FALSE),"UNK")&amp;"_"&amp;IFERROR(VLOOKUP(C96,LOOKUPS!$N$2:$O$10,2,FALSE),"UNK")&amp;"_"&amp;UPPER(L96))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ht="28.8" x14ac:dyDescent="0.3">
      <c r="A97" s="3" t="str">
        <f t="shared" si="2"/>
        <v/>
      </c>
      <c r="B97" s="3"/>
      <c r="C97" s="3"/>
      <c r="D97" s="3"/>
      <c r="E97" s="3"/>
      <c r="F97" s="3"/>
      <c r="G97" s="3"/>
      <c r="H97" s="3"/>
      <c r="I97" s="3"/>
      <c r="J97" s="3"/>
      <c r="K97" s="3"/>
      <c r="L97" s="3"/>
      <c r="M97" s="3" t="str">
        <f>IF(B97="","","LIST"&amp;"_"&amp;IFERROR(VLOOKUP(B97,LOOKUPS!$K$2:$L$9,2,FALSE),"UNK")&amp;"_"&amp;IFERROR(VLOOKUP(C97,LOOKUPS!$N$2:$O$10,2,FALSE),"UNK")&amp;"_"&amp;UPPER(L97))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ht="28.8" x14ac:dyDescent="0.3">
      <c r="A98" s="3" t="str">
        <f t="shared" si="2"/>
        <v/>
      </c>
      <c r="B98" s="3"/>
      <c r="C98" s="3"/>
      <c r="D98" s="3"/>
      <c r="E98" s="3"/>
      <c r="F98" s="3"/>
      <c r="G98" s="3"/>
      <c r="H98" s="3"/>
      <c r="I98" s="3"/>
      <c r="J98" s="3"/>
      <c r="K98" s="3"/>
      <c r="L98" s="3"/>
      <c r="M98" s="3" t="str">
        <f>IF(B98="","","LIST"&amp;"_"&amp;IFERROR(VLOOKUP(B98,LOOKUPS!$K$2:$L$9,2,FALSE),"UNK")&amp;"_"&amp;IFERROR(VLOOKUP(C98,LOOKUPS!$N$2:$O$10,2,FALSE),"UNK")&amp;"_"&amp;UPPER(L98))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ht="28.8" x14ac:dyDescent="0.3">
      <c r="A99" s="3" t="str">
        <f t="shared" si="2"/>
        <v/>
      </c>
      <c r="B99" s="3"/>
      <c r="C99" s="3"/>
      <c r="D99" s="3"/>
      <c r="E99" s="3"/>
      <c r="F99" s="3"/>
      <c r="G99" s="3"/>
      <c r="H99" s="3"/>
      <c r="I99" s="3"/>
      <c r="J99" s="3"/>
      <c r="K99" s="3"/>
      <c r="L99" s="3"/>
      <c r="M99" s="3" t="str">
        <f>IF(B99="","","LIST"&amp;"_"&amp;IFERROR(VLOOKUP(B99,LOOKUPS!$K$2:$L$9,2,FALSE),"UNK")&amp;"_"&amp;IFERROR(VLOOKUP(C99,LOOKUPS!$N$2:$O$10,2,FALSE),"UNK")&amp;"_"&amp;UPPER(L99))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ht="28.8" x14ac:dyDescent="0.3">
      <c r="A100" s="3" t="str">
        <f t="shared" si="2"/>
        <v/>
      </c>
      <c r="B100" s="3"/>
      <c r="C100" s="3"/>
      <c r="D100" s="3"/>
      <c r="E100" s="3"/>
      <c r="F100" s="3"/>
      <c r="G100" s="3"/>
      <c r="H100" s="3"/>
      <c r="I100" s="3"/>
      <c r="J100" s="3"/>
      <c r="K100" s="3"/>
      <c r="L100" s="3"/>
      <c r="M100" s="3" t="str">
        <f>IF(B100="","","LIST"&amp;"_"&amp;IFERROR(VLOOKUP(B100,LOOKUPS!$K$2:$L$9,2,FALSE),"UNK")&amp;"_"&amp;IFERROR(VLOOKUP(C100,LOOKUPS!$N$2:$O$10,2,FALSE),"UNK")&amp;"_"&amp;UPPER(L100))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ht="28.8" x14ac:dyDescent="0.3">
      <c r="A101" s="3" t="str">
        <f t="shared" si="2"/>
        <v/>
      </c>
      <c r="B101" s="3"/>
      <c r="C101" s="3"/>
      <c r="D101" s="3"/>
      <c r="E101" s="3"/>
      <c r="F101" s="3"/>
      <c r="G101" s="3"/>
      <c r="H101" s="3"/>
      <c r="I101" s="3"/>
      <c r="J101" s="3"/>
      <c r="K101" s="3"/>
      <c r="L101" s="3"/>
      <c r="M101" s="3" t="str">
        <f>IF(B101="","","LIST"&amp;"_"&amp;IFERROR(VLOOKUP(B101,LOOKUPS!$K$2:$L$9,2,FALSE),"UNK")&amp;"_"&amp;IFERROR(VLOOKUP(C101,LOOKUPS!$N$2:$O$10,2,FALSE),"UNK")&amp;"_"&amp;UPPER(L101))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ht="28.8" x14ac:dyDescent="0.3">
      <c r="A102" s="3" t="str">
        <f t="shared" si="2"/>
        <v/>
      </c>
      <c r="B102" s="3"/>
      <c r="C102" s="3"/>
      <c r="D102" s="3"/>
      <c r="E102" s="3"/>
      <c r="F102" s="3"/>
      <c r="G102" s="3"/>
      <c r="H102" s="3"/>
      <c r="I102" s="3"/>
      <c r="J102" s="3"/>
      <c r="K102" s="3"/>
      <c r="L102" s="3"/>
      <c r="M102" s="3" t="str">
        <f>IF(B102="","","LIST"&amp;"_"&amp;IFERROR(VLOOKUP(B102,LOOKUPS!$K$2:$L$9,2,FALSE),"UNK")&amp;"_"&amp;IFERROR(VLOOKUP(C102,LOOKUPS!$N$2:$O$10,2,FALSE),"UNK")&amp;"_"&amp;UPPER(L102))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ht="28.8" x14ac:dyDescent="0.3">
      <c r="A103" s="3" t="str">
        <f t="shared" si="2"/>
        <v/>
      </c>
      <c r="B103" s="3"/>
      <c r="C103" s="3"/>
      <c r="D103" s="3"/>
      <c r="E103" s="3"/>
      <c r="F103" s="3"/>
      <c r="G103" s="3"/>
      <c r="H103" s="3"/>
      <c r="I103" s="3"/>
      <c r="J103" s="3"/>
      <c r="K103" s="3"/>
      <c r="L103" s="3"/>
      <c r="M103" s="3" t="str">
        <f>IF(B103="","","LIST"&amp;"_"&amp;IFERROR(VLOOKUP(B103,LOOKUPS!$K$2:$L$9,2,FALSE),"UNK")&amp;"_"&amp;IFERROR(VLOOKUP(C103,LOOKUPS!$N$2:$O$10,2,FALSE),"UNK")&amp;"_"&amp;UPPER(L103))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ht="28.8" x14ac:dyDescent="0.3">
      <c r="A104" s="3" t="str">
        <f t="shared" si="2"/>
        <v/>
      </c>
      <c r="B104" s="3"/>
      <c r="C104" s="3"/>
      <c r="D104" s="3"/>
      <c r="E104" s="3"/>
      <c r="F104" s="3"/>
      <c r="G104" s="3"/>
      <c r="H104" s="3"/>
      <c r="I104" s="3"/>
      <c r="J104" s="3"/>
      <c r="K104" s="3"/>
      <c r="L104" s="3"/>
      <c r="M104" s="3" t="str">
        <f>IF(B104="","","LIST"&amp;"_"&amp;IFERROR(VLOOKUP(B104,LOOKUPS!$K$2:$L$9,2,FALSE),"UNK")&amp;"_"&amp;IFERROR(VLOOKUP(C104,LOOKUPS!$N$2:$O$10,2,FALSE),"UNK")&amp;"_"&amp;UPPER(L104))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ht="28.8" x14ac:dyDescent="0.3">
      <c r="A105" s="3" t="str">
        <f t="shared" si="2"/>
        <v/>
      </c>
      <c r="B105" s="3"/>
      <c r="C105" s="3"/>
      <c r="D105" s="3"/>
      <c r="E105" s="3"/>
      <c r="F105" s="3"/>
      <c r="G105" s="3"/>
      <c r="H105" s="3"/>
      <c r="I105" s="3"/>
      <c r="J105" s="3"/>
      <c r="K105" s="3"/>
      <c r="L105" s="3"/>
      <c r="M105" s="3" t="str">
        <f>IF(B105="","","LIST"&amp;"_"&amp;IFERROR(VLOOKUP(B105,LOOKUPS!$K$2:$L$9,2,FALSE),"UNK")&amp;"_"&amp;IFERROR(VLOOKUP(C105,LOOKUPS!$N$2:$O$10,2,FALSE),"UNK")&amp;"_"&amp;UPPER(L105))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ht="28.8" x14ac:dyDescent="0.3">
      <c r="A106" s="3" t="str">
        <f t="shared" si="2"/>
        <v/>
      </c>
      <c r="B106" s="3"/>
      <c r="C106" s="3"/>
      <c r="D106" s="3"/>
      <c r="E106" s="3"/>
      <c r="F106" s="3"/>
      <c r="G106" s="3"/>
      <c r="H106" s="3"/>
      <c r="I106" s="3"/>
      <c r="J106" s="3"/>
      <c r="K106" s="3"/>
      <c r="L106" s="3"/>
      <c r="M106" s="3" t="str">
        <f>IF(B106="","","LIST"&amp;"_"&amp;IFERROR(VLOOKUP(B106,LOOKUPS!$K$2:$L$9,2,FALSE),"UNK")&amp;"_"&amp;IFERROR(VLOOKUP(C106,LOOKUPS!$N$2:$O$10,2,FALSE),"UNK")&amp;"_"&amp;UPPER(L106))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ht="28.8" x14ac:dyDescent="0.3">
      <c r="A107" s="3" t="str">
        <f t="shared" si="2"/>
        <v/>
      </c>
      <c r="B107" s="3"/>
      <c r="C107" s="3"/>
      <c r="D107" s="3"/>
      <c r="E107" s="3"/>
      <c r="F107" s="3"/>
      <c r="G107" s="3"/>
      <c r="H107" s="3"/>
      <c r="I107" s="3"/>
      <c r="J107" s="3"/>
      <c r="K107" s="3"/>
      <c r="L107" s="3"/>
      <c r="M107" s="3" t="str">
        <f>IF(B107="","","LIST"&amp;"_"&amp;IFERROR(VLOOKUP(B107,LOOKUPS!$K$2:$L$9,2,FALSE),"UNK")&amp;"_"&amp;IFERROR(VLOOKUP(C107,LOOKUPS!$N$2:$O$10,2,FALSE),"UNK")&amp;"_"&amp;UPPER(L107))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ht="28.8" x14ac:dyDescent="0.3">
      <c r="A108" s="3" t="str">
        <f t="shared" si="2"/>
        <v/>
      </c>
      <c r="B108" s="3"/>
      <c r="C108" s="3"/>
      <c r="D108" s="3"/>
      <c r="E108" s="3"/>
      <c r="F108" s="3"/>
      <c r="G108" s="3"/>
      <c r="H108" s="3"/>
      <c r="I108" s="3"/>
      <c r="J108" s="3"/>
      <c r="K108" s="3"/>
      <c r="L108" s="3"/>
      <c r="M108" s="3" t="str">
        <f>IF(B108="","","LIST"&amp;"_"&amp;IFERROR(VLOOKUP(B108,LOOKUPS!$K$2:$L$9,2,FALSE),"UNK")&amp;"_"&amp;IFERROR(VLOOKUP(C108,LOOKUPS!$N$2:$O$10,2,FALSE),"UNK")&amp;"_"&amp;UPPER(L108))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ht="28.8" x14ac:dyDescent="0.3">
      <c r="A109" s="3" t="str">
        <f t="shared" si="2"/>
        <v/>
      </c>
      <c r="B109" s="3"/>
      <c r="C109" s="3"/>
      <c r="D109" s="3"/>
      <c r="E109" s="3"/>
      <c r="F109" s="3"/>
      <c r="G109" s="3"/>
      <c r="H109" s="3"/>
      <c r="I109" s="3"/>
      <c r="J109" s="3"/>
      <c r="K109" s="3"/>
      <c r="L109" s="3"/>
      <c r="M109" s="3" t="str">
        <f>IF(B109="","","LIST"&amp;"_"&amp;IFERROR(VLOOKUP(B109,LOOKUPS!$K$2:$L$9,2,FALSE),"UNK")&amp;"_"&amp;IFERROR(VLOOKUP(C109,LOOKUPS!$N$2:$O$10,2,FALSE),"UNK")&amp;"_"&amp;UPPER(L109))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ht="28.8" x14ac:dyDescent="0.3">
      <c r="A110" s="3" t="str">
        <f t="shared" si="2"/>
        <v/>
      </c>
      <c r="B110" s="3"/>
      <c r="C110" s="3"/>
      <c r="D110" s="3"/>
      <c r="E110" s="3"/>
      <c r="F110" s="3"/>
      <c r="G110" s="3"/>
      <c r="H110" s="3"/>
      <c r="I110" s="3"/>
      <c r="J110" s="3"/>
      <c r="K110" s="3"/>
      <c r="L110" s="3"/>
      <c r="M110" s="3" t="str">
        <f>IF(B110="","","LIST"&amp;"_"&amp;IFERROR(VLOOKUP(B110,LOOKUPS!$K$2:$L$9,2,FALSE),"UNK")&amp;"_"&amp;IFERROR(VLOOKUP(C110,LOOKUPS!$N$2:$O$10,2,FALSE),"UNK")&amp;"_"&amp;UPPER(L110))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ht="28.8" x14ac:dyDescent="0.3">
      <c r="A111" s="3" t="str">
        <f t="shared" si="2"/>
        <v/>
      </c>
      <c r="B111" s="3"/>
      <c r="C111" s="3"/>
      <c r="D111" s="3"/>
      <c r="E111" s="3"/>
      <c r="F111" s="3"/>
      <c r="G111" s="3"/>
      <c r="H111" s="3"/>
      <c r="I111" s="3"/>
      <c r="J111" s="3"/>
      <c r="K111" s="3"/>
      <c r="L111" s="3"/>
      <c r="M111" s="3" t="str">
        <f>IF(B111="","","LIST"&amp;"_"&amp;IFERROR(VLOOKUP(B111,LOOKUPS!$K$2:$L$9,2,FALSE),"UNK")&amp;"_"&amp;IFERROR(VLOOKUP(C111,LOOKUPS!$N$2:$O$10,2,FALSE),"UNK")&amp;"_"&amp;UPPER(L111))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ht="28.8" x14ac:dyDescent="0.3">
      <c r="A112" s="3" t="str">
        <f t="shared" si="2"/>
        <v/>
      </c>
      <c r="B112" s="3"/>
      <c r="C112" s="3"/>
      <c r="D112" s="3"/>
      <c r="E112" s="3"/>
      <c r="F112" s="3"/>
      <c r="G112" s="3"/>
      <c r="H112" s="3"/>
      <c r="I112" s="3"/>
      <c r="J112" s="3"/>
      <c r="K112" s="3"/>
      <c r="L112" s="3"/>
      <c r="M112" s="3" t="str">
        <f>IF(B112="","","LIST"&amp;"_"&amp;IFERROR(VLOOKUP(B112,LOOKUPS!$K$2:$L$9,2,FALSE),"UNK")&amp;"_"&amp;IFERROR(VLOOKUP(C112,LOOKUPS!$N$2:$O$10,2,FALSE),"UNK")&amp;"_"&amp;UPPER(L112))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ht="28.8" x14ac:dyDescent="0.3">
      <c r="A113" s="3" t="str">
        <f t="shared" si="2"/>
        <v/>
      </c>
      <c r="B113" s="3"/>
      <c r="C113" s="3"/>
      <c r="D113" s="3"/>
      <c r="E113" s="3"/>
      <c r="F113" s="3"/>
      <c r="G113" s="3"/>
      <c r="H113" s="3"/>
      <c r="I113" s="3"/>
      <c r="J113" s="3"/>
      <c r="K113" s="3"/>
      <c r="L113" s="3"/>
      <c r="M113" s="3" t="str">
        <f>IF(B113="","","LIST"&amp;"_"&amp;IFERROR(VLOOKUP(B113,LOOKUPS!$K$2:$L$9,2,FALSE),"UNK")&amp;"_"&amp;IFERROR(VLOOKUP(C113,LOOKUPS!$N$2:$O$10,2,FALSE),"UNK")&amp;"_"&amp;UPPER(L113))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ht="28.8" x14ac:dyDescent="0.3">
      <c r="A114" s="3" t="str">
        <f t="shared" si="2"/>
        <v/>
      </c>
      <c r="B114" s="3"/>
      <c r="C114" s="3"/>
      <c r="D114" s="3"/>
      <c r="E114" s="3"/>
      <c r="F114" s="3"/>
      <c r="G114" s="3"/>
      <c r="H114" s="3"/>
      <c r="I114" s="3"/>
      <c r="J114" s="3"/>
      <c r="K114" s="3"/>
      <c r="L114" s="3"/>
      <c r="M114" s="3" t="str">
        <f>IF(B114="","","LIST"&amp;"_"&amp;IFERROR(VLOOKUP(B114,LOOKUPS!$K$2:$L$9,2,FALSE),"UNK")&amp;"_"&amp;IFERROR(VLOOKUP(C114,LOOKUPS!$N$2:$O$10,2,FALSE),"UNK")&amp;"_"&amp;UPPER(L114))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ht="28.8" x14ac:dyDescent="0.3">
      <c r="A115" s="3" t="str">
        <f t="shared" si="2"/>
        <v/>
      </c>
      <c r="B115" s="3"/>
      <c r="C115" s="3"/>
      <c r="D115" s="3"/>
      <c r="E115" s="3"/>
      <c r="F115" s="3"/>
      <c r="G115" s="3"/>
      <c r="H115" s="3"/>
      <c r="I115" s="3"/>
      <c r="J115" s="3"/>
      <c r="K115" s="3"/>
      <c r="L115" s="3"/>
      <c r="M115" s="3" t="str">
        <f>IF(B115="","","LIST"&amp;"_"&amp;IFERROR(VLOOKUP(B115,LOOKUPS!$K$2:$L$9,2,FALSE),"UNK")&amp;"_"&amp;IFERROR(VLOOKUP(C115,LOOKUPS!$N$2:$O$10,2,FALSE),"UNK")&amp;"_"&amp;UPPER(L115))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ht="28.8" x14ac:dyDescent="0.3">
      <c r="A116" s="3" t="str">
        <f t="shared" si="2"/>
        <v/>
      </c>
      <c r="B116" s="3"/>
      <c r="C116" s="3"/>
      <c r="D116" s="3"/>
      <c r="E116" s="3"/>
      <c r="F116" s="3"/>
      <c r="G116" s="3"/>
      <c r="H116" s="3"/>
      <c r="I116" s="3"/>
      <c r="J116" s="3"/>
      <c r="K116" s="3"/>
      <c r="L116" s="3"/>
      <c r="M116" s="3" t="str">
        <f>IF(B116="","","LIST"&amp;"_"&amp;IFERROR(VLOOKUP(B116,LOOKUPS!$K$2:$L$9,2,FALSE),"UNK")&amp;"_"&amp;IFERROR(VLOOKUP(C116,LOOKUPS!$N$2:$O$10,2,FALSE),"UNK")&amp;"_"&amp;UPPER(L116))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ht="28.8" x14ac:dyDescent="0.3">
      <c r="A117" s="3" t="str">
        <f t="shared" si="2"/>
        <v/>
      </c>
      <c r="B117" s="3"/>
      <c r="C117" s="3"/>
      <c r="D117" s="3"/>
      <c r="E117" s="3"/>
      <c r="F117" s="3"/>
      <c r="G117" s="3"/>
      <c r="H117" s="3"/>
      <c r="I117" s="3"/>
      <c r="J117" s="3"/>
      <c r="K117" s="3"/>
      <c r="L117" s="3"/>
      <c r="M117" s="3" t="str">
        <f>IF(B117="","","LIST"&amp;"_"&amp;IFERROR(VLOOKUP(B117,LOOKUPS!$K$2:$L$9,2,FALSE),"UNK")&amp;"_"&amp;IFERROR(VLOOKUP(C117,LOOKUPS!$N$2:$O$10,2,FALSE),"UNK")&amp;"_"&amp;UPPER(L117))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ht="28.8" x14ac:dyDescent="0.3">
      <c r="A118" s="3" t="str">
        <f t="shared" si="2"/>
        <v/>
      </c>
      <c r="B118" s="3"/>
      <c r="C118" s="3"/>
      <c r="D118" s="3"/>
      <c r="E118" s="3"/>
      <c r="F118" s="3"/>
      <c r="G118" s="3"/>
      <c r="H118" s="3"/>
      <c r="I118" s="3"/>
      <c r="J118" s="3"/>
      <c r="K118" s="3"/>
      <c r="L118" s="3"/>
      <c r="M118" s="3" t="str">
        <f>IF(B118="","","LIST"&amp;"_"&amp;IFERROR(VLOOKUP(B118,LOOKUPS!$K$2:$L$9,2,FALSE),"UNK")&amp;"_"&amp;IFERROR(VLOOKUP(C118,LOOKUPS!$N$2:$O$10,2,FALSE),"UNK")&amp;"_"&amp;UPPER(L118))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ht="28.8" x14ac:dyDescent="0.3">
      <c r="A119" s="3" t="str">
        <f t="shared" si="2"/>
        <v/>
      </c>
      <c r="B119" s="3"/>
      <c r="C119" s="3"/>
      <c r="D119" s="3"/>
      <c r="E119" s="3"/>
      <c r="F119" s="3"/>
      <c r="G119" s="3"/>
      <c r="H119" s="3"/>
      <c r="I119" s="3"/>
      <c r="J119" s="3"/>
      <c r="K119" s="3"/>
      <c r="L119" s="3"/>
      <c r="M119" s="3" t="str">
        <f>IF(B119="","","LIST"&amp;"_"&amp;IFERROR(VLOOKUP(B119,LOOKUPS!$K$2:$L$9,2,FALSE),"UNK")&amp;"_"&amp;IFERROR(VLOOKUP(C119,LOOKUPS!$N$2:$O$10,2,FALSE),"UNK")&amp;"_"&amp;UPPER(L119))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ht="28.8" x14ac:dyDescent="0.3">
      <c r="A120" s="3" t="str">
        <f t="shared" si="2"/>
        <v/>
      </c>
      <c r="B120" s="3"/>
      <c r="C120" s="3"/>
      <c r="D120" s="3"/>
      <c r="E120" s="3"/>
      <c r="F120" s="3"/>
      <c r="G120" s="3"/>
      <c r="H120" s="3"/>
      <c r="I120" s="3"/>
      <c r="J120" s="3"/>
      <c r="K120" s="3"/>
      <c r="L120" s="3"/>
      <c r="M120" s="3" t="str">
        <f>IF(B120="","","LIST"&amp;"_"&amp;IFERROR(VLOOKUP(B120,LOOKUPS!$K$2:$L$9,2,FALSE),"UNK")&amp;"_"&amp;IFERROR(VLOOKUP(C120,LOOKUPS!$N$2:$O$10,2,FALSE),"UNK")&amp;"_"&amp;UPPER(L120))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ht="28.8" x14ac:dyDescent="0.3">
      <c r="A121" s="3" t="str">
        <f t="shared" si="2"/>
        <v/>
      </c>
      <c r="B121" s="3"/>
      <c r="C121" s="3"/>
      <c r="D121" s="3"/>
      <c r="E121" s="3"/>
      <c r="F121" s="3"/>
      <c r="G121" s="3"/>
      <c r="H121" s="3"/>
      <c r="I121" s="3"/>
      <c r="J121" s="3"/>
      <c r="K121" s="3"/>
      <c r="L121" s="3"/>
      <c r="M121" s="3" t="str">
        <f>IF(B121="","","LIST"&amp;"_"&amp;IFERROR(VLOOKUP(B121,LOOKUPS!$K$2:$L$9,2,FALSE),"UNK")&amp;"_"&amp;IFERROR(VLOOKUP(C121,LOOKUPS!$N$2:$O$10,2,FALSE),"UNK")&amp;"_"&amp;UPPER(L121))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ht="28.8" x14ac:dyDescent="0.3">
      <c r="A122" s="3" t="str">
        <f t="shared" si="2"/>
        <v/>
      </c>
      <c r="B122" s="3"/>
      <c r="C122" s="3"/>
      <c r="D122" s="3"/>
      <c r="E122" s="3"/>
      <c r="F122" s="3"/>
      <c r="G122" s="3"/>
      <c r="H122" s="3"/>
      <c r="I122" s="3"/>
      <c r="J122" s="3"/>
      <c r="K122" s="3"/>
      <c r="L122" s="3"/>
      <c r="M122" s="3" t="str">
        <f>IF(B122="","","LIST"&amp;"_"&amp;IFERROR(VLOOKUP(B122,LOOKUPS!$K$2:$L$9,2,FALSE),"UNK")&amp;"_"&amp;IFERROR(VLOOKUP(C122,LOOKUPS!$N$2:$O$10,2,FALSE),"UNK")&amp;"_"&amp;UPPER(L122))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ht="28.8" x14ac:dyDescent="0.3">
      <c r="A123" s="3" t="str">
        <f t="shared" si="2"/>
        <v/>
      </c>
      <c r="B123" s="3"/>
      <c r="C123" s="3"/>
      <c r="D123" s="3"/>
      <c r="E123" s="3"/>
      <c r="F123" s="3"/>
      <c r="G123" s="3"/>
      <c r="H123" s="3"/>
      <c r="I123" s="3"/>
      <c r="J123" s="3"/>
      <c r="K123" s="3"/>
      <c r="L123" s="3"/>
      <c r="M123" s="3" t="str">
        <f>IF(B123="","","LIST"&amp;"_"&amp;IFERROR(VLOOKUP(B123,LOOKUPS!$K$2:$L$9,2,FALSE),"UNK")&amp;"_"&amp;IFERROR(VLOOKUP(C123,LOOKUPS!$N$2:$O$10,2,FALSE),"UNK")&amp;"_"&amp;UPPER(L123))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ht="28.8" x14ac:dyDescent="0.3">
      <c r="A124" s="3" t="str">
        <f t="shared" si="2"/>
        <v/>
      </c>
      <c r="B124" s="3"/>
      <c r="C124" s="3"/>
      <c r="D124" s="3"/>
      <c r="E124" s="3"/>
      <c r="F124" s="3"/>
      <c r="G124" s="3"/>
      <c r="H124" s="3"/>
      <c r="I124" s="3"/>
      <c r="J124" s="3"/>
      <c r="K124" s="3"/>
      <c r="L124" s="3"/>
      <c r="M124" s="3" t="str">
        <f>IF(B124="","","LIST"&amp;"_"&amp;IFERROR(VLOOKUP(B124,LOOKUPS!$K$2:$L$9,2,FALSE),"UNK")&amp;"_"&amp;IFERROR(VLOOKUP(C124,LOOKUPS!$N$2:$O$10,2,FALSE),"UNK")&amp;"_"&amp;UPPER(L124))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ht="28.8" x14ac:dyDescent="0.3">
      <c r="A125" s="3" t="str">
        <f t="shared" si="2"/>
        <v/>
      </c>
      <c r="B125" s="3"/>
      <c r="C125" s="3"/>
      <c r="D125" s="3"/>
      <c r="E125" s="3"/>
      <c r="F125" s="3"/>
      <c r="G125" s="3"/>
      <c r="H125" s="3"/>
      <c r="I125" s="3"/>
      <c r="J125" s="3"/>
      <c r="K125" s="3"/>
      <c r="L125" s="3"/>
      <c r="M125" s="3" t="str">
        <f>IF(B125="","","LIST"&amp;"_"&amp;IFERROR(VLOOKUP(B125,LOOKUPS!$K$2:$L$9,2,FALSE),"UNK")&amp;"_"&amp;IFERROR(VLOOKUP(C125,LOOKUPS!$N$2:$O$10,2,FALSE),"UNK")&amp;"_"&amp;UPPER(L125))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ht="28.8" x14ac:dyDescent="0.3">
      <c r="A126" s="3" t="str">
        <f t="shared" si="2"/>
        <v/>
      </c>
      <c r="B126" s="3"/>
      <c r="C126" s="3"/>
      <c r="D126" s="3"/>
      <c r="E126" s="3"/>
      <c r="F126" s="3"/>
      <c r="G126" s="3"/>
      <c r="H126" s="3"/>
      <c r="I126" s="3"/>
      <c r="J126" s="3"/>
      <c r="K126" s="3"/>
      <c r="L126" s="3"/>
      <c r="M126" s="3" t="str">
        <f>IF(B126="","","LIST"&amp;"_"&amp;IFERROR(VLOOKUP(B126,LOOKUPS!$K$2:$L$9,2,FALSE),"UNK")&amp;"_"&amp;IFERROR(VLOOKUP(C126,LOOKUPS!$N$2:$O$10,2,FALSE),"UNK")&amp;"_"&amp;UPPER(L126))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ht="28.8" x14ac:dyDescent="0.3">
      <c r="A127" s="3" t="str">
        <f t="shared" si="2"/>
        <v/>
      </c>
      <c r="B127" s="3"/>
      <c r="C127" s="3"/>
      <c r="D127" s="3"/>
      <c r="E127" s="3"/>
      <c r="F127" s="3"/>
      <c r="G127" s="3"/>
      <c r="H127" s="3"/>
      <c r="I127" s="3"/>
      <c r="J127" s="3"/>
      <c r="K127" s="3"/>
      <c r="L127" s="3"/>
      <c r="M127" s="3" t="str">
        <f>IF(B127="","","LIST"&amp;"_"&amp;IFERROR(VLOOKUP(B127,LOOKUPS!$K$2:$L$9,2,FALSE),"UNK")&amp;"_"&amp;IFERROR(VLOOKUP(C127,LOOKUPS!$N$2:$O$10,2,FALSE),"UNK")&amp;"_"&amp;UPPER(L127))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ht="28.8" x14ac:dyDescent="0.3">
      <c r="A128" s="3" t="str">
        <f t="shared" si="2"/>
        <v/>
      </c>
      <c r="B128" s="3"/>
      <c r="C128" s="3"/>
      <c r="D128" s="3"/>
      <c r="E128" s="3"/>
      <c r="F128" s="3"/>
      <c r="G128" s="3"/>
      <c r="H128" s="3"/>
      <c r="I128" s="3"/>
      <c r="J128" s="3"/>
      <c r="K128" s="3"/>
      <c r="L128" s="3"/>
      <c r="M128" s="3" t="str">
        <f>IF(B128="","","LIST"&amp;"_"&amp;IFERROR(VLOOKUP(B128,LOOKUPS!$K$2:$L$9,2,FALSE),"UNK")&amp;"_"&amp;IFERROR(VLOOKUP(C128,LOOKUPS!$N$2:$O$10,2,FALSE),"UNK")&amp;"_"&amp;UPPER(L128))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ht="28.8" x14ac:dyDescent="0.3">
      <c r="A129" s="3" t="str">
        <f t="shared" si="2"/>
        <v/>
      </c>
      <c r="B129" s="3"/>
      <c r="C129" s="3"/>
      <c r="D129" s="3"/>
      <c r="E129" s="3"/>
      <c r="F129" s="3"/>
      <c r="G129" s="3"/>
      <c r="H129" s="3"/>
      <c r="I129" s="3"/>
      <c r="J129" s="3"/>
      <c r="K129" s="3"/>
      <c r="L129" s="3"/>
      <c r="M129" s="3" t="str">
        <f>IF(B129="","","LIST"&amp;"_"&amp;IFERROR(VLOOKUP(B129,LOOKUPS!$K$2:$L$9,2,FALSE),"UNK")&amp;"_"&amp;IFERROR(VLOOKUP(C129,LOOKUPS!$N$2:$O$10,2,FALSE),"UNK")&amp;"_"&amp;UPPER(L129))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ht="28.8" x14ac:dyDescent="0.3">
      <c r="A130" s="3" t="str">
        <f t="shared" ref="A130:A193" si="3">IF(M130="","",M130&amp;"_"&amp;TEXT(N130,"000"))</f>
        <v/>
      </c>
      <c r="B130" s="3"/>
      <c r="C130" s="3"/>
      <c r="D130" s="3"/>
      <c r="E130" s="3"/>
      <c r="F130" s="3"/>
      <c r="G130" s="3"/>
      <c r="H130" s="3"/>
      <c r="I130" s="3"/>
      <c r="J130" s="3"/>
      <c r="K130" s="3"/>
      <c r="L130" s="3"/>
      <c r="M130" s="3" t="str">
        <f>IF(B130="","","LIST"&amp;"_"&amp;IFERROR(VLOOKUP(B130,LOOKUPS!$K$2:$L$9,2,FALSE),"UNK")&amp;"_"&amp;IFERROR(VLOOKUP(C130,LOOKUPS!$N$2:$O$10,2,FALSE),"UNK")&amp;"_"&amp;UPPER(L130))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ht="28.8" x14ac:dyDescent="0.3">
      <c r="A131" s="3" t="str">
        <f t="shared" si="3"/>
        <v/>
      </c>
      <c r="B131" s="3"/>
      <c r="C131" s="3"/>
      <c r="D131" s="3"/>
      <c r="E131" s="3"/>
      <c r="F131" s="3"/>
      <c r="G131" s="3"/>
      <c r="H131" s="3"/>
      <c r="I131" s="3"/>
      <c r="J131" s="3"/>
      <c r="K131" s="3"/>
      <c r="L131" s="3"/>
      <c r="M131" s="3" t="str">
        <f>IF(B131="","","LIST"&amp;"_"&amp;IFERROR(VLOOKUP(B131,LOOKUPS!$K$2:$L$9,2,FALSE),"UNK")&amp;"_"&amp;IFERROR(VLOOKUP(C131,LOOKUPS!$N$2:$O$10,2,FALSE),"UNK")&amp;"_"&amp;UPPER(L131))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ht="28.8" x14ac:dyDescent="0.3">
      <c r="A132" s="3" t="str">
        <f t="shared" si="3"/>
        <v/>
      </c>
      <c r="B132" s="3"/>
      <c r="C132" s="3"/>
      <c r="D132" s="3"/>
      <c r="E132" s="3"/>
      <c r="F132" s="3"/>
      <c r="G132" s="3"/>
      <c r="H132" s="3"/>
      <c r="I132" s="3"/>
      <c r="J132" s="3"/>
      <c r="K132" s="3"/>
      <c r="L132" s="3"/>
      <c r="M132" s="3" t="str">
        <f>IF(B132="","","LIST"&amp;"_"&amp;IFERROR(VLOOKUP(B132,LOOKUPS!$K$2:$L$9,2,FALSE),"UNK")&amp;"_"&amp;IFERROR(VLOOKUP(C132,LOOKUPS!$N$2:$O$10,2,FALSE),"UNK")&amp;"_"&amp;UPPER(L132))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ht="28.8" x14ac:dyDescent="0.3">
      <c r="A133" s="3" t="str">
        <f t="shared" si="3"/>
        <v/>
      </c>
      <c r="B133" s="3"/>
      <c r="C133" s="3"/>
      <c r="D133" s="3"/>
      <c r="E133" s="3"/>
      <c r="F133" s="3"/>
      <c r="G133" s="3"/>
      <c r="H133" s="3"/>
      <c r="I133" s="3"/>
      <c r="J133" s="3"/>
      <c r="K133" s="3"/>
      <c r="L133" s="3"/>
      <c r="M133" s="3" t="str">
        <f>IF(B133="","","LIST"&amp;"_"&amp;IFERROR(VLOOKUP(B133,LOOKUPS!$K$2:$L$9,2,FALSE),"UNK")&amp;"_"&amp;IFERROR(VLOOKUP(C133,LOOKUPS!$N$2:$O$10,2,FALSE),"UNK")&amp;"_"&amp;UPPER(L133))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ht="28.8" x14ac:dyDescent="0.3">
      <c r="A134" s="3" t="str">
        <f t="shared" si="3"/>
        <v/>
      </c>
      <c r="B134" s="3"/>
      <c r="C134" s="3"/>
      <c r="D134" s="3"/>
      <c r="E134" s="3"/>
      <c r="F134" s="3"/>
      <c r="G134" s="3"/>
      <c r="H134" s="3"/>
      <c r="I134" s="3"/>
      <c r="J134" s="3"/>
      <c r="K134" s="3"/>
      <c r="L134" s="3"/>
      <c r="M134" s="3" t="str">
        <f>IF(B134="","","LIST"&amp;"_"&amp;IFERROR(VLOOKUP(B134,LOOKUPS!$K$2:$L$9,2,FALSE),"UNK")&amp;"_"&amp;IFERROR(VLOOKUP(C134,LOOKUPS!$N$2:$O$10,2,FALSE),"UNK")&amp;"_"&amp;UPPER(L134))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ht="28.8" x14ac:dyDescent="0.3">
      <c r="A135" s="3" t="str">
        <f t="shared" si="3"/>
        <v/>
      </c>
      <c r="B135" s="3"/>
      <c r="C135" s="3"/>
      <c r="D135" s="3"/>
      <c r="E135" s="3"/>
      <c r="F135" s="3"/>
      <c r="G135" s="3"/>
      <c r="H135" s="3"/>
      <c r="I135" s="3"/>
      <c r="J135" s="3"/>
      <c r="K135" s="3"/>
      <c r="L135" s="3"/>
      <c r="M135" s="3" t="str">
        <f>IF(B135="","","LIST"&amp;"_"&amp;IFERROR(VLOOKUP(B135,LOOKUPS!$K$2:$L$9,2,FALSE),"UNK")&amp;"_"&amp;IFERROR(VLOOKUP(C135,LOOKUPS!$N$2:$O$10,2,FALSE),"UNK")&amp;"_"&amp;UPPER(L135))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ht="28.8" x14ac:dyDescent="0.3">
      <c r="A136" s="3" t="str">
        <f t="shared" si="3"/>
        <v/>
      </c>
      <c r="B136" s="3"/>
      <c r="C136" s="3"/>
      <c r="D136" s="3"/>
      <c r="E136" s="3"/>
      <c r="F136" s="3"/>
      <c r="G136" s="3"/>
      <c r="H136" s="3"/>
      <c r="I136" s="3"/>
      <c r="J136" s="3"/>
      <c r="K136" s="3"/>
      <c r="L136" s="3"/>
      <c r="M136" s="3" t="str">
        <f>IF(B136="","","LIST"&amp;"_"&amp;IFERROR(VLOOKUP(B136,LOOKUPS!$K$2:$L$9,2,FALSE),"UNK")&amp;"_"&amp;IFERROR(VLOOKUP(C136,LOOKUPS!$N$2:$O$10,2,FALSE),"UNK")&amp;"_"&amp;UPPER(L136))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ht="28.8" x14ac:dyDescent="0.3">
      <c r="A137" s="3" t="str">
        <f t="shared" si="3"/>
        <v/>
      </c>
      <c r="B137" s="3"/>
      <c r="C137" s="3"/>
      <c r="D137" s="3"/>
      <c r="E137" s="3"/>
      <c r="F137" s="3"/>
      <c r="G137" s="3"/>
      <c r="H137" s="3"/>
      <c r="I137" s="3"/>
      <c r="J137" s="3"/>
      <c r="K137" s="3"/>
      <c r="L137" s="3"/>
      <c r="M137" s="3" t="str">
        <f>IF(B137="","","LIST"&amp;"_"&amp;IFERROR(VLOOKUP(B137,LOOKUPS!$K$2:$L$9,2,FALSE),"UNK")&amp;"_"&amp;IFERROR(VLOOKUP(C137,LOOKUPS!$N$2:$O$10,2,FALSE),"UNK")&amp;"_"&amp;UPPER(L137))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ht="28.8" x14ac:dyDescent="0.3">
      <c r="A138" s="3" t="str">
        <f t="shared" si="3"/>
        <v/>
      </c>
      <c r="B138" s="3"/>
      <c r="C138" s="3"/>
      <c r="D138" s="3"/>
      <c r="E138" s="3"/>
      <c r="F138" s="3"/>
      <c r="G138" s="3"/>
      <c r="H138" s="3"/>
      <c r="I138" s="3"/>
      <c r="J138" s="3"/>
      <c r="K138" s="3"/>
      <c r="L138" s="3"/>
      <c r="M138" s="3" t="str">
        <f>IF(B138="","","LIST"&amp;"_"&amp;IFERROR(VLOOKUP(B138,LOOKUPS!$K$2:$L$9,2,FALSE),"UNK")&amp;"_"&amp;IFERROR(VLOOKUP(C138,LOOKUPS!$N$2:$O$10,2,FALSE),"UNK")&amp;"_"&amp;UPPER(L138))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ht="28.8" x14ac:dyDescent="0.3">
      <c r="A139" s="3" t="str">
        <f t="shared" si="3"/>
        <v/>
      </c>
      <c r="B139" s="3"/>
      <c r="C139" s="3"/>
      <c r="D139" s="3"/>
      <c r="E139" s="3"/>
      <c r="F139" s="3"/>
      <c r="G139" s="3"/>
      <c r="H139" s="3"/>
      <c r="I139" s="3"/>
      <c r="J139" s="3"/>
      <c r="K139" s="3"/>
      <c r="L139" s="3"/>
      <c r="M139" s="3" t="str">
        <f>IF(B139="","","LIST"&amp;"_"&amp;IFERROR(VLOOKUP(B139,LOOKUPS!$K$2:$L$9,2,FALSE),"UNK")&amp;"_"&amp;IFERROR(VLOOKUP(C139,LOOKUPS!$N$2:$O$10,2,FALSE),"UNK")&amp;"_"&amp;UPPER(L139))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ht="28.8" x14ac:dyDescent="0.3">
      <c r="A140" s="3" t="str">
        <f t="shared" si="3"/>
        <v/>
      </c>
      <c r="B140" s="3"/>
      <c r="C140" s="3"/>
      <c r="D140" s="3"/>
      <c r="E140" s="3"/>
      <c r="F140" s="3"/>
      <c r="G140" s="3"/>
      <c r="H140" s="3"/>
      <c r="I140" s="3"/>
      <c r="J140" s="3"/>
      <c r="K140" s="3"/>
      <c r="L140" s="3"/>
      <c r="M140" s="3" t="str">
        <f>IF(B140="","","LIST"&amp;"_"&amp;IFERROR(VLOOKUP(B140,LOOKUPS!$K$2:$L$9,2,FALSE),"UNK")&amp;"_"&amp;IFERROR(VLOOKUP(C140,LOOKUPS!$N$2:$O$10,2,FALSE),"UNK")&amp;"_"&amp;UPPER(L140))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ht="28.8" x14ac:dyDescent="0.3">
      <c r="A141" s="3" t="str">
        <f t="shared" si="3"/>
        <v/>
      </c>
      <c r="B141" s="3"/>
      <c r="C141" s="3"/>
      <c r="D141" s="3"/>
      <c r="E141" s="3"/>
      <c r="F141" s="3"/>
      <c r="G141" s="3"/>
      <c r="H141" s="3"/>
      <c r="I141" s="3"/>
      <c r="J141" s="3"/>
      <c r="K141" s="3"/>
      <c r="L141" s="3"/>
      <c r="M141" s="3" t="str">
        <f>IF(B141="","","LIST"&amp;"_"&amp;IFERROR(VLOOKUP(B141,LOOKUPS!$K$2:$L$9,2,FALSE),"UNK")&amp;"_"&amp;IFERROR(VLOOKUP(C141,LOOKUPS!$N$2:$O$10,2,FALSE),"UNK")&amp;"_"&amp;UPPER(L141))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ht="28.8" x14ac:dyDescent="0.3">
      <c r="A142" s="3" t="str">
        <f t="shared" si="3"/>
        <v/>
      </c>
      <c r="B142" s="3"/>
      <c r="C142" s="3"/>
      <c r="D142" s="3"/>
      <c r="E142" s="3"/>
      <c r="F142" s="3"/>
      <c r="G142" s="3"/>
      <c r="H142" s="3"/>
      <c r="I142" s="3"/>
      <c r="J142" s="3"/>
      <c r="K142" s="3"/>
      <c r="L142" s="3"/>
      <c r="M142" s="3" t="str">
        <f>IF(B142="","","LIST"&amp;"_"&amp;IFERROR(VLOOKUP(B142,LOOKUPS!$K$2:$L$9,2,FALSE),"UNK")&amp;"_"&amp;IFERROR(VLOOKUP(C142,LOOKUPS!$N$2:$O$10,2,FALSE),"UNK")&amp;"_"&amp;UPPER(L142))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ht="28.8" x14ac:dyDescent="0.3">
      <c r="A143" s="3" t="str">
        <f t="shared" si="3"/>
        <v/>
      </c>
      <c r="B143" s="3"/>
      <c r="C143" s="3"/>
      <c r="D143" s="3"/>
      <c r="E143" s="3"/>
      <c r="F143" s="3"/>
      <c r="G143" s="3"/>
      <c r="H143" s="3"/>
      <c r="I143" s="3"/>
      <c r="J143" s="3"/>
      <c r="K143" s="3"/>
      <c r="L143" s="3"/>
      <c r="M143" s="3" t="str">
        <f>IF(B143="","","LIST"&amp;"_"&amp;IFERROR(VLOOKUP(B143,LOOKUPS!$K$2:$L$9,2,FALSE),"UNK")&amp;"_"&amp;IFERROR(VLOOKUP(C143,LOOKUPS!$N$2:$O$10,2,FALSE),"UNK")&amp;"_"&amp;UPPER(L143))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ht="28.8" x14ac:dyDescent="0.3">
      <c r="A144" s="3" t="str">
        <f t="shared" si="3"/>
        <v/>
      </c>
      <c r="B144" s="3"/>
      <c r="C144" s="3"/>
      <c r="D144" s="3"/>
      <c r="E144" s="3"/>
      <c r="F144" s="3"/>
      <c r="G144" s="3"/>
      <c r="H144" s="3"/>
      <c r="I144" s="3"/>
      <c r="J144" s="3"/>
      <c r="K144" s="3"/>
      <c r="L144" s="3"/>
      <c r="M144" s="3" t="str">
        <f>IF(B144="","","LIST"&amp;"_"&amp;IFERROR(VLOOKUP(B144,LOOKUPS!$K$2:$L$9,2,FALSE),"UNK")&amp;"_"&amp;IFERROR(VLOOKUP(C144,LOOKUPS!$N$2:$O$10,2,FALSE),"UNK")&amp;"_"&amp;UPPER(L144))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ht="28.8" x14ac:dyDescent="0.3">
      <c r="A145" s="3" t="str">
        <f t="shared" si="3"/>
        <v/>
      </c>
      <c r="B145" s="3"/>
      <c r="C145" s="3"/>
      <c r="D145" s="3"/>
      <c r="E145" s="3"/>
      <c r="F145" s="3"/>
      <c r="G145" s="3"/>
      <c r="H145" s="3"/>
      <c r="I145" s="3"/>
      <c r="J145" s="3"/>
      <c r="K145" s="3"/>
      <c r="L145" s="3"/>
      <c r="M145" s="3" t="str">
        <f>IF(B145="","","LIST"&amp;"_"&amp;IFERROR(VLOOKUP(B145,LOOKUPS!$K$2:$L$9,2,FALSE),"UNK")&amp;"_"&amp;IFERROR(VLOOKUP(C145,LOOKUPS!$N$2:$O$10,2,FALSE),"UNK")&amp;"_"&amp;UPPER(L145))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ht="28.8" x14ac:dyDescent="0.3">
      <c r="A146" s="3" t="str">
        <f t="shared" si="3"/>
        <v/>
      </c>
      <c r="B146" s="3"/>
      <c r="C146" s="3"/>
      <c r="D146" s="3"/>
      <c r="E146" s="3"/>
      <c r="F146" s="3"/>
      <c r="G146" s="3"/>
      <c r="H146" s="3"/>
      <c r="I146" s="3"/>
      <c r="J146" s="3"/>
      <c r="K146" s="3"/>
      <c r="L146" s="3"/>
      <c r="M146" s="3" t="str">
        <f>IF(B146="","","LIST"&amp;"_"&amp;IFERROR(VLOOKUP(B146,LOOKUPS!$K$2:$L$9,2,FALSE),"UNK")&amp;"_"&amp;IFERROR(VLOOKUP(C146,LOOKUPS!$N$2:$O$10,2,FALSE),"UNK")&amp;"_"&amp;UPPER(L146))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ht="28.8" x14ac:dyDescent="0.3">
      <c r="A147" s="3" t="str">
        <f t="shared" si="3"/>
        <v/>
      </c>
      <c r="B147" s="3"/>
      <c r="C147" s="3"/>
      <c r="D147" s="3"/>
      <c r="E147" s="3"/>
      <c r="F147" s="3"/>
      <c r="G147" s="3"/>
      <c r="H147" s="3"/>
      <c r="I147" s="3"/>
      <c r="J147" s="3"/>
      <c r="K147" s="3"/>
      <c r="L147" s="3"/>
      <c r="M147" s="3" t="str">
        <f>IF(B147="","","LIST"&amp;"_"&amp;IFERROR(VLOOKUP(B147,LOOKUPS!$K$2:$L$9,2,FALSE),"UNK")&amp;"_"&amp;IFERROR(VLOOKUP(C147,LOOKUPS!$N$2:$O$10,2,FALSE),"UNK")&amp;"_"&amp;UPPER(L147))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ht="28.8" x14ac:dyDescent="0.3">
      <c r="A148" s="3" t="str">
        <f t="shared" si="3"/>
        <v/>
      </c>
      <c r="B148" s="3"/>
      <c r="C148" s="3"/>
      <c r="D148" s="3"/>
      <c r="E148" s="3"/>
      <c r="F148" s="3"/>
      <c r="G148" s="3"/>
      <c r="H148" s="3"/>
      <c r="I148" s="3"/>
      <c r="J148" s="3"/>
      <c r="K148" s="3"/>
      <c r="L148" s="3"/>
      <c r="M148" s="3" t="str">
        <f>IF(B148="","","LIST"&amp;"_"&amp;IFERROR(VLOOKUP(B148,LOOKUPS!$K$2:$L$9,2,FALSE),"UNK")&amp;"_"&amp;IFERROR(VLOOKUP(C148,LOOKUPS!$N$2:$O$10,2,FALSE),"UNK")&amp;"_"&amp;UPPER(L148))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ht="28.8" x14ac:dyDescent="0.3">
      <c r="A149" s="3" t="str">
        <f t="shared" si="3"/>
        <v/>
      </c>
      <c r="B149" s="3"/>
      <c r="C149" s="3"/>
      <c r="D149" s="3"/>
      <c r="E149" s="3"/>
      <c r="F149" s="3"/>
      <c r="G149" s="3"/>
      <c r="H149" s="3"/>
      <c r="I149" s="3"/>
      <c r="J149" s="3"/>
      <c r="K149" s="3"/>
      <c r="L149" s="3"/>
      <c r="M149" s="3" t="str">
        <f>IF(B149="","","LIST"&amp;"_"&amp;IFERROR(VLOOKUP(B149,LOOKUPS!$K$2:$L$9,2,FALSE),"UNK")&amp;"_"&amp;IFERROR(VLOOKUP(C149,LOOKUPS!$N$2:$O$10,2,FALSE),"UNK")&amp;"_"&amp;UPPER(L149))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ht="28.8" x14ac:dyDescent="0.3">
      <c r="A150" s="3" t="str">
        <f t="shared" si="3"/>
        <v/>
      </c>
      <c r="B150" s="3"/>
      <c r="C150" s="3"/>
      <c r="D150" s="3"/>
      <c r="E150" s="3"/>
      <c r="F150" s="3"/>
      <c r="G150" s="3"/>
      <c r="H150" s="3"/>
      <c r="I150" s="3"/>
      <c r="J150" s="3"/>
      <c r="K150" s="3"/>
      <c r="L150" s="3"/>
      <c r="M150" s="3" t="str">
        <f>IF(B150="","","LIST"&amp;"_"&amp;IFERROR(VLOOKUP(B150,LOOKUPS!$K$2:$L$9,2,FALSE),"UNK")&amp;"_"&amp;IFERROR(VLOOKUP(C150,LOOKUPS!$N$2:$O$10,2,FALSE),"UNK")&amp;"_"&amp;UPPER(L150))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ht="28.8" x14ac:dyDescent="0.3">
      <c r="A151" s="3" t="str">
        <f t="shared" si="3"/>
        <v/>
      </c>
      <c r="B151" s="3"/>
      <c r="C151" s="3"/>
      <c r="D151" s="3"/>
      <c r="E151" s="3"/>
      <c r="F151" s="3"/>
      <c r="G151" s="3"/>
      <c r="H151" s="3"/>
      <c r="I151" s="3"/>
      <c r="J151" s="3"/>
      <c r="K151" s="3"/>
      <c r="L151" s="3"/>
      <c r="M151" s="3" t="str">
        <f>IF(B151="","","LIST"&amp;"_"&amp;IFERROR(VLOOKUP(B151,LOOKUPS!$K$2:$L$9,2,FALSE),"UNK")&amp;"_"&amp;IFERROR(VLOOKUP(C151,LOOKUPS!$N$2:$O$10,2,FALSE),"UNK")&amp;"_"&amp;UPPER(L151))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ht="28.8" x14ac:dyDescent="0.3">
      <c r="A152" s="3" t="str">
        <f t="shared" si="3"/>
        <v/>
      </c>
      <c r="B152" s="3"/>
      <c r="C152" s="3"/>
      <c r="D152" s="3"/>
      <c r="E152" s="3"/>
      <c r="F152" s="3"/>
      <c r="G152" s="3"/>
      <c r="H152" s="3"/>
      <c r="I152" s="3"/>
      <c r="J152" s="3"/>
      <c r="K152" s="3"/>
      <c r="L152" s="3"/>
      <c r="M152" s="3" t="str">
        <f>IF(B152="","","LIST"&amp;"_"&amp;IFERROR(VLOOKUP(B152,LOOKUPS!$K$2:$L$9,2,FALSE),"UNK")&amp;"_"&amp;IFERROR(VLOOKUP(C152,LOOKUPS!$N$2:$O$10,2,FALSE),"UNK")&amp;"_"&amp;UPPER(L152))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ht="28.8" x14ac:dyDescent="0.3">
      <c r="A153" s="3" t="str">
        <f t="shared" si="3"/>
        <v/>
      </c>
      <c r="B153" s="3"/>
      <c r="C153" s="3"/>
      <c r="D153" s="3"/>
      <c r="E153" s="3"/>
      <c r="F153" s="3"/>
      <c r="G153" s="3"/>
      <c r="H153" s="3"/>
      <c r="I153" s="3"/>
      <c r="J153" s="3"/>
      <c r="K153" s="3"/>
      <c r="L153" s="3"/>
      <c r="M153" s="3" t="str">
        <f>IF(B153="","","LIST"&amp;"_"&amp;IFERROR(VLOOKUP(B153,LOOKUPS!$K$2:$L$9,2,FALSE),"UNK")&amp;"_"&amp;IFERROR(VLOOKUP(C153,LOOKUPS!$N$2:$O$10,2,FALSE),"UNK")&amp;"_"&amp;UPPER(L153))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ht="28.8" x14ac:dyDescent="0.3">
      <c r="A154" s="3" t="str">
        <f t="shared" si="3"/>
        <v/>
      </c>
      <c r="B154" s="3"/>
      <c r="C154" s="3"/>
      <c r="D154" s="3"/>
      <c r="E154" s="3"/>
      <c r="F154" s="3"/>
      <c r="G154" s="3"/>
      <c r="H154" s="3"/>
      <c r="I154" s="3"/>
      <c r="J154" s="3"/>
      <c r="K154" s="3"/>
      <c r="L154" s="3"/>
      <c r="M154" s="3" t="str">
        <f>IF(B154="","","LIST"&amp;"_"&amp;IFERROR(VLOOKUP(B154,LOOKUPS!$K$2:$L$9,2,FALSE),"UNK")&amp;"_"&amp;IFERROR(VLOOKUP(C154,LOOKUPS!$N$2:$O$10,2,FALSE),"UNK")&amp;"_"&amp;UPPER(L154))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ht="28.8" x14ac:dyDescent="0.3">
      <c r="A155" s="3" t="str">
        <f t="shared" si="3"/>
        <v/>
      </c>
      <c r="B155" s="3"/>
      <c r="C155" s="3"/>
      <c r="D155" s="3"/>
      <c r="E155" s="3"/>
      <c r="F155" s="3"/>
      <c r="G155" s="3"/>
      <c r="H155" s="3"/>
      <c r="I155" s="3"/>
      <c r="J155" s="3"/>
      <c r="K155" s="3"/>
      <c r="L155" s="3"/>
      <c r="M155" s="3" t="str">
        <f>IF(B155="","","LIST"&amp;"_"&amp;IFERROR(VLOOKUP(B155,LOOKUPS!$K$2:$L$9,2,FALSE),"UNK")&amp;"_"&amp;IFERROR(VLOOKUP(C155,LOOKUPS!$N$2:$O$10,2,FALSE),"UNK")&amp;"_"&amp;UPPER(L155))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ht="28.8" x14ac:dyDescent="0.3">
      <c r="A156" s="3" t="str">
        <f t="shared" si="3"/>
        <v/>
      </c>
      <c r="B156" s="3"/>
      <c r="C156" s="3"/>
      <c r="D156" s="3"/>
      <c r="E156" s="3"/>
      <c r="F156" s="3"/>
      <c r="G156" s="3"/>
      <c r="H156" s="3"/>
      <c r="I156" s="3"/>
      <c r="J156" s="3"/>
      <c r="K156" s="3"/>
      <c r="L156" s="3"/>
      <c r="M156" s="3" t="str">
        <f>IF(B156="","","LIST"&amp;"_"&amp;IFERROR(VLOOKUP(B156,LOOKUPS!$K$2:$L$9,2,FALSE),"UNK")&amp;"_"&amp;IFERROR(VLOOKUP(C156,LOOKUPS!$N$2:$O$10,2,FALSE),"UNK")&amp;"_"&amp;UPPER(L156))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ht="28.8" x14ac:dyDescent="0.3">
      <c r="A157" s="3" t="str">
        <f t="shared" si="3"/>
        <v/>
      </c>
      <c r="B157" s="3"/>
      <c r="C157" s="3"/>
      <c r="D157" s="3"/>
      <c r="E157" s="3"/>
      <c r="F157" s="3"/>
      <c r="G157" s="3"/>
      <c r="H157" s="3"/>
      <c r="I157" s="3"/>
      <c r="J157" s="3"/>
      <c r="K157" s="3"/>
      <c r="L157" s="3"/>
      <c r="M157" s="3" t="str">
        <f>IF(B157="","","LIST"&amp;"_"&amp;IFERROR(VLOOKUP(B157,LOOKUPS!$K$2:$L$9,2,FALSE),"UNK")&amp;"_"&amp;IFERROR(VLOOKUP(C157,LOOKUPS!$N$2:$O$10,2,FALSE),"UNK")&amp;"_"&amp;UPPER(L157))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ht="28.8" x14ac:dyDescent="0.3">
      <c r="A158" s="3" t="str">
        <f t="shared" si="3"/>
        <v/>
      </c>
      <c r="B158" s="3"/>
      <c r="C158" s="3"/>
      <c r="D158" s="3"/>
      <c r="E158" s="3"/>
      <c r="F158" s="3"/>
      <c r="G158" s="3"/>
      <c r="H158" s="3"/>
      <c r="I158" s="3"/>
      <c r="J158" s="3"/>
      <c r="K158" s="3"/>
      <c r="L158" s="3"/>
      <c r="M158" s="3" t="str">
        <f>IF(B158="","","LIST"&amp;"_"&amp;IFERROR(VLOOKUP(B158,LOOKUPS!$K$2:$L$9,2,FALSE),"UNK")&amp;"_"&amp;IFERROR(VLOOKUP(C158,LOOKUPS!$N$2:$O$10,2,FALSE),"UNK")&amp;"_"&amp;UPPER(L158))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ht="28.8" x14ac:dyDescent="0.3">
      <c r="A159" s="3" t="str">
        <f t="shared" si="3"/>
        <v/>
      </c>
      <c r="B159" s="3"/>
      <c r="C159" s="3"/>
      <c r="D159" s="3"/>
      <c r="E159" s="3"/>
      <c r="F159" s="3"/>
      <c r="G159" s="3"/>
      <c r="H159" s="3"/>
      <c r="I159" s="3"/>
      <c r="J159" s="3"/>
      <c r="K159" s="3"/>
      <c r="L159" s="3"/>
      <c r="M159" s="3" t="str">
        <f>IF(B159="","","LIST"&amp;"_"&amp;IFERROR(VLOOKUP(B159,LOOKUPS!$K$2:$L$9,2,FALSE),"UNK")&amp;"_"&amp;IFERROR(VLOOKUP(C159,LOOKUPS!$N$2:$O$10,2,FALSE),"UNK")&amp;"_"&amp;UPPER(L159))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ht="28.8" x14ac:dyDescent="0.3">
      <c r="A160" s="3" t="str">
        <f t="shared" si="3"/>
        <v/>
      </c>
      <c r="B160" s="3"/>
      <c r="C160" s="3"/>
      <c r="D160" s="3"/>
      <c r="E160" s="3"/>
      <c r="F160" s="3"/>
      <c r="G160" s="3"/>
      <c r="H160" s="3"/>
      <c r="I160" s="3"/>
      <c r="J160" s="3"/>
      <c r="K160" s="3"/>
      <c r="L160" s="3"/>
      <c r="M160" s="3" t="str">
        <f>IF(B160="","","LIST"&amp;"_"&amp;IFERROR(VLOOKUP(B160,LOOKUPS!$K$2:$L$9,2,FALSE),"UNK")&amp;"_"&amp;IFERROR(VLOOKUP(C160,LOOKUPS!$N$2:$O$10,2,FALSE),"UNK")&amp;"_"&amp;UPPER(L160))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ht="28.8" x14ac:dyDescent="0.3">
      <c r="A161" s="3" t="str">
        <f t="shared" si="3"/>
        <v/>
      </c>
      <c r="B161" s="3"/>
      <c r="C161" s="3"/>
      <c r="D161" s="3"/>
      <c r="E161" s="3"/>
      <c r="F161" s="3"/>
      <c r="G161" s="3"/>
      <c r="H161" s="3"/>
      <c r="I161" s="3"/>
      <c r="J161" s="3"/>
      <c r="K161" s="3"/>
      <c r="L161" s="3"/>
      <c r="M161" s="3" t="str">
        <f>IF(B161="","","LIST"&amp;"_"&amp;IFERROR(VLOOKUP(B161,LOOKUPS!$K$2:$L$9,2,FALSE),"UNK")&amp;"_"&amp;IFERROR(VLOOKUP(C161,LOOKUPS!$N$2:$O$10,2,FALSE),"UNK")&amp;"_"&amp;UPPER(L161))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ht="28.8" x14ac:dyDescent="0.3">
      <c r="A162" s="3" t="str">
        <f t="shared" si="3"/>
        <v/>
      </c>
      <c r="B162" s="3"/>
      <c r="C162" s="3"/>
      <c r="D162" s="3"/>
      <c r="E162" s="3"/>
      <c r="F162" s="3"/>
      <c r="G162" s="3"/>
      <c r="H162" s="3"/>
      <c r="I162" s="3"/>
      <c r="J162" s="3"/>
      <c r="K162" s="3"/>
      <c r="L162" s="3"/>
      <c r="M162" s="3" t="str">
        <f>IF(B162="","","LIST"&amp;"_"&amp;IFERROR(VLOOKUP(B162,LOOKUPS!$K$2:$L$9,2,FALSE),"UNK")&amp;"_"&amp;IFERROR(VLOOKUP(C162,LOOKUPS!$N$2:$O$10,2,FALSE),"UNK")&amp;"_"&amp;UPPER(L162))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ht="28.8" x14ac:dyDescent="0.3">
      <c r="A163" s="3" t="str">
        <f t="shared" si="3"/>
        <v/>
      </c>
      <c r="B163" s="3"/>
      <c r="C163" s="3"/>
      <c r="D163" s="3"/>
      <c r="E163" s="3"/>
      <c r="F163" s="3"/>
      <c r="G163" s="3"/>
      <c r="H163" s="3"/>
      <c r="I163" s="3"/>
      <c r="J163" s="3"/>
      <c r="K163" s="3"/>
      <c r="L163" s="3"/>
      <c r="M163" s="3" t="str">
        <f>IF(B163="","","LIST"&amp;"_"&amp;IFERROR(VLOOKUP(B163,LOOKUPS!$K$2:$L$9,2,FALSE),"UNK")&amp;"_"&amp;IFERROR(VLOOKUP(C163,LOOKUPS!$N$2:$O$10,2,FALSE),"UNK")&amp;"_"&amp;UPPER(L163))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ht="28.8" x14ac:dyDescent="0.3">
      <c r="A164" s="3" t="str">
        <f t="shared" si="3"/>
        <v/>
      </c>
      <c r="B164" s="3"/>
      <c r="C164" s="3"/>
      <c r="D164" s="3"/>
      <c r="E164" s="3"/>
      <c r="F164" s="3"/>
      <c r="G164" s="3"/>
      <c r="H164" s="3"/>
      <c r="I164" s="3"/>
      <c r="J164" s="3"/>
      <c r="K164" s="3"/>
      <c r="L164" s="3"/>
      <c r="M164" s="3" t="str">
        <f>IF(B164="","","LIST"&amp;"_"&amp;IFERROR(VLOOKUP(B164,LOOKUPS!$K$2:$L$9,2,FALSE),"UNK")&amp;"_"&amp;IFERROR(VLOOKUP(C164,LOOKUPS!$N$2:$O$10,2,FALSE),"UNK")&amp;"_"&amp;UPPER(L164))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ht="28.8" x14ac:dyDescent="0.3">
      <c r="A165" s="3" t="str">
        <f t="shared" si="3"/>
        <v/>
      </c>
      <c r="B165" s="3"/>
      <c r="C165" s="3"/>
      <c r="D165" s="3"/>
      <c r="E165" s="3"/>
      <c r="F165" s="3"/>
      <c r="G165" s="3"/>
      <c r="H165" s="3"/>
      <c r="I165" s="3"/>
      <c r="J165" s="3"/>
      <c r="K165" s="3"/>
      <c r="L165" s="3"/>
      <c r="M165" s="3" t="str">
        <f>IF(B165="","","LIST"&amp;"_"&amp;IFERROR(VLOOKUP(B165,LOOKUPS!$K$2:$L$9,2,FALSE),"UNK")&amp;"_"&amp;IFERROR(VLOOKUP(C165,LOOKUPS!$N$2:$O$10,2,FALSE),"UNK")&amp;"_"&amp;UPPER(L165))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ht="28.8" x14ac:dyDescent="0.3">
      <c r="A166" s="3" t="str">
        <f t="shared" si="3"/>
        <v/>
      </c>
      <c r="B166" s="3"/>
      <c r="C166" s="3"/>
      <c r="D166" s="3"/>
      <c r="E166" s="3"/>
      <c r="F166" s="3"/>
      <c r="G166" s="3"/>
      <c r="H166" s="3"/>
      <c r="I166" s="3"/>
      <c r="J166" s="3"/>
      <c r="K166" s="3"/>
      <c r="L166" s="3"/>
      <c r="M166" s="3" t="str">
        <f>IF(B166="","","LIST"&amp;"_"&amp;IFERROR(VLOOKUP(B166,LOOKUPS!$K$2:$L$9,2,FALSE),"UNK")&amp;"_"&amp;IFERROR(VLOOKUP(C166,LOOKUPS!$N$2:$O$10,2,FALSE),"UNK")&amp;"_"&amp;UPPER(L166))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ht="28.8" x14ac:dyDescent="0.3">
      <c r="A167" s="3" t="str">
        <f t="shared" si="3"/>
        <v/>
      </c>
      <c r="B167" s="3"/>
      <c r="C167" s="3"/>
      <c r="D167" s="3"/>
      <c r="E167" s="3"/>
      <c r="F167" s="3"/>
      <c r="G167" s="3"/>
      <c r="H167" s="3"/>
      <c r="I167" s="3"/>
      <c r="J167" s="3"/>
      <c r="K167" s="3"/>
      <c r="L167" s="3"/>
      <c r="M167" s="3" t="str">
        <f>IF(B167="","","LIST"&amp;"_"&amp;IFERROR(VLOOKUP(B167,LOOKUPS!$K$2:$L$9,2,FALSE),"UNK")&amp;"_"&amp;IFERROR(VLOOKUP(C167,LOOKUPS!$N$2:$O$10,2,FALSE),"UNK")&amp;"_"&amp;UPPER(L167))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ht="28.8" x14ac:dyDescent="0.3">
      <c r="A168" s="3" t="str">
        <f t="shared" si="3"/>
        <v/>
      </c>
      <c r="B168" s="3"/>
      <c r="C168" s="3"/>
      <c r="D168" s="3"/>
      <c r="E168" s="3"/>
      <c r="F168" s="3"/>
      <c r="G168" s="3"/>
      <c r="H168" s="3"/>
      <c r="I168" s="3"/>
      <c r="J168" s="3"/>
      <c r="K168" s="3"/>
      <c r="L168" s="3"/>
      <c r="M168" s="3" t="str">
        <f>IF(B168="","","LIST"&amp;"_"&amp;IFERROR(VLOOKUP(B168,LOOKUPS!$K$2:$L$9,2,FALSE),"UNK")&amp;"_"&amp;IFERROR(VLOOKUP(C168,LOOKUPS!$N$2:$O$10,2,FALSE),"UNK")&amp;"_"&amp;UPPER(L168))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ht="28.8" x14ac:dyDescent="0.3">
      <c r="A169" s="3" t="str">
        <f t="shared" si="3"/>
        <v/>
      </c>
      <c r="B169" s="3"/>
      <c r="C169" s="3"/>
      <c r="D169" s="3"/>
      <c r="E169" s="3"/>
      <c r="F169" s="3"/>
      <c r="G169" s="3"/>
      <c r="H169" s="3"/>
      <c r="I169" s="3"/>
      <c r="J169" s="3"/>
      <c r="K169" s="3"/>
      <c r="L169" s="3"/>
      <c r="M169" s="3" t="str">
        <f>IF(B169="","","LIST"&amp;"_"&amp;IFERROR(VLOOKUP(B169,LOOKUPS!$K$2:$L$9,2,FALSE),"UNK")&amp;"_"&amp;IFERROR(VLOOKUP(C169,LOOKUPS!$N$2:$O$10,2,FALSE),"UNK")&amp;"_"&amp;UPPER(L169))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ht="28.8" x14ac:dyDescent="0.3">
      <c r="A170" s="3" t="str">
        <f t="shared" si="3"/>
        <v/>
      </c>
      <c r="B170" s="3"/>
      <c r="C170" s="3"/>
      <c r="D170" s="3"/>
      <c r="E170" s="3"/>
      <c r="F170" s="3"/>
      <c r="G170" s="3"/>
      <c r="H170" s="3"/>
      <c r="I170" s="3"/>
      <c r="J170" s="3"/>
      <c r="K170" s="3"/>
      <c r="L170" s="3"/>
      <c r="M170" s="3" t="str">
        <f>IF(B170="","","LIST"&amp;"_"&amp;IFERROR(VLOOKUP(B170,LOOKUPS!$K$2:$L$9,2,FALSE),"UNK")&amp;"_"&amp;IFERROR(VLOOKUP(C170,LOOKUPS!$N$2:$O$10,2,FALSE),"UNK")&amp;"_"&amp;UPPER(L170))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ht="28.8" x14ac:dyDescent="0.3">
      <c r="A171" s="3" t="str">
        <f t="shared" si="3"/>
        <v/>
      </c>
      <c r="B171" s="3"/>
      <c r="C171" s="3"/>
      <c r="D171" s="3"/>
      <c r="E171" s="3"/>
      <c r="F171" s="3"/>
      <c r="G171" s="3"/>
      <c r="H171" s="3"/>
      <c r="I171" s="3"/>
      <c r="J171" s="3"/>
      <c r="K171" s="3"/>
      <c r="L171" s="3"/>
      <c r="M171" s="3" t="str">
        <f>IF(B171="","","LIST"&amp;"_"&amp;IFERROR(VLOOKUP(B171,LOOKUPS!$K$2:$L$9,2,FALSE),"UNK")&amp;"_"&amp;IFERROR(VLOOKUP(C171,LOOKUPS!$N$2:$O$10,2,FALSE),"UNK")&amp;"_"&amp;UPPER(L171))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ht="28.8" x14ac:dyDescent="0.3">
      <c r="A172" s="3" t="str">
        <f t="shared" si="3"/>
        <v/>
      </c>
      <c r="B172" s="3"/>
      <c r="C172" s="3"/>
      <c r="D172" s="3"/>
      <c r="E172" s="3"/>
      <c r="F172" s="3"/>
      <c r="G172" s="3"/>
      <c r="H172" s="3"/>
      <c r="I172" s="3"/>
      <c r="J172" s="3"/>
      <c r="K172" s="3"/>
      <c r="L172" s="3"/>
      <c r="M172" s="3" t="str">
        <f>IF(B172="","","LIST"&amp;"_"&amp;IFERROR(VLOOKUP(B172,LOOKUPS!$K$2:$L$9,2,FALSE),"UNK")&amp;"_"&amp;IFERROR(VLOOKUP(C172,LOOKUPS!$N$2:$O$10,2,FALSE),"UNK")&amp;"_"&amp;UPPER(L172))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ht="28.8" x14ac:dyDescent="0.3">
      <c r="A173" s="3" t="str">
        <f t="shared" si="3"/>
        <v/>
      </c>
      <c r="B173" s="3"/>
      <c r="C173" s="3"/>
      <c r="D173" s="3"/>
      <c r="E173" s="3"/>
      <c r="F173" s="3"/>
      <c r="G173" s="3"/>
      <c r="H173" s="3"/>
      <c r="I173" s="3"/>
      <c r="J173" s="3"/>
      <c r="K173" s="3"/>
      <c r="L173" s="3"/>
      <c r="M173" s="3" t="str">
        <f>IF(B173="","","LIST"&amp;"_"&amp;IFERROR(VLOOKUP(B173,LOOKUPS!$K$2:$L$9,2,FALSE),"UNK")&amp;"_"&amp;IFERROR(VLOOKUP(C173,LOOKUPS!$N$2:$O$10,2,FALSE),"UNK")&amp;"_"&amp;UPPER(L173))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ht="28.8" x14ac:dyDescent="0.3">
      <c r="A174" s="3" t="str">
        <f t="shared" si="3"/>
        <v/>
      </c>
      <c r="B174" s="3"/>
      <c r="C174" s="3"/>
      <c r="D174" s="3"/>
      <c r="E174" s="3"/>
      <c r="F174" s="3"/>
      <c r="G174" s="3"/>
      <c r="H174" s="3"/>
      <c r="I174" s="3"/>
      <c r="J174" s="3"/>
      <c r="K174" s="3"/>
      <c r="L174" s="3"/>
      <c r="M174" s="3" t="str">
        <f>IF(B174="","","LIST"&amp;"_"&amp;IFERROR(VLOOKUP(B174,LOOKUPS!$K$2:$L$9,2,FALSE),"UNK")&amp;"_"&amp;IFERROR(VLOOKUP(C174,LOOKUPS!$N$2:$O$10,2,FALSE),"UNK")&amp;"_"&amp;UPPER(L174))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ht="28.8" x14ac:dyDescent="0.3">
      <c r="A175" s="3" t="str">
        <f t="shared" si="3"/>
        <v/>
      </c>
      <c r="B175" s="3"/>
      <c r="C175" s="3"/>
      <c r="D175" s="3"/>
      <c r="E175" s="3"/>
      <c r="F175" s="3"/>
      <c r="G175" s="3"/>
      <c r="H175" s="3"/>
      <c r="I175" s="3"/>
      <c r="J175" s="3"/>
      <c r="K175" s="3"/>
      <c r="L175" s="3"/>
      <c r="M175" s="3" t="str">
        <f>IF(B175="","","LIST"&amp;"_"&amp;IFERROR(VLOOKUP(B175,LOOKUPS!$K$2:$L$9,2,FALSE),"UNK")&amp;"_"&amp;IFERROR(VLOOKUP(C175,LOOKUPS!$N$2:$O$10,2,FALSE),"UNK")&amp;"_"&amp;UPPER(L175))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ht="28.8" x14ac:dyDescent="0.3">
      <c r="A176" s="3" t="str">
        <f t="shared" si="3"/>
        <v/>
      </c>
      <c r="B176" s="3"/>
      <c r="C176" s="3"/>
      <c r="D176" s="3"/>
      <c r="E176" s="3"/>
      <c r="F176" s="3"/>
      <c r="G176" s="3"/>
      <c r="H176" s="3"/>
      <c r="I176" s="3"/>
      <c r="J176" s="3"/>
      <c r="K176" s="3"/>
      <c r="L176" s="3"/>
      <c r="M176" s="3" t="str">
        <f>IF(B176="","","LIST"&amp;"_"&amp;IFERROR(VLOOKUP(B176,LOOKUPS!$K$2:$L$9,2,FALSE),"UNK")&amp;"_"&amp;IFERROR(VLOOKUP(C176,LOOKUPS!$N$2:$O$10,2,FALSE),"UNK")&amp;"_"&amp;UPPER(L176))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ht="28.8" x14ac:dyDescent="0.3">
      <c r="A177" s="3" t="str">
        <f t="shared" si="3"/>
        <v/>
      </c>
      <c r="B177" s="3"/>
      <c r="C177" s="3"/>
      <c r="D177" s="3"/>
      <c r="E177" s="3"/>
      <c r="F177" s="3"/>
      <c r="G177" s="3"/>
      <c r="H177" s="3"/>
      <c r="I177" s="3"/>
      <c r="J177" s="3"/>
      <c r="K177" s="3"/>
      <c r="L177" s="3"/>
      <c r="M177" s="3" t="str">
        <f>IF(B177="","","LIST"&amp;"_"&amp;IFERROR(VLOOKUP(B177,LOOKUPS!$K$2:$L$9,2,FALSE),"UNK")&amp;"_"&amp;IFERROR(VLOOKUP(C177,LOOKUPS!$N$2:$O$10,2,FALSE),"UNK")&amp;"_"&amp;UPPER(L177))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ht="28.8" x14ac:dyDescent="0.3">
      <c r="A178" s="3" t="str">
        <f t="shared" si="3"/>
        <v/>
      </c>
      <c r="B178" s="3"/>
      <c r="C178" s="3"/>
      <c r="D178" s="3"/>
      <c r="E178" s="3"/>
      <c r="F178" s="3"/>
      <c r="G178" s="3"/>
      <c r="H178" s="3"/>
      <c r="I178" s="3"/>
      <c r="J178" s="3"/>
      <c r="K178" s="3"/>
      <c r="L178" s="3"/>
      <c r="M178" s="3" t="str">
        <f>IF(B178="","","LIST"&amp;"_"&amp;IFERROR(VLOOKUP(B178,LOOKUPS!$K$2:$L$9,2,FALSE),"UNK")&amp;"_"&amp;IFERROR(VLOOKUP(C178,LOOKUPS!$N$2:$O$10,2,FALSE),"UNK")&amp;"_"&amp;UPPER(L178))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ht="28.8" x14ac:dyDescent="0.3">
      <c r="A179" s="3" t="str">
        <f t="shared" si="3"/>
        <v/>
      </c>
      <c r="B179" s="3"/>
      <c r="C179" s="3"/>
      <c r="D179" s="3"/>
      <c r="E179" s="3"/>
      <c r="F179" s="3"/>
      <c r="G179" s="3"/>
      <c r="H179" s="3"/>
      <c r="I179" s="3"/>
      <c r="J179" s="3"/>
      <c r="K179" s="3"/>
      <c r="L179" s="3"/>
      <c r="M179" s="3" t="str">
        <f>IF(B179="","","LIST"&amp;"_"&amp;IFERROR(VLOOKUP(B179,LOOKUPS!$K$2:$L$9,2,FALSE),"UNK")&amp;"_"&amp;IFERROR(VLOOKUP(C179,LOOKUPS!$N$2:$O$10,2,FALSE),"UNK")&amp;"_"&amp;UPPER(L179))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ht="28.8" x14ac:dyDescent="0.3">
      <c r="A180" s="3" t="str">
        <f t="shared" si="3"/>
        <v/>
      </c>
      <c r="B180" s="3"/>
      <c r="C180" s="3"/>
      <c r="D180" s="3"/>
      <c r="E180" s="3"/>
      <c r="F180" s="3"/>
      <c r="G180" s="3"/>
      <c r="H180" s="3"/>
      <c r="I180" s="3"/>
      <c r="J180" s="3"/>
      <c r="K180" s="3"/>
      <c r="L180" s="3"/>
      <c r="M180" s="3" t="str">
        <f>IF(B180="","","LIST"&amp;"_"&amp;IFERROR(VLOOKUP(B180,LOOKUPS!$K$2:$L$9,2,FALSE),"UNK")&amp;"_"&amp;IFERROR(VLOOKUP(C180,LOOKUPS!$N$2:$O$10,2,FALSE),"UNK")&amp;"_"&amp;UPPER(L180))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ht="28.8" x14ac:dyDescent="0.3">
      <c r="A181" s="3" t="str">
        <f t="shared" si="3"/>
        <v/>
      </c>
      <c r="B181" s="3"/>
      <c r="C181" s="3"/>
      <c r="D181" s="3"/>
      <c r="E181" s="3"/>
      <c r="F181" s="3"/>
      <c r="G181" s="3"/>
      <c r="H181" s="3"/>
      <c r="I181" s="3"/>
      <c r="J181" s="3"/>
      <c r="K181" s="3"/>
      <c r="L181" s="3"/>
      <c r="M181" s="3" t="str">
        <f>IF(B181="","","LIST"&amp;"_"&amp;IFERROR(VLOOKUP(B181,LOOKUPS!$K$2:$L$9,2,FALSE),"UNK")&amp;"_"&amp;IFERROR(VLOOKUP(C181,LOOKUPS!$N$2:$O$10,2,FALSE),"UNK")&amp;"_"&amp;UPPER(L181))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ht="28.8" x14ac:dyDescent="0.3">
      <c r="A182" s="3" t="str">
        <f t="shared" si="3"/>
        <v/>
      </c>
      <c r="B182" s="3"/>
      <c r="C182" s="3"/>
      <c r="D182" s="3"/>
      <c r="E182" s="3"/>
      <c r="F182" s="3"/>
      <c r="G182" s="3"/>
      <c r="H182" s="3"/>
      <c r="I182" s="3"/>
      <c r="J182" s="3"/>
      <c r="K182" s="3"/>
      <c r="L182" s="3"/>
      <c r="M182" s="3" t="str">
        <f>IF(B182="","","LIST"&amp;"_"&amp;IFERROR(VLOOKUP(B182,LOOKUPS!$K$2:$L$9,2,FALSE),"UNK")&amp;"_"&amp;IFERROR(VLOOKUP(C182,LOOKUPS!$N$2:$O$10,2,FALSE),"UNK")&amp;"_"&amp;UPPER(L182))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ht="28.8" x14ac:dyDescent="0.3">
      <c r="A183" s="3" t="str">
        <f t="shared" si="3"/>
        <v/>
      </c>
      <c r="B183" s="3"/>
      <c r="C183" s="3"/>
      <c r="D183" s="3"/>
      <c r="E183" s="3"/>
      <c r="F183" s="3"/>
      <c r="G183" s="3"/>
      <c r="H183" s="3"/>
      <c r="I183" s="3"/>
      <c r="J183" s="3"/>
      <c r="K183" s="3"/>
      <c r="L183" s="3"/>
      <c r="M183" s="3" t="str">
        <f>IF(B183="","","LIST"&amp;"_"&amp;IFERROR(VLOOKUP(B183,LOOKUPS!$K$2:$L$9,2,FALSE),"UNK")&amp;"_"&amp;IFERROR(VLOOKUP(C183,LOOKUPS!$N$2:$O$10,2,FALSE),"UNK")&amp;"_"&amp;UPPER(L183))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ht="28.8" x14ac:dyDescent="0.3">
      <c r="A184" s="3" t="str">
        <f t="shared" si="3"/>
        <v/>
      </c>
      <c r="B184" s="3"/>
      <c r="C184" s="3"/>
      <c r="D184" s="3"/>
      <c r="E184" s="3"/>
      <c r="F184" s="3"/>
      <c r="G184" s="3"/>
      <c r="H184" s="3"/>
      <c r="I184" s="3"/>
      <c r="J184" s="3"/>
      <c r="K184" s="3"/>
      <c r="L184" s="3"/>
      <c r="M184" s="3" t="str">
        <f>IF(B184="","","LIST"&amp;"_"&amp;IFERROR(VLOOKUP(B184,LOOKUPS!$K$2:$L$9,2,FALSE),"UNK")&amp;"_"&amp;IFERROR(VLOOKUP(C184,LOOKUPS!$N$2:$O$10,2,FALSE),"UNK")&amp;"_"&amp;UPPER(L184))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ht="28.8" x14ac:dyDescent="0.3">
      <c r="A185" s="3" t="str">
        <f t="shared" si="3"/>
        <v/>
      </c>
      <c r="B185" s="3"/>
      <c r="C185" s="3"/>
      <c r="D185" s="3"/>
      <c r="E185" s="3"/>
      <c r="F185" s="3"/>
      <c r="G185" s="3"/>
      <c r="H185" s="3"/>
      <c r="I185" s="3"/>
      <c r="J185" s="3"/>
      <c r="K185" s="3"/>
      <c r="L185" s="3"/>
      <c r="M185" s="3" t="str">
        <f>IF(B185="","","LIST"&amp;"_"&amp;IFERROR(VLOOKUP(B185,LOOKUPS!$K$2:$L$9,2,FALSE),"UNK")&amp;"_"&amp;IFERROR(VLOOKUP(C185,LOOKUPS!$N$2:$O$10,2,FALSE),"UNK")&amp;"_"&amp;UPPER(L185))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ht="28.8" x14ac:dyDescent="0.3">
      <c r="A186" s="3" t="str">
        <f t="shared" si="3"/>
        <v/>
      </c>
      <c r="B186" s="3"/>
      <c r="C186" s="3"/>
      <c r="D186" s="3"/>
      <c r="E186" s="3"/>
      <c r="F186" s="3"/>
      <c r="G186" s="3"/>
      <c r="H186" s="3"/>
      <c r="I186" s="3"/>
      <c r="J186" s="3"/>
      <c r="K186" s="3"/>
      <c r="L186" s="3"/>
      <c r="M186" s="3" t="str">
        <f>IF(B186="","","LIST"&amp;"_"&amp;IFERROR(VLOOKUP(B186,LOOKUPS!$K$2:$L$9,2,FALSE),"UNK")&amp;"_"&amp;IFERROR(VLOOKUP(C186,LOOKUPS!$N$2:$O$10,2,FALSE),"UNK")&amp;"_"&amp;UPPER(L186))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ht="28.8" x14ac:dyDescent="0.3">
      <c r="A187" s="3" t="str">
        <f t="shared" si="3"/>
        <v/>
      </c>
      <c r="B187" s="3"/>
      <c r="C187" s="3"/>
      <c r="D187" s="3"/>
      <c r="E187" s="3"/>
      <c r="F187" s="3"/>
      <c r="G187" s="3"/>
      <c r="H187" s="3"/>
      <c r="I187" s="3"/>
      <c r="J187" s="3"/>
      <c r="K187" s="3"/>
      <c r="L187" s="3"/>
      <c r="M187" s="3" t="str">
        <f>IF(B187="","","LIST"&amp;"_"&amp;IFERROR(VLOOKUP(B187,LOOKUPS!$K$2:$L$9,2,FALSE),"UNK")&amp;"_"&amp;IFERROR(VLOOKUP(C187,LOOKUPS!$N$2:$O$10,2,FALSE),"UNK")&amp;"_"&amp;UPPER(L187))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ht="28.8" x14ac:dyDescent="0.3">
      <c r="A188" s="3" t="str">
        <f t="shared" si="3"/>
        <v/>
      </c>
      <c r="B188" s="3"/>
      <c r="C188" s="3"/>
      <c r="D188" s="3"/>
      <c r="E188" s="3"/>
      <c r="F188" s="3"/>
      <c r="G188" s="3"/>
      <c r="H188" s="3"/>
      <c r="I188" s="3"/>
      <c r="J188" s="3"/>
      <c r="K188" s="3"/>
      <c r="L188" s="3"/>
      <c r="M188" s="3" t="str">
        <f>IF(B188="","","LIST"&amp;"_"&amp;IFERROR(VLOOKUP(B188,LOOKUPS!$K$2:$L$9,2,FALSE),"UNK")&amp;"_"&amp;IFERROR(VLOOKUP(C188,LOOKUPS!$N$2:$O$10,2,FALSE),"UNK")&amp;"_"&amp;UPPER(L188))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ht="28.8" x14ac:dyDescent="0.3">
      <c r="A189" s="3" t="str">
        <f t="shared" si="3"/>
        <v/>
      </c>
      <c r="B189" s="3"/>
      <c r="C189" s="3"/>
      <c r="D189" s="3"/>
      <c r="E189" s="3"/>
      <c r="F189" s="3"/>
      <c r="G189" s="3"/>
      <c r="H189" s="3"/>
      <c r="I189" s="3"/>
      <c r="J189" s="3"/>
      <c r="K189" s="3"/>
      <c r="L189" s="3"/>
      <c r="M189" s="3" t="str">
        <f>IF(B189="","","LIST"&amp;"_"&amp;IFERROR(VLOOKUP(B189,LOOKUPS!$K$2:$L$9,2,FALSE),"UNK")&amp;"_"&amp;IFERROR(VLOOKUP(C189,LOOKUPS!$N$2:$O$10,2,FALSE),"UNK")&amp;"_"&amp;UPPER(L189))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ht="28.8" x14ac:dyDescent="0.3">
      <c r="A190" s="3" t="str">
        <f t="shared" si="3"/>
        <v/>
      </c>
      <c r="B190" s="3"/>
      <c r="C190" s="3"/>
      <c r="D190" s="3"/>
      <c r="E190" s="3"/>
      <c r="F190" s="3"/>
      <c r="G190" s="3"/>
      <c r="H190" s="3"/>
      <c r="I190" s="3"/>
      <c r="J190" s="3"/>
      <c r="K190" s="3"/>
      <c r="L190" s="3"/>
      <c r="M190" s="3" t="str">
        <f>IF(B190="","","LIST"&amp;"_"&amp;IFERROR(VLOOKUP(B190,LOOKUPS!$K$2:$L$9,2,FALSE),"UNK")&amp;"_"&amp;IFERROR(VLOOKUP(C190,LOOKUPS!$N$2:$O$10,2,FALSE),"UNK")&amp;"_"&amp;UPPER(L190))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ht="28.8" x14ac:dyDescent="0.3">
      <c r="A191" s="3" t="str">
        <f t="shared" si="3"/>
        <v/>
      </c>
      <c r="B191" s="3"/>
      <c r="C191" s="3"/>
      <c r="D191" s="3"/>
      <c r="E191" s="3"/>
      <c r="F191" s="3"/>
      <c r="G191" s="3"/>
      <c r="H191" s="3"/>
      <c r="I191" s="3"/>
      <c r="J191" s="3"/>
      <c r="K191" s="3"/>
      <c r="L191" s="3"/>
      <c r="M191" s="3" t="str">
        <f>IF(B191="","","LIST"&amp;"_"&amp;IFERROR(VLOOKUP(B191,LOOKUPS!$K$2:$L$9,2,FALSE),"UNK")&amp;"_"&amp;IFERROR(VLOOKUP(C191,LOOKUPS!$N$2:$O$10,2,FALSE),"UNK")&amp;"_"&amp;UPPER(L191))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ht="28.8" x14ac:dyDescent="0.3">
      <c r="A192" s="3" t="str">
        <f t="shared" si="3"/>
        <v/>
      </c>
      <c r="B192" s="3"/>
      <c r="C192" s="3"/>
      <c r="D192" s="3"/>
      <c r="E192" s="3"/>
      <c r="F192" s="3"/>
      <c r="G192" s="3"/>
      <c r="H192" s="3"/>
      <c r="I192" s="3"/>
      <c r="J192" s="3"/>
      <c r="K192" s="3"/>
      <c r="L192" s="3"/>
      <c r="M192" s="3" t="str">
        <f>IF(B192="","","LIST"&amp;"_"&amp;IFERROR(VLOOKUP(B192,LOOKUPS!$K$2:$L$9,2,FALSE),"UNK")&amp;"_"&amp;IFERROR(VLOOKUP(C192,LOOKUPS!$N$2:$O$10,2,FALSE),"UNK")&amp;"_"&amp;UPPER(L192))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ht="28.8" x14ac:dyDescent="0.3">
      <c r="A193" s="3" t="str">
        <f t="shared" si="3"/>
        <v/>
      </c>
      <c r="B193" s="3"/>
      <c r="C193" s="3"/>
      <c r="D193" s="3"/>
      <c r="E193" s="3"/>
      <c r="F193" s="3"/>
      <c r="G193" s="3"/>
      <c r="H193" s="3"/>
      <c r="I193" s="3"/>
      <c r="J193" s="3"/>
      <c r="K193" s="3"/>
      <c r="L193" s="3"/>
      <c r="M193" s="3" t="str">
        <f>IF(B193="","","LIST"&amp;"_"&amp;IFERROR(VLOOKUP(B193,LOOKUPS!$K$2:$L$9,2,FALSE),"UNK")&amp;"_"&amp;IFERROR(VLOOKUP(C193,LOOKUPS!$N$2:$O$10,2,FALSE),"UNK")&amp;"_"&amp;UPPER(L193))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ht="28.8" x14ac:dyDescent="0.3">
      <c r="A194" s="3" t="str">
        <f t="shared" ref="A194:A200" si="4">IF(M194="","",M194&amp;"_"&amp;TEXT(N194,"000"))</f>
        <v/>
      </c>
      <c r="B194" s="3"/>
      <c r="C194" s="3"/>
      <c r="D194" s="3"/>
      <c r="E194" s="3"/>
      <c r="F194" s="3"/>
      <c r="G194" s="3"/>
      <c r="H194" s="3"/>
      <c r="I194" s="3"/>
      <c r="J194" s="3"/>
      <c r="K194" s="3"/>
      <c r="L194" s="3"/>
      <c r="M194" s="3" t="str">
        <f>IF(B194="","","LIST"&amp;"_"&amp;IFERROR(VLOOKUP(B194,LOOKUPS!$K$2:$L$9,2,FALSE),"UNK")&amp;"_"&amp;IFERROR(VLOOKUP(C194,LOOKUPS!$N$2:$O$10,2,FALSE),"UNK")&amp;"_"&amp;UPPER(L194))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ht="28.8" x14ac:dyDescent="0.3">
      <c r="A195" s="3" t="str">
        <f t="shared" si="4"/>
        <v/>
      </c>
      <c r="B195" s="3"/>
      <c r="C195" s="3"/>
      <c r="D195" s="3"/>
      <c r="E195" s="3"/>
      <c r="F195" s="3"/>
      <c r="G195" s="3"/>
      <c r="H195" s="3"/>
      <c r="I195" s="3"/>
      <c r="J195" s="3"/>
      <c r="K195" s="3"/>
      <c r="L195" s="3"/>
      <c r="M195" s="3" t="str">
        <f>IF(B195="","","LIST"&amp;"_"&amp;IFERROR(VLOOKUP(B195,LOOKUPS!$K$2:$L$9,2,FALSE),"UNK")&amp;"_"&amp;IFERROR(VLOOKUP(C195,LOOKUPS!$N$2:$O$10,2,FALSE),"UNK")&amp;"_"&amp;UPPER(L195))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ht="28.8" x14ac:dyDescent="0.3">
      <c r="A196" s="3" t="str">
        <f t="shared" si="4"/>
        <v/>
      </c>
      <c r="B196" s="3"/>
      <c r="C196" s="3"/>
      <c r="D196" s="3"/>
      <c r="E196" s="3"/>
      <c r="F196" s="3"/>
      <c r="G196" s="3"/>
      <c r="H196" s="3"/>
      <c r="I196" s="3"/>
      <c r="J196" s="3"/>
      <c r="K196" s="3"/>
      <c r="L196" s="3"/>
      <c r="M196" s="3" t="str">
        <f>IF(B196="","","LIST"&amp;"_"&amp;IFERROR(VLOOKUP(B196,LOOKUPS!$K$2:$L$9,2,FALSE),"UNK")&amp;"_"&amp;IFERROR(VLOOKUP(C196,LOOKUPS!$N$2:$O$10,2,FALSE),"UNK")&amp;"_"&amp;UPPER(L196))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ht="28.8" x14ac:dyDescent="0.3">
      <c r="A197" s="3" t="str">
        <f t="shared" si="4"/>
        <v/>
      </c>
      <c r="B197" s="3"/>
      <c r="C197" s="3"/>
      <c r="D197" s="3"/>
      <c r="E197" s="3"/>
      <c r="F197" s="3"/>
      <c r="G197" s="3"/>
      <c r="H197" s="3"/>
      <c r="I197" s="3"/>
      <c r="J197" s="3"/>
      <c r="K197" s="3"/>
      <c r="L197" s="3"/>
      <c r="M197" s="3" t="str">
        <f>IF(B197="","","LIST"&amp;"_"&amp;IFERROR(VLOOKUP(B197,LOOKUPS!$K$2:$L$9,2,FALSE),"UNK")&amp;"_"&amp;IFERROR(VLOOKUP(C197,LOOKUPS!$N$2:$O$10,2,FALSE),"UNK")&amp;"_"&amp;UPPER(L197))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ht="28.8" x14ac:dyDescent="0.3">
      <c r="A198" s="3" t="str">
        <f t="shared" si="4"/>
        <v/>
      </c>
      <c r="B198" s="3"/>
      <c r="C198" s="3"/>
      <c r="D198" s="3"/>
      <c r="E198" s="3"/>
      <c r="F198" s="3"/>
      <c r="G198" s="3"/>
      <c r="H198" s="3"/>
      <c r="I198" s="3"/>
      <c r="J198" s="3"/>
      <c r="K198" s="3"/>
      <c r="L198" s="3"/>
      <c r="M198" s="3" t="str">
        <f>IF(B198="","","LIST"&amp;"_"&amp;IFERROR(VLOOKUP(B198,LOOKUPS!$K$2:$L$9,2,FALSE),"UNK")&amp;"_"&amp;IFERROR(VLOOKUP(C198,LOOKUPS!$N$2:$O$10,2,FALSE),"UNK")&amp;"_"&amp;UPPER(L198))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ht="28.8" x14ac:dyDescent="0.3">
      <c r="A199" s="3" t="str">
        <f t="shared" si="4"/>
        <v/>
      </c>
      <c r="B199" s="3"/>
      <c r="C199" s="3"/>
      <c r="D199" s="3"/>
      <c r="E199" s="3"/>
      <c r="F199" s="3"/>
      <c r="G199" s="3"/>
      <c r="H199" s="3"/>
      <c r="I199" s="3"/>
      <c r="J199" s="3"/>
      <c r="K199" s="3"/>
      <c r="L199" s="3"/>
      <c r="M199" s="3" t="str">
        <f>IF(B199="","","LIST"&amp;"_"&amp;IFERROR(VLOOKUP(B199,LOOKUPS!$K$2:$L$9,2,FALSE),"UNK")&amp;"_"&amp;IFERROR(VLOOKUP(C199,LOOKUPS!$N$2:$O$10,2,FALSE),"UNK")&amp;"_"&amp;UPPER(L199))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ht="28.8" x14ac:dyDescent="0.3">
      <c r="A200" s="3" t="str">
        <f t="shared" si="4"/>
        <v/>
      </c>
      <c r="B200" s="3"/>
      <c r="C200" s="3"/>
      <c r="D200" s="3"/>
      <c r="E200" s="3"/>
      <c r="F200" s="3"/>
      <c r="G200" s="3"/>
      <c r="H200" s="3"/>
      <c r="I200" s="3"/>
      <c r="J200" s="3"/>
      <c r="K200" s="3"/>
      <c r="L200" s="3"/>
      <c r="M200" s="3" t="str">
        <f>IF(B200="","","LIST"&amp;"_"&amp;IFERROR(VLOOKUP(B200,LOOKUPS!$K$2:$L$9,2,FALSE),"UNK")&amp;"_"&amp;IFERROR(VLOOKUP(C200,LOOKUPS!$N$2:$O$10,2,FALSE),"UNK")&amp;"_"&amp;UPPER(L200))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30 F33: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2000000}">
          <x14:formula1>
            <xm:f>LOOKUPS!$E$2:$E$4</xm:f>
          </x14:formula1>
          <xm:sqref>G201:G1000</xm:sqref>
        </x14:dataValidation>
        <x14:dataValidation type="list" allowBlank="1" showDropDown="1" xr:uid="{00000000-0002-0000-0400-000003000000}">
          <x14:formula1>
            <xm:f>LOOKUPS!$G$2:$G$3</xm:f>
          </x14:formula1>
          <xm:sqref>H2:H5 H7:H30 H33:H1000</xm:sqref>
        </x14:dataValidation>
        <x14:dataValidation type="list" allowBlank="1" showDropDown="1" xr:uid="{00000000-0002-0000-0400-000004000000}">
          <x14:formula1>
            <xm:f>LOOKUPS!$I$2:$I$5</xm:f>
          </x14:formula1>
          <xm:sqref>E2:E5 E7:E30 E33:E1000</xm:sqref>
        </x14:dataValidation>
        <x14:dataValidation type="list" allowBlank="1" xr:uid="{361395C3-3CC4-4CFD-8009-1A70A6383484}">
          <x14:formula1>
            <xm:f>LOOKUPS!$E$2:$E$4</xm:f>
          </x14:formula1>
          <xm:sqref>G2:G5 G7:G30 G33:G200</xm:sqref>
        </x14:dataValidation>
        <x14:dataValidation type="list" allowBlank="1" xr:uid="{00000000-0002-0000-0400-000000000000}">
          <x14:formula1>
            <xm:f>LOOKUPS!$A$2:$A$9</xm:f>
          </x14:formula1>
          <xm:sqref>B2:B5 B7:B30 B33:B1000</xm:sqref>
        </x14:dataValidation>
        <x14:dataValidation type="list" allowBlank="1" showDropDown="1" xr:uid="{00000000-0002-0000-0400-000001000000}">
          <x14:formula1>
            <xm:f>LOOKUPS!$C$2:$C$10</xm:f>
          </x14:formula1>
          <xm:sqref>C201:C1000</xm:sqref>
        </x14:dataValidation>
        <x14:dataValidation type="list" allowBlank="1" xr:uid="{4DB459AB-DEEE-424A-BFDE-70D3C9FA60C5}">
          <x14:formula1>
            <xm:f>LOOKUPS!$C$2:$C$10</xm:f>
          </x14:formula1>
          <xm:sqref>C2:C5 C7:C30 C33:C200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tabSelected="1" topLeftCell="N1" workbookViewId="0">
      <pane ySplit="1" topLeftCell="A3" activePane="bottomLeft" state="frozen"/>
      <selection pane="bottomLeft" activeCell="S3" sqref="S3"/>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PF_ETH_PF__001</v>
      </c>
      <c r="B2" s="3" t="s">
        <v>14</v>
      </c>
      <c r="C2" s="3" t="s">
        <v>35</v>
      </c>
      <c r="D2" s="3" t="s">
        <v>114</v>
      </c>
      <c r="E2" s="3" t="s">
        <v>36</v>
      </c>
      <c r="F2" s="3">
        <v>3</v>
      </c>
      <c r="H2" s="3" t="s">
        <v>17</v>
      </c>
      <c r="M2" s="3" t="str">
        <f>IF(B2="","","PF"&amp;"_"&amp;IFERROR(VLOOKUP(B2,LOOKUPS!$K$2:$L$9,2,FALSE),"UNK")&amp;"_"&amp;IFERROR(VLOOKUP(C2,LOOKUPS!$N$2:$O$10,2,FALSE),"UNK")&amp;"_"&amp;UPPER(L2))</f>
        <v>PF_ETH_PF_</v>
      </c>
      <c r="N2" s="3">
        <f>IF(M2="","",COUNTIF($M$2:M2,M2))</f>
        <v>1</v>
      </c>
      <c r="O2" s="3" t="s">
        <v>114</v>
      </c>
      <c r="P2" s="3" t="s">
        <v>154</v>
      </c>
      <c r="Q2" s="3" t="s">
        <v>115</v>
      </c>
      <c r="R2" s="3" t="s">
        <v>116</v>
      </c>
      <c r="S2" s="3" t="s">
        <v>1032</v>
      </c>
      <c r="T2" s="3" t="s">
        <v>812</v>
      </c>
    </row>
    <row r="3" spans="1:32" ht="288" x14ac:dyDescent="0.3">
      <c r="A3" s="3" t="str">
        <f t="shared" ref="A3:A66" si="0">IF(M3="","",M3&amp;"_"&amp;TEXT(N3,"000"))</f>
        <v>PF_ITNIC_PF_IR35_001</v>
      </c>
      <c r="B3" s="3" t="s">
        <v>21</v>
      </c>
      <c r="C3" s="3" t="s">
        <v>35</v>
      </c>
      <c r="D3" s="3" t="s">
        <v>117</v>
      </c>
      <c r="E3" s="3" t="s">
        <v>36</v>
      </c>
      <c r="F3" s="3">
        <v>3</v>
      </c>
      <c r="G3" s="3" t="s">
        <v>16</v>
      </c>
      <c r="H3" s="3" t="str">
        <f>IF(LEN(TRIM(B3))&gt;0,"Y","")</f>
        <v>Y</v>
      </c>
      <c r="I3" s="3" t="s">
        <v>118</v>
      </c>
      <c r="J3" s="3" t="s">
        <v>119</v>
      </c>
      <c r="K3" s="3">
        <v>1</v>
      </c>
      <c r="L3" s="3" t="s">
        <v>120</v>
      </c>
      <c r="M3" s="3" t="str">
        <f>IF(B3="","","PF"&amp;"_"&amp;IFERROR(VLOOKUP(B3,LOOKUPS!$K$2:$L$9,2,FALSE),"UNK")&amp;"_"&amp;IFERROR(VLOOKUP(C3,LOOKUPS!$N$2:$O$10,2,FALSE),"UNK")&amp;"_"&amp;UPPER(L3))</f>
        <v>PF_ITNIC_PF_IR35</v>
      </c>
      <c r="N3" s="3">
        <f>IF(M3="","",COUNTIF($M$2:M3,M3))</f>
        <v>1</v>
      </c>
      <c r="O3" s="3" t="s">
        <v>227</v>
      </c>
      <c r="P3" s="3" t="s">
        <v>228</v>
      </c>
      <c r="Q3" s="3" t="s">
        <v>121</v>
      </c>
      <c r="R3" s="3" t="s">
        <v>122</v>
      </c>
      <c r="S3" s="3" t="s">
        <v>813</v>
      </c>
      <c r="T3" s="3" t="s">
        <v>814</v>
      </c>
    </row>
    <row r="4" spans="1:32" ht="409.6" x14ac:dyDescent="0.3">
      <c r="A4" s="3" t="str">
        <f t="shared" si="0"/>
        <v>PF_ITNIC_PF_EIS_001</v>
      </c>
      <c r="B4" s="3" t="s">
        <v>21</v>
      </c>
      <c r="C4" s="3" t="s">
        <v>35</v>
      </c>
      <c r="D4" s="6" t="s">
        <v>815</v>
      </c>
      <c r="E4" s="3" t="s">
        <v>36</v>
      </c>
      <c r="F4" s="3">
        <v>3</v>
      </c>
      <c r="G4" s="3" t="s">
        <v>16</v>
      </c>
      <c r="H4" s="3" t="s">
        <v>17</v>
      </c>
      <c r="I4" s="3" t="s">
        <v>123</v>
      </c>
      <c r="J4" s="3" t="s">
        <v>124</v>
      </c>
      <c r="K4" s="3">
        <v>1</v>
      </c>
      <c r="L4" s="3" t="s">
        <v>125</v>
      </c>
      <c r="M4" s="3" t="str">
        <f>IF(B4="","","PF"&amp;"_"&amp;IFERROR(VLOOKUP(B4,LOOKUPS!$K$2:$L$9,2,FALSE),"UNK")&amp;"_"&amp;IFERROR(VLOOKUP(C4,LOOKUPS!$N$2:$O$10,2,FALSE),"UNK")&amp;"_"&amp;UPPER(L4))</f>
        <v>PF_ITNIC_PF_EIS</v>
      </c>
      <c r="N4" s="3">
        <f>IF(M4="","",COUNTIF($M$2:M4,M4))</f>
        <v>1</v>
      </c>
      <c r="O4" s="3" t="s">
        <v>151</v>
      </c>
      <c r="P4" s="3" t="s">
        <v>807</v>
      </c>
      <c r="Q4" s="3" t="s">
        <v>152</v>
      </c>
      <c r="R4" s="3" t="s">
        <v>153</v>
      </c>
      <c r="S4" s="3" t="s">
        <v>817</v>
      </c>
      <c r="T4" s="3" t="s">
        <v>816</v>
      </c>
    </row>
    <row r="5" spans="1:32" ht="409.6" x14ac:dyDescent="0.3">
      <c r="A5" s="3" t="str">
        <f t="shared" si="0"/>
        <v>PF_ITNIC_PF_PSC_001</v>
      </c>
      <c r="B5" s="3" t="s">
        <v>21</v>
      </c>
      <c r="C5" s="3" t="s">
        <v>35</v>
      </c>
      <c r="D5" s="3" t="s">
        <v>155</v>
      </c>
      <c r="E5" s="3" t="s">
        <v>36</v>
      </c>
      <c r="F5" s="3">
        <v>3</v>
      </c>
      <c r="G5" s="3" t="s">
        <v>16</v>
      </c>
      <c r="H5" s="3" t="s">
        <v>17</v>
      </c>
      <c r="I5" s="3" t="s">
        <v>193</v>
      </c>
      <c r="J5" s="3" t="s">
        <v>124</v>
      </c>
      <c r="K5" s="3">
        <v>1</v>
      </c>
      <c r="L5" s="3" t="s">
        <v>157</v>
      </c>
      <c r="M5" s="3" t="str">
        <f>IF(B5="","","PF"&amp;"_"&amp;IFERROR(VLOOKUP(B5,LOOKUPS!$K$2:$L$9,2,FALSE),"UNK")&amp;"_"&amp;IFERROR(VLOOKUP(C5,LOOKUPS!$N$2:$O$10,2,FALSE),"UNK")&amp;"_"&amp;UPPER(L5))</f>
        <v>PF_ITNIC_PF_PSC</v>
      </c>
      <c r="N5" s="3">
        <f>IF(M5="","",COUNTIF($M$2:M5,M5))</f>
        <v>1</v>
      </c>
      <c r="O5" s="3" t="s">
        <v>194</v>
      </c>
      <c r="P5" s="3" t="s">
        <v>195</v>
      </c>
      <c r="Q5" s="3" t="s">
        <v>196</v>
      </c>
      <c r="R5" s="3" t="s">
        <v>197</v>
      </c>
      <c r="S5" s="3" t="s">
        <v>808</v>
      </c>
      <c r="T5" s="3" t="s">
        <v>811</v>
      </c>
      <c r="AF5" s="3" t="s">
        <v>17</v>
      </c>
    </row>
    <row r="6" spans="1:32" ht="409.6" x14ac:dyDescent="0.3">
      <c r="A6" s="3" t="str">
        <f t="shared" si="0"/>
        <v>PF_ITNIC_PF_PSC_002</v>
      </c>
      <c r="B6" s="3" t="s">
        <v>21</v>
      </c>
      <c r="C6" s="3" t="s">
        <v>35</v>
      </c>
      <c r="D6" s="3" t="s">
        <v>155</v>
      </c>
      <c r="E6" s="3" t="s">
        <v>36</v>
      </c>
      <c r="F6" s="3">
        <v>3</v>
      </c>
      <c r="G6" s="3" t="s">
        <v>16</v>
      </c>
      <c r="H6" s="3" t="s">
        <v>17</v>
      </c>
      <c r="I6" s="3" t="s">
        <v>193</v>
      </c>
      <c r="J6" s="3" t="s">
        <v>124</v>
      </c>
      <c r="K6" s="3">
        <v>1</v>
      </c>
      <c r="L6" s="3" t="s">
        <v>157</v>
      </c>
      <c r="M6" s="3" t="str">
        <f>IF(B6="","","PF"&amp;"_"&amp;IFERROR(VLOOKUP(B6,LOOKUPS!$K$2:$L$9,2,FALSE),"UNK")&amp;"_"&amp;IFERROR(VLOOKUP(C6,LOOKUPS!$N$2:$O$10,2,FALSE),"UNK")&amp;"_"&amp;UPPER(L6))</f>
        <v>PF_ITNIC_PF_PSC</v>
      </c>
      <c r="N6" s="3">
        <f>IF(M6="","",COUNTIF($M$2:M6,M6))</f>
        <v>2</v>
      </c>
      <c r="O6" s="3" t="s">
        <v>194</v>
      </c>
      <c r="P6" s="3" t="s">
        <v>229</v>
      </c>
      <c r="Q6" s="3" t="s">
        <v>230</v>
      </c>
      <c r="R6" s="3" t="s">
        <v>231</v>
      </c>
      <c r="S6" s="3" t="s">
        <v>810</v>
      </c>
      <c r="T6" s="3" t="s">
        <v>809</v>
      </c>
    </row>
    <row r="7" spans="1:32" ht="409.6" x14ac:dyDescent="0.3">
      <c r="A7" s="3" t="str">
        <f t="shared" si="0"/>
        <v>PF_ITNIC_PF_ITCOMP_001</v>
      </c>
      <c r="B7" s="3" t="s">
        <v>21</v>
      </c>
      <c r="C7" s="3" t="s">
        <v>35</v>
      </c>
      <c r="D7" s="3" t="s">
        <v>307</v>
      </c>
      <c r="E7" s="3" t="s">
        <v>36</v>
      </c>
      <c r="F7" s="3">
        <v>3</v>
      </c>
      <c r="G7" s="3" t="s">
        <v>16</v>
      </c>
      <c r="H7" s="3" t="s">
        <v>17</v>
      </c>
      <c r="I7" s="3" t="s">
        <v>308</v>
      </c>
      <c r="J7" s="3" t="s">
        <v>309</v>
      </c>
      <c r="K7" s="3">
        <v>1</v>
      </c>
      <c r="L7" s="3" t="s">
        <v>310</v>
      </c>
      <c r="M7" s="3" t="str">
        <f>IF(B7="","","PF"&amp;"_"&amp;IFERROR(VLOOKUP(B7,LOOKUPS!$K$2:$L$9,2,FALSE),"UNK")&amp;"_"&amp;IFERROR(VLOOKUP(C7,LOOKUPS!$N$2:$O$10,2,FALSE),"UNK")&amp;"_"&amp;UPPER(L7))</f>
        <v>PF_ITNIC_PF_ITCOMP</v>
      </c>
      <c r="N7" s="3">
        <f>IF(M7="","",COUNTIF($M$2:M7,M7))</f>
        <v>1</v>
      </c>
      <c r="O7" s="3" t="s">
        <v>307</v>
      </c>
      <c r="P7" s="3" t="s">
        <v>311</v>
      </c>
      <c r="Q7" s="3" t="s">
        <v>314</v>
      </c>
      <c r="R7" s="3" t="s">
        <v>315</v>
      </c>
      <c r="S7" s="3" t="s">
        <v>316</v>
      </c>
      <c r="T7" s="3" t="s">
        <v>313</v>
      </c>
    </row>
    <row r="8" spans="1:32" x14ac:dyDescent="0.3">
      <c r="A8" s="3" t="str">
        <f t="shared" si="0"/>
        <v/>
      </c>
      <c r="M8" s="3" t="str">
        <f>IF(B8="","","PF"&amp;"_"&amp;IFERROR(VLOOKUP(B8,LOOKUPS!$K$2:$L$9,2,FALSE),"UNK")&amp;"_"&amp;IFERROR(VLOOKUP(C8,LOOKUPS!$N$2:$O$10,2,FALSE),"UNK")&amp;"_"&amp;UPPER(L8))</f>
        <v/>
      </c>
      <c r="N8" s="3" t="str">
        <f>IF(M8="","",COUNTIF($M$2:M8,M8))</f>
        <v/>
      </c>
    </row>
    <row r="9" spans="1:32" x14ac:dyDescent="0.3">
      <c r="A9" s="3" t="str">
        <f t="shared" si="0"/>
        <v/>
      </c>
      <c r="M9" s="3" t="str">
        <f>IF(B9="","","PF"&amp;"_"&amp;IFERROR(VLOOKUP(B9,LOOKUPS!$K$2:$L$9,2,FALSE),"UNK")&amp;"_"&amp;IFERROR(VLOOKUP(C9,LOOKUPS!$N$2:$O$10,2,FALSE),"UNK")&amp;"_"&amp;UPPER(L9))</f>
        <v/>
      </c>
      <c r="N9" s="3" t="str">
        <f>IF(M9="","",COUNTIF($M$2:M9,M9))</f>
        <v/>
      </c>
    </row>
    <row r="10" spans="1:32" x14ac:dyDescent="0.3">
      <c r="A10" s="3" t="str">
        <f t="shared" si="0"/>
        <v/>
      </c>
      <c r="M10" s="3" t="str">
        <f>IF(B10="","","PF"&amp;"_"&amp;IFERROR(VLOOKUP(B10,LOOKUPS!$K$2:$L$9,2,FALSE),"UNK")&amp;"_"&amp;IFERROR(VLOOKUP(C10,LOOKUPS!$N$2:$O$10,2,FALSE),"UNK")&amp;"_"&amp;UPPER(L10))</f>
        <v/>
      </c>
      <c r="N10" s="3" t="str">
        <f>IF(M10="","",COUNTIF($M$2:M10,M10))</f>
        <v/>
      </c>
    </row>
    <row r="11" spans="1:32" x14ac:dyDescent="0.3">
      <c r="A11" s="3" t="str">
        <f t="shared" si="0"/>
        <v/>
      </c>
      <c r="M11" s="3" t="str">
        <f>IF(B11="","","PF"&amp;"_"&amp;IFERROR(VLOOKUP(B11,LOOKUPS!$K$2:$L$9,2,FALSE),"UNK")&amp;"_"&amp;IFERROR(VLOOKUP(C11,LOOKUPS!$N$2:$O$10,2,FALSE),"UNK")&amp;"_"&amp;UPPER(L11))</f>
        <v/>
      </c>
      <c r="N11" s="3" t="str">
        <f>IF(M11="","",COUNTIF($M$2:M11,M11))</f>
        <v/>
      </c>
    </row>
    <row r="12" spans="1:32" x14ac:dyDescent="0.3">
      <c r="A12" s="3" t="str">
        <f t="shared" si="0"/>
        <v/>
      </c>
      <c r="M12" s="3" t="str">
        <f>IF(B12="","","PF"&amp;"_"&amp;IFERROR(VLOOKUP(B12,LOOKUPS!$K$2:$L$9,2,FALSE),"UNK")&amp;"_"&amp;IFERROR(VLOOKUP(C12,LOOKUPS!$N$2:$O$10,2,FALSE),"UNK")&amp;"_"&amp;UPPER(L12))</f>
        <v/>
      </c>
      <c r="N12" s="3" t="str">
        <f>IF(M12="","",COUNTIF($M$2:M12,M12))</f>
        <v/>
      </c>
    </row>
    <row r="13" spans="1:32" x14ac:dyDescent="0.3">
      <c r="A13" s="3" t="str">
        <f t="shared" si="0"/>
        <v/>
      </c>
      <c r="M13" s="3" t="str">
        <f>IF(B13="","","PF"&amp;"_"&amp;IFERROR(VLOOKUP(B13,LOOKUPS!$K$2:$L$9,2,FALSE),"UNK")&amp;"_"&amp;IFERROR(VLOOKUP(C13,LOOKUPS!$N$2:$O$10,2,FALSE),"UNK")&amp;"_"&amp;UPPER(L13))</f>
        <v/>
      </c>
      <c r="N13" s="3" t="str">
        <f>IF(M13="","",COUNTIF($M$2:M13,M13))</f>
        <v/>
      </c>
    </row>
    <row r="14" spans="1:32" x14ac:dyDescent="0.3">
      <c r="A14" s="3" t="str">
        <f t="shared" si="0"/>
        <v/>
      </c>
      <c r="M14" s="3" t="str">
        <f>IF(B14="","","PF"&amp;"_"&amp;IFERROR(VLOOKUP(B14,LOOKUPS!$K$2:$L$9,2,FALSE),"UNK")&amp;"_"&amp;IFERROR(VLOOKUP(C14,LOOKUPS!$N$2:$O$10,2,FALSE),"UNK")&amp;"_"&amp;UPPER(L14))</f>
        <v/>
      </c>
      <c r="N14" s="3" t="str">
        <f>IF(M14="","",COUNTIF($M$2:M14,M14))</f>
        <v/>
      </c>
    </row>
    <row r="15" spans="1:32" x14ac:dyDescent="0.3">
      <c r="A15" s="3" t="str">
        <f t="shared" si="0"/>
        <v/>
      </c>
      <c r="M15" s="3" t="str">
        <f>IF(B15="","","PF"&amp;"_"&amp;IFERROR(VLOOKUP(B15,LOOKUPS!$K$2:$L$9,2,FALSE),"UNK")&amp;"_"&amp;IFERROR(VLOOKUP(C15,LOOKUPS!$N$2:$O$10,2,FALSE),"UNK")&amp;"_"&amp;UPPER(L15))</f>
        <v/>
      </c>
      <c r="N15" s="3" t="str">
        <f>IF(M15="","",COUNTIF($M$2:M15,M15))</f>
        <v/>
      </c>
    </row>
    <row r="16" spans="1:32" x14ac:dyDescent="0.3">
      <c r="A16" s="3" t="str">
        <f t="shared" si="0"/>
        <v/>
      </c>
      <c r="M16" s="3" t="str">
        <f>IF(B16="","","PF"&amp;"_"&amp;IFERROR(VLOOKUP(B16,LOOKUPS!$K$2:$L$9,2,FALSE),"UNK")&amp;"_"&amp;IFERROR(VLOOKUP(C16,LOOKUPS!$N$2:$O$10,2,FALSE),"UNK")&amp;"_"&amp;UPPER(L16))</f>
        <v/>
      </c>
      <c r="N16" s="3" t="str">
        <f>IF(M16="","",COUNTIF($M$2:M16,M16))</f>
        <v/>
      </c>
    </row>
    <row r="17" spans="1:14" x14ac:dyDescent="0.3">
      <c r="A17" s="3" t="str">
        <f t="shared" si="0"/>
        <v/>
      </c>
      <c r="M17" s="3" t="str">
        <f>IF(B17="","","PF"&amp;"_"&amp;IFERROR(VLOOKUP(B17,LOOKUPS!$K$2:$L$9,2,FALSE),"UNK")&amp;"_"&amp;IFERROR(VLOOKUP(C17,LOOKUPS!$N$2:$O$10,2,FALSE),"UNK")&amp;"_"&amp;UPPER(L17))</f>
        <v/>
      </c>
      <c r="N17" s="3" t="str">
        <f>IF(M17="","",COUNTIF($M$2:M17,M17))</f>
        <v/>
      </c>
    </row>
    <row r="18" spans="1:14" x14ac:dyDescent="0.3">
      <c r="A18" s="3" t="str">
        <f t="shared" si="0"/>
        <v/>
      </c>
      <c r="M18" s="3" t="str">
        <f>IF(B18="","","PF"&amp;"_"&amp;IFERROR(VLOOKUP(B18,LOOKUPS!$K$2:$L$9,2,FALSE),"UNK")&amp;"_"&amp;IFERROR(VLOOKUP(C18,LOOKUPS!$N$2:$O$10,2,FALSE),"UNK")&amp;"_"&amp;UPPER(L18))</f>
        <v/>
      </c>
      <c r="N18" s="3" t="str">
        <f>IF(M18="","",COUNTIF($M$2:M18,M18))</f>
        <v/>
      </c>
    </row>
    <row r="19" spans="1:14" x14ac:dyDescent="0.3">
      <c r="A19" s="3" t="str">
        <f t="shared" si="0"/>
        <v/>
      </c>
      <c r="M19" s="3" t="str">
        <f>IF(B19="","","PF"&amp;"_"&amp;IFERROR(VLOOKUP(B19,LOOKUPS!$K$2:$L$9,2,FALSE),"UNK")&amp;"_"&amp;IFERROR(VLOOKUP(C19,LOOKUPS!$N$2:$O$10,2,FALSE),"UNK")&amp;"_"&amp;UPPER(L19))</f>
        <v/>
      </c>
      <c r="N19" s="3" t="str">
        <f>IF(M19="","",COUNTIF($M$2:M19,M19))</f>
        <v/>
      </c>
    </row>
    <row r="20" spans="1:14" x14ac:dyDescent="0.3">
      <c r="A20" s="3" t="str">
        <f t="shared" si="0"/>
        <v/>
      </c>
      <c r="M20" s="3" t="str">
        <f>IF(B20="","","PF"&amp;"_"&amp;IFERROR(VLOOKUP(B20,LOOKUPS!$K$2:$L$9,2,FALSE),"UNK")&amp;"_"&amp;IFERROR(VLOOKUP(C20,LOOKUPS!$N$2:$O$10,2,FALSE),"UNK")&amp;"_"&amp;UPPER(L20))</f>
        <v/>
      </c>
      <c r="N20" s="3" t="str">
        <f>IF(M20="","",COUNTIF($M$2:M20,M20))</f>
        <v/>
      </c>
    </row>
    <row r="21" spans="1:14" x14ac:dyDescent="0.3">
      <c r="A21" s="3" t="str">
        <f t="shared" si="0"/>
        <v/>
      </c>
      <c r="M21" s="3" t="str">
        <f>IF(B21="","","PF"&amp;"_"&amp;IFERROR(VLOOKUP(B21,LOOKUPS!$K$2:$L$9,2,FALSE),"UNK")&amp;"_"&amp;IFERROR(VLOOKUP(C21,LOOKUPS!$N$2:$O$10,2,FALSE),"UNK")&amp;"_"&amp;UPPER(L21))</f>
        <v/>
      </c>
      <c r="N21" s="3" t="str">
        <f>IF(M21="","",COUNTIF($M$2:M21,M21))</f>
        <v/>
      </c>
    </row>
    <row r="22" spans="1:14" x14ac:dyDescent="0.3">
      <c r="A22" s="3" t="str">
        <f t="shared" si="0"/>
        <v/>
      </c>
      <c r="M22" s="3" t="str">
        <f>IF(B22="","","PF"&amp;"_"&amp;IFERROR(VLOOKUP(B22,LOOKUPS!$K$2:$L$9,2,FALSE),"UNK")&amp;"_"&amp;IFERROR(VLOOKUP(C22,LOOKUPS!$N$2:$O$10,2,FALSE),"UNK")&amp;"_"&amp;UPPER(L22))</f>
        <v/>
      </c>
      <c r="N22" s="3" t="str">
        <f>IF(M22="","",COUNTIF($M$2:M22,M22))</f>
        <v/>
      </c>
    </row>
    <row r="23" spans="1:14" x14ac:dyDescent="0.3">
      <c r="A23" s="3" t="str">
        <f t="shared" si="0"/>
        <v/>
      </c>
      <c r="M23" s="3" t="str">
        <f>IF(B23="","","PF"&amp;"_"&amp;IFERROR(VLOOKUP(B23,LOOKUPS!$K$2:$L$9,2,FALSE),"UNK")&amp;"_"&amp;IFERROR(VLOOKUP(C23,LOOKUPS!$N$2:$O$10,2,FALSE),"UNK")&amp;"_"&amp;UPPER(L23))</f>
        <v/>
      </c>
      <c r="N23" s="3" t="str">
        <f>IF(M23="","",COUNTIF($M$2:M23,M23))</f>
        <v/>
      </c>
    </row>
    <row r="24" spans="1:14" x14ac:dyDescent="0.3">
      <c r="A24" s="3" t="str">
        <f t="shared" si="0"/>
        <v/>
      </c>
      <c r="M24" s="3" t="str">
        <f>IF(B24="","","PF"&amp;"_"&amp;IFERROR(VLOOKUP(B24,LOOKUPS!$K$2:$L$9,2,FALSE),"UNK")&amp;"_"&amp;IFERROR(VLOOKUP(C24,LOOKUPS!$N$2:$O$10,2,FALSE),"UNK")&amp;"_"&amp;UPPER(L24))</f>
        <v/>
      </c>
      <c r="N24" s="3" t="str">
        <f>IF(M24="","",COUNTIF($M$2:M24,M24))</f>
        <v/>
      </c>
    </row>
    <row r="25" spans="1:14" x14ac:dyDescent="0.3">
      <c r="A25" s="3" t="str">
        <f t="shared" si="0"/>
        <v/>
      </c>
      <c r="M25" s="3" t="str">
        <f>IF(B25="","","PF"&amp;"_"&amp;IFERROR(VLOOKUP(B25,LOOKUPS!$K$2:$L$9,2,FALSE),"UNK")&amp;"_"&amp;IFERROR(VLOOKUP(C25,LOOKUPS!$N$2:$O$10,2,FALSE),"UNK")&amp;"_"&amp;UPPER(L25))</f>
        <v/>
      </c>
      <c r="N25" s="3" t="str">
        <f>IF(M25="","",COUNTIF($M$2:M25,M25))</f>
        <v/>
      </c>
    </row>
    <row r="26" spans="1:14" x14ac:dyDescent="0.3">
      <c r="A26" s="3" t="str">
        <f t="shared" si="0"/>
        <v/>
      </c>
      <c r="M26" s="3" t="str">
        <f>IF(B26="","","PF"&amp;"_"&amp;IFERROR(VLOOKUP(B26,LOOKUPS!$K$2:$L$9,2,FALSE),"UNK")&amp;"_"&amp;IFERROR(VLOOKUP(C26,LOOKUPS!$N$2:$O$10,2,FALSE),"UNK")&amp;"_"&amp;UPPER(L26))</f>
        <v/>
      </c>
      <c r="N26" s="3" t="str">
        <f>IF(M26="","",COUNTIF($M$2:M26,M26))</f>
        <v/>
      </c>
    </row>
    <row r="27" spans="1:14" x14ac:dyDescent="0.3">
      <c r="A27" s="3" t="str">
        <f t="shared" si="0"/>
        <v/>
      </c>
      <c r="M27" s="3" t="str">
        <f>IF(B27="","","PF"&amp;"_"&amp;IFERROR(VLOOKUP(B27,LOOKUPS!$K$2:$L$9,2,FALSE),"UNK")&amp;"_"&amp;IFERROR(VLOOKUP(C27,LOOKUPS!$N$2:$O$10,2,FALSE),"UNK")&amp;"_"&amp;UPPER(L27))</f>
        <v/>
      </c>
      <c r="N27" s="3" t="str">
        <f>IF(M27="","",COUNTIF($M$2:M27,M27))</f>
        <v/>
      </c>
    </row>
    <row r="28" spans="1:14" x14ac:dyDescent="0.3">
      <c r="A28" s="3" t="str">
        <f t="shared" si="0"/>
        <v/>
      </c>
      <c r="M28" s="3" t="str">
        <f>IF(B28="","","PF"&amp;"_"&amp;IFERROR(VLOOKUP(B28,LOOKUPS!$K$2:$L$9,2,FALSE),"UNK")&amp;"_"&amp;IFERROR(VLOOKUP(C28,LOOKUPS!$N$2:$O$10,2,FALSE),"UNK")&amp;"_"&amp;UPPER(L28))</f>
        <v/>
      </c>
      <c r="N28" s="3" t="str">
        <f>IF(M28="","",COUNTIF($M$2:M28,M28))</f>
        <v/>
      </c>
    </row>
    <row r="29" spans="1:14" x14ac:dyDescent="0.3">
      <c r="A29" s="3" t="str">
        <f t="shared" si="0"/>
        <v/>
      </c>
      <c r="M29" s="3" t="str">
        <f>IF(B29="","","PF"&amp;"_"&amp;IFERROR(VLOOKUP(B29,LOOKUPS!$K$2:$L$9,2,FALSE),"UNK")&amp;"_"&amp;IFERROR(VLOOKUP(C29,LOOKUPS!$N$2:$O$10,2,FALSE),"UNK")&amp;"_"&amp;UPPER(L29))</f>
        <v/>
      </c>
      <c r="N29" s="3" t="str">
        <f>IF(M29="","",COUNTIF($M$2:M29,M29))</f>
        <v/>
      </c>
    </row>
    <row r="30" spans="1:14" x14ac:dyDescent="0.3">
      <c r="A30" s="3" t="str">
        <f t="shared" si="0"/>
        <v/>
      </c>
      <c r="M30" s="3" t="str">
        <f>IF(B30="","","PF"&amp;"_"&amp;IFERROR(VLOOKUP(B30,LOOKUPS!$K$2:$L$9,2,FALSE),"UNK")&amp;"_"&amp;IFERROR(VLOOKUP(C30,LOOKUPS!$N$2:$O$10,2,FALSE),"UNK")&amp;"_"&amp;UPPER(L30))</f>
        <v/>
      </c>
      <c r="N30" s="3" t="str">
        <f>IF(M30="","",COUNTIF($M$2:M30,M30))</f>
        <v/>
      </c>
    </row>
    <row r="31" spans="1:14" x14ac:dyDescent="0.3">
      <c r="A31" s="3" t="str">
        <f t="shared" si="0"/>
        <v/>
      </c>
      <c r="M31" s="3" t="str">
        <f>IF(B31="","","PF"&amp;"_"&amp;IFERROR(VLOOKUP(B31,LOOKUPS!$K$2:$L$9,2,FALSE),"UNK")&amp;"_"&amp;IFERROR(VLOOKUP(C31,LOOKUPS!$N$2:$O$10,2,FALSE),"UNK")&amp;"_"&amp;UPPER(L31))</f>
        <v/>
      </c>
      <c r="N31" s="3" t="str">
        <f>IF(M31="","",COUNTIF($M$2:M31,M31))</f>
        <v/>
      </c>
    </row>
    <row r="32" spans="1:14" x14ac:dyDescent="0.3">
      <c r="A32" s="3" t="str">
        <f t="shared" si="0"/>
        <v/>
      </c>
      <c r="M32" s="3" t="str">
        <f>IF(B32="","","PF"&amp;"_"&amp;IFERROR(VLOOKUP(B32,LOOKUPS!$K$2:$L$9,2,FALSE),"UNK")&amp;"_"&amp;IFERROR(VLOOKUP(C32,LOOKUPS!$N$2:$O$10,2,FALSE),"UNK")&amp;"_"&amp;UPPER(L32))</f>
        <v/>
      </c>
      <c r="N32" s="3" t="str">
        <f>IF(M32="","",COUNTIF($M$2:M32,M32))</f>
        <v/>
      </c>
    </row>
    <row r="33" spans="1:14" x14ac:dyDescent="0.3">
      <c r="A33" s="3" t="str">
        <f t="shared" si="0"/>
        <v/>
      </c>
      <c r="M33" s="3" t="str">
        <f>IF(B33="","","PF"&amp;"_"&amp;IFERROR(VLOOKUP(B33,LOOKUPS!$K$2:$L$9,2,FALSE),"UNK")&amp;"_"&amp;IFERROR(VLOOKUP(C33,LOOKUPS!$N$2:$O$10,2,FALSE),"UNK")&amp;"_"&amp;UPPER(L33))</f>
        <v/>
      </c>
      <c r="N33" s="3" t="str">
        <f>IF(M33="","",COUNTIF($M$2:M33,M33))</f>
        <v/>
      </c>
    </row>
    <row r="34" spans="1:14" x14ac:dyDescent="0.3">
      <c r="A34" s="3" t="str">
        <f t="shared" si="0"/>
        <v/>
      </c>
      <c r="M34" s="3" t="str">
        <f>IF(B34="","","PF"&amp;"_"&amp;IFERROR(VLOOKUP(B34,LOOKUPS!$K$2:$L$9,2,FALSE),"UNK")&amp;"_"&amp;IFERROR(VLOOKUP(C34,LOOKUPS!$N$2:$O$10,2,FALSE),"UNK")&amp;"_"&amp;UPPER(L34))</f>
        <v/>
      </c>
      <c r="N34" s="3" t="str">
        <f>IF(M34="","",COUNTIF($M$2:M34,M34))</f>
        <v/>
      </c>
    </row>
    <row r="35" spans="1:14" x14ac:dyDescent="0.3">
      <c r="A35" s="3" t="str">
        <f t="shared" si="0"/>
        <v/>
      </c>
      <c r="M35" s="3" t="str">
        <f>IF(B35="","","PF"&amp;"_"&amp;IFERROR(VLOOKUP(B35,LOOKUPS!$K$2:$L$9,2,FALSE),"UNK")&amp;"_"&amp;IFERROR(VLOOKUP(C35,LOOKUPS!$N$2:$O$10,2,FALSE),"UNK")&amp;"_"&amp;UPPER(L35))</f>
        <v/>
      </c>
      <c r="N35" s="3" t="str">
        <f>IF(M35="","",COUNTIF($M$2:M35,M35))</f>
        <v/>
      </c>
    </row>
    <row r="36" spans="1:14" x14ac:dyDescent="0.3">
      <c r="A36" s="3" t="str">
        <f t="shared" si="0"/>
        <v/>
      </c>
      <c r="M36" s="3" t="str">
        <f>IF(B36="","","PF"&amp;"_"&amp;IFERROR(VLOOKUP(B36,LOOKUPS!$K$2:$L$9,2,FALSE),"UNK")&amp;"_"&amp;IFERROR(VLOOKUP(C36,LOOKUPS!$N$2:$O$10,2,FALSE),"UNK")&amp;"_"&amp;UPPER(L36))</f>
        <v/>
      </c>
      <c r="N36" s="3" t="str">
        <f>IF(M36="","",COUNTIF($M$2:M36,M36))</f>
        <v/>
      </c>
    </row>
    <row r="37" spans="1:14" x14ac:dyDescent="0.3">
      <c r="A37" s="3" t="str">
        <f t="shared" si="0"/>
        <v/>
      </c>
      <c r="M37" s="3" t="str">
        <f>IF(B37="","","PF"&amp;"_"&amp;IFERROR(VLOOKUP(B37,LOOKUPS!$K$2:$L$9,2,FALSE),"UNK")&amp;"_"&amp;IFERROR(VLOOKUP(C37,LOOKUPS!$N$2:$O$10,2,FALSE),"UNK")&amp;"_"&amp;UPPER(L37))</f>
        <v/>
      </c>
      <c r="N37" s="3" t="str">
        <f>IF(M37="","",COUNTIF($M$2:M37,M37))</f>
        <v/>
      </c>
    </row>
    <row r="38" spans="1:14" x14ac:dyDescent="0.3">
      <c r="A38" s="3" t="str">
        <f t="shared" si="0"/>
        <v/>
      </c>
      <c r="M38" s="3" t="str">
        <f>IF(B38="","","PF"&amp;"_"&amp;IFERROR(VLOOKUP(B38,LOOKUPS!$K$2:$L$9,2,FALSE),"UNK")&amp;"_"&amp;IFERROR(VLOOKUP(C38,LOOKUPS!$N$2:$O$10,2,FALSE),"UNK")&amp;"_"&amp;UPPER(L38))</f>
        <v/>
      </c>
      <c r="N38" s="3" t="str">
        <f>IF(M38="","",COUNTIF($M$2:M38,M38))</f>
        <v/>
      </c>
    </row>
    <row r="39" spans="1:14" x14ac:dyDescent="0.3">
      <c r="A39" s="3" t="str">
        <f t="shared" si="0"/>
        <v/>
      </c>
      <c r="M39" s="3" t="str">
        <f>IF(B39="","","PF"&amp;"_"&amp;IFERROR(VLOOKUP(B39,LOOKUPS!$K$2:$L$9,2,FALSE),"UNK")&amp;"_"&amp;IFERROR(VLOOKUP(C39,LOOKUPS!$N$2:$O$10,2,FALSE),"UNK")&amp;"_"&amp;UPPER(L39))</f>
        <v/>
      </c>
      <c r="N39" s="3" t="str">
        <f>IF(M39="","",COUNTIF($M$2:M39,M39))</f>
        <v/>
      </c>
    </row>
    <row r="40" spans="1:14" x14ac:dyDescent="0.3">
      <c r="A40" s="3" t="str">
        <f t="shared" si="0"/>
        <v/>
      </c>
      <c r="M40" s="3" t="str">
        <f>IF(B40="","","PF"&amp;"_"&amp;IFERROR(VLOOKUP(B40,LOOKUPS!$K$2:$L$9,2,FALSE),"UNK")&amp;"_"&amp;IFERROR(VLOOKUP(C40,LOOKUPS!$N$2:$O$10,2,FALSE),"UNK")&amp;"_"&amp;UPPER(L40))</f>
        <v/>
      </c>
      <c r="N40" s="3" t="str">
        <f>IF(M40="","",COUNTIF($M$2:M40,M40))</f>
        <v/>
      </c>
    </row>
    <row r="41" spans="1:14" x14ac:dyDescent="0.3">
      <c r="A41" s="3" t="str">
        <f t="shared" si="0"/>
        <v/>
      </c>
      <c r="M41" s="3" t="str">
        <f>IF(B41="","","PF"&amp;"_"&amp;IFERROR(VLOOKUP(B41,LOOKUPS!$K$2:$L$9,2,FALSE),"UNK")&amp;"_"&amp;IFERROR(VLOOKUP(C41,LOOKUPS!$N$2:$O$10,2,FALSE),"UNK")&amp;"_"&amp;UPPER(L41))</f>
        <v/>
      </c>
      <c r="N41" s="3" t="str">
        <f>IF(M41="","",COUNTIF($M$2:M41,M41))</f>
        <v/>
      </c>
    </row>
    <row r="42" spans="1:14" x14ac:dyDescent="0.3">
      <c r="A42" s="3" t="str">
        <f t="shared" si="0"/>
        <v/>
      </c>
      <c r="M42" s="3" t="str">
        <f>IF(B42="","","PF"&amp;"_"&amp;IFERROR(VLOOKUP(B42,LOOKUPS!$K$2:$L$9,2,FALSE),"UNK")&amp;"_"&amp;IFERROR(VLOOKUP(C42,LOOKUPS!$N$2:$O$10,2,FALSE),"UNK")&amp;"_"&amp;UPPER(L42))</f>
        <v/>
      </c>
      <c r="N42" s="3" t="str">
        <f>IF(M42="","",COUNTIF($M$2:M42,M42))</f>
        <v/>
      </c>
    </row>
    <row r="43" spans="1:14" x14ac:dyDescent="0.3">
      <c r="A43" s="3" t="str">
        <f t="shared" si="0"/>
        <v/>
      </c>
      <c r="M43" s="3" t="str">
        <f>IF(B43="","","PF"&amp;"_"&amp;IFERROR(VLOOKUP(B43,LOOKUPS!$K$2:$L$9,2,FALSE),"UNK")&amp;"_"&amp;IFERROR(VLOOKUP(C43,LOOKUPS!$N$2:$O$10,2,FALSE),"UNK")&amp;"_"&amp;UPPER(L43))</f>
        <v/>
      </c>
      <c r="N43" s="3" t="str">
        <f>IF(M43="","",COUNTIF($M$2:M43,M43))</f>
        <v/>
      </c>
    </row>
    <row r="44" spans="1:14" x14ac:dyDescent="0.3">
      <c r="A44" s="3" t="str">
        <f t="shared" si="0"/>
        <v/>
      </c>
      <c r="M44" s="3" t="str">
        <f>IF(B44="","","PF"&amp;"_"&amp;IFERROR(VLOOKUP(B44,LOOKUPS!$K$2:$L$9,2,FALSE),"UNK")&amp;"_"&amp;IFERROR(VLOOKUP(C44,LOOKUPS!$N$2:$O$10,2,FALSE),"UNK")&amp;"_"&amp;UPPER(L44))</f>
        <v/>
      </c>
      <c r="N44" s="3" t="str">
        <f>IF(M44="","",COUNTIF($M$2:M44,M44))</f>
        <v/>
      </c>
    </row>
    <row r="45" spans="1:14" x14ac:dyDescent="0.3">
      <c r="A45" s="3" t="str">
        <f t="shared" si="0"/>
        <v/>
      </c>
      <c r="M45" s="3" t="str">
        <f>IF(B45="","","PF"&amp;"_"&amp;IFERROR(VLOOKUP(B45,LOOKUPS!$K$2:$L$9,2,FALSE),"UNK")&amp;"_"&amp;IFERROR(VLOOKUP(C45,LOOKUPS!$N$2:$O$10,2,FALSE),"UNK")&amp;"_"&amp;UPPER(L45))</f>
        <v/>
      </c>
      <c r="N45" s="3" t="str">
        <f>IF(M45="","",COUNTIF($M$2:M45,M45))</f>
        <v/>
      </c>
    </row>
    <row r="46" spans="1:14" x14ac:dyDescent="0.3">
      <c r="A46" s="3" t="str">
        <f t="shared" si="0"/>
        <v/>
      </c>
      <c r="M46" s="3" t="str">
        <f>IF(B46="","","PF"&amp;"_"&amp;IFERROR(VLOOKUP(B46,LOOKUPS!$K$2:$L$9,2,FALSE),"UNK")&amp;"_"&amp;IFERROR(VLOOKUP(C46,LOOKUPS!$N$2:$O$10,2,FALSE),"UNK")&amp;"_"&amp;UPPER(L46))</f>
        <v/>
      </c>
      <c r="N46" s="3" t="str">
        <f>IF(M46="","",COUNTIF($M$2:M46,M46))</f>
        <v/>
      </c>
    </row>
    <row r="47" spans="1:14" x14ac:dyDescent="0.3">
      <c r="A47" s="3" t="str">
        <f t="shared" si="0"/>
        <v/>
      </c>
      <c r="M47" s="3" t="str">
        <f>IF(B47="","","PF"&amp;"_"&amp;IFERROR(VLOOKUP(B47,LOOKUPS!$K$2:$L$9,2,FALSE),"UNK")&amp;"_"&amp;IFERROR(VLOOKUP(C47,LOOKUPS!$N$2:$O$10,2,FALSE),"UNK")&amp;"_"&amp;UPPER(L47))</f>
        <v/>
      </c>
      <c r="N47" s="3" t="str">
        <f>IF(M47="","",COUNTIF($M$2:M47,M47))</f>
        <v/>
      </c>
    </row>
    <row r="48" spans="1:14" x14ac:dyDescent="0.3">
      <c r="A48" s="3" t="str">
        <f t="shared" si="0"/>
        <v/>
      </c>
      <c r="M48" s="3" t="str">
        <f>IF(B48="","","PF"&amp;"_"&amp;IFERROR(VLOOKUP(B48,LOOKUPS!$K$2:$L$9,2,FALSE),"UNK")&amp;"_"&amp;IFERROR(VLOOKUP(C48,LOOKUPS!$N$2:$O$10,2,FALSE),"UNK")&amp;"_"&amp;UPPER(L48))</f>
        <v/>
      </c>
      <c r="N48" s="3" t="str">
        <f>IF(M48="","",COUNTIF($M$2:M48,M48))</f>
        <v/>
      </c>
    </row>
    <row r="49" spans="1:14" x14ac:dyDescent="0.3">
      <c r="A49" s="3" t="str">
        <f t="shared" si="0"/>
        <v/>
      </c>
      <c r="M49" s="3" t="str">
        <f>IF(B49="","","PF"&amp;"_"&amp;IFERROR(VLOOKUP(B49,LOOKUPS!$K$2:$L$9,2,FALSE),"UNK")&amp;"_"&amp;IFERROR(VLOOKUP(C49,LOOKUPS!$N$2:$O$10,2,FALSE),"UNK")&amp;"_"&amp;UPPER(L49))</f>
        <v/>
      </c>
      <c r="N49" s="3" t="str">
        <f>IF(M49="","",COUNTIF($M$2:M49,M49))</f>
        <v/>
      </c>
    </row>
    <row r="50" spans="1:14" x14ac:dyDescent="0.3">
      <c r="A50" s="3" t="str">
        <f t="shared" si="0"/>
        <v/>
      </c>
      <c r="M50" s="3" t="str">
        <f>IF(B50="","","PF"&amp;"_"&amp;IFERROR(VLOOKUP(B50,LOOKUPS!$K$2:$L$9,2,FALSE),"UNK")&amp;"_"&amp;IFERROR(VLOOKUP(C50,LOOKUPS!$N$2:$O$10,2,FALSE),"UNK")&amp;"_"&amp;UPPER(L50))</f>
        <v/>
      </c>
      <c r="N50" s="3" t="str">
        <f>IF(M50="","",COUNTIF($M$2:M50,M50))</f>
        <v/>
      </c>
    </row>
    <row r="51" spans="1:14" x14ac:dyDescent="0.3">
      <c r="A51" s="3" t="str">
        <f t="shared" si="0"/>
        <v/>
      </c>
      <c r="M51" s="3" t="str">
        <f>IF(B51="","","PF"&amp;"_"&amp;IFERROR(VLOOKUP(B51,LOOKUPS!$K$2:$L$9,2,FALSE),"UNK")&amp;"_"&amp;IFERROR(VLOOKUP(C51,LOOKUPS!$N$2:$O$10,2,FALSE),"UNK")&amp;"_"&amp;UPPER(L51))</f>
        <v/>
      </c>
      <c r="N51" s="3" t="str">
        <f>IF(M51="","",COUNTIF($M$2:M51,M51))</f>
        <v/>
      </c>
    </row>
    <row r="52" spans="1:14" x14ac:dyDescent="0.3">
      <c r="A52" s="3" t="str">
        <f t="shared" si="0"/>
        <v/>
      </c>
      <c r="M52" s="3" t="str">
        <f>IF(B52="","","PF"&amp;"_"&amp;IFERROR(VLOOKUP(B52,LOOKUPS!$K$2:$L$9,2,FALSE),"UNK")&amp;"_"&amp;IFERROR(VLOOKUP(C52,LOOKUPS!$N$2:$O$10,2,FALSE),"UNK")&amp;"_"&amp;UPPER(L52))</f>
        <v/>
      </c>
      <c r="N52" s="3" t="str">
        <f>IF(M52="","",COUNTIF($M$2:M52,M52))</f>
        <v/>
      </c>
    </row>
    <row r="53" spans="1:14" x14ac:dyDescent="0.3">
      <c r="A53" s="3" t="str">
        <f t="shared" si="0"/>
        <v/>
      </c>
      <c r="M53" s="3" t="str">
        <f>IF(B53="","","PF"&amp;"_"&amp;IFERROR(VLOOKUP(B53,LOOKUPS!$K$2:$L$9,2,FALSE),"UNK")&amp;"_"&amp;IFERROR(VLOOKUP(C53,LOOKUPS!$N$2:$O$10,2,FALSE),"UNK")&amp;"_"&amp;UPPER(L53))</f>
        <v/>
      </c>
      <c r="N53" s="3" t="str">
        <f>IF(M53="","",COUNTIF($M$2:M53,M53))</f>
        <v/>
      </c>
    </row>
    <row r="54" spans="1:14" x14ac:dyDescent="0.3">
      <c r="A54" s="3" t="str">
        <f t="shared" si="0"/>
        <v/>
      </c>
      <c r="M54" s="3" t="str">
        <f>IF(B54="","","PF"&amp;"_"&amp;IFERROR(VLOOKUP(B54,LOOKUPS!$K$2:$L$9,2,FALSE),"UNK")&amp;"_"&amp;IFERROR(VLOOKUP(C54,LOOKUPS!$N$2:$O$10,2,FALSE),"UNK")&amp;"_"&amp;UPPER(L54))</f>
        <v/>
      </c>
      <c r="N54" s="3" t="str">
        <f>IF(M54="","",COUNTIF($M$2:M54,M54))</f>
        <v/>
      </c>
    </row>
    <row r="55" spans="1:14" x14ac:dyDescent="0.3">
      <c r="A55" s="3" t="str">
        <f t="shared" si="0"/>
        <v/>
      </c>
      <c r="M55" s="3" t="str">
        <f>IF(B55="","","PF"&amp;"_"&amp;IFERROR(VLOOKUP(B55,LOOKUPS!$K$2:$L$9,2,FALSE),"UNK")&amp;"_"&amp;IFERROR(VLOOKUP(C55,LOOKUPS!$N$2:$O$10,2,FALSE),"UNK")&amp;"_"&amp;UPPER(L55))</f>
        <v/>
      </c>
      <c r="N55" s="3" t="str">
        <f>IF(M55="","",COUNTIF($M$2:M55,M55))</f>
        <v/>
      </c>
    </row>
    <row r="56" spans="1:14" x14ac:dyDescent="0.3">
      <c r="A56" s="3" t="str">
        <f t="shared" si="0"/>
        <v/>
      </c>
      <c r="M56" s="3" t="str">
        <f>IF(B56="","","PF"&amp;"_"&amp;IFERROR(VLOOKUP(B56,LOOKUPS!$K$2:$L$9,2,FALSE),"UNK")&amp;"_"&amp;IFERROR(VLOOKUP(C56,LOOKUPS!$N$2:$O$10,2,FALSE),"UNK")&amp;"_"&amp;UPPER(L56))</f>
        <v/>
      </c>
      <c r="N56" s="3" t="str">
        <f>IF(M56="","",COUNTIF($M$2:M56,M56))</f>
        <v/>
      </c>
    </row>
    <row r="57" spans="1:14" x14ac:dyDescent="0.3">
      <c r="A57" s="3" t="str">
        <f t="shared" si="0"/>
        <v/>
      </c>
      <c r="M57" s="3" t="str">
        <f>IF(B57="","","PF"&amp;"_"&amp;IFERROR(VLOOKUP(B57,LOOKUPS!$K$2:$L$9,2,FALSE),"UNK")&amp;"_"&amp;IFERROR(VLOOKUP(C57,LOOKUPS!$N$2:$O$10,2,FALSE),"UNK")&amp;"_"&amp;UPPER(L57))</f>
        <v/>
      </c>
      <c r="N57" s="3" t="str">
        <f>IF(M57="","",COUNTIF($M$2:M57,M57))</f>
        <v/>
      </c>
    </row>
    <row r="58" spans="1:14" x14ac:dyDescent="0.3">
      <c r="A58" s="3" t="str">
        <f t="shared" si="0"/>
        <v/>
      </c>
      <c r="M58" s="3" t="str">
        <f>IF(B58="","","PF"&amp;"_"&amp;IFERROR(VLOOKUP(B58,LOOKUPS!$K$2:$L$9,2,FALSE),"UNK")&amp;"_"&amp;IFERROR(VLOOKUP(C58,LOOKUPS!$N$2:$O$10,2,FALSE),"UNK")&amp;"_"&amp;UPPER(L58))</f>
        <v/>
      </c>
      <c r="N58" s="3" t="str">
        <f>IF(M58="","",COUNTIF($M$2:M58,M58))</f>
        <v/>
      </c>
    </row>
    <row r="59" spans="1:14" x14ac:dyDescent="0.3">
      <c r="A59" s="3" t="str">
        <f t="shared" si="0"/>
        <v/>
      </c>
      <c r="M59" s="3" t="str">
        <f>IF(B59="","","PF"&amp;"_"&amp;IFERROR(VLOOKUP(B59,LOOKUPS!$K$2:$L$9,2,FALSE),"UNK")&amp;"_"&amp;IFERROR(VLOOKUP(C59,LOOKUPS!$N$2:$O$10,2,FALSE),"UNK")&amp;"_"&amp;UPPER(L59))</f>
        <v/>
      </c>
      <c r="N59" s="3" t="str">
        <f>IF(M59="","",COUNTIF($M$2:M59,M59))</f>
        <v/>
      </c>
    </row>
    <row r="60" spans="1:14" x14ac:dyDescent="0.3">
      <c r="A60" s="3" t="str">
        <f t="shared" si="0"/>
        <v/>
      </c>
      <c r="M60" s="3" t="str">
        <f>IF(B60="","","PF"&amp;"_"&amp;IFERROR(VLOOKUP(B60,LOOKUPS!$K$2:$L$9,2,FALSE),"UNK")&amp;"_"&amp;IFERROR(VLOOKUP(C60,LOOKUPS!$N$2:$O$10,2,FALSE),"UNK")&amp;"_"&amp;UPPER(L60))</f>
        <v/>
      </c>
      <c r="N60" s="3" t="str">
        <f>IF(M60="","",COUNTIF($M$2:M60,M60))</f>
        <v/>
      </c>
    </row>
    <row r="61" spans="1:14" x14ac:dyDescent="0.3">
      <c r="A61" s="3" t="str">
        <f t="shared" si="0"/>
        <v/>
      </c>
      <c r="M61" s="3" t="str">
        <f>IF(B61="","","PF"&amp;"_"&amp;IFERROR(VLOOKUP(B61,LOOKUPS!$K$2:$L$9,2,FALSE),"UNK")&amp;"_"&amp;IFERROR(VLOOKUP(C61,LOOKUPS!$N$2:$O$10,2,FALSE),"UNK")&amp;"_"&amp;UPPER(L61))</f>
        <v/>
      </c>
      <c r="N61" s="3" t="str">
        <f>IF(M61="","",COUNTIF($M$2:M61,M61))</f>
        <v/>
      </c>
    </row>
    <row r="62" spans="1:14" x14ac:dyDescent="0.3">
      <c r="A62" s="3" t="str">
        <f t="shared" si="0"/>
        <v/>
      </c>
      <c r="M62" s="3" t="str">
        <f>IF(B62="","","PF"&amp;"_"&amp;IFERROR(VLOOKUP(B62,LOOKUPS!$K$2:$L$9,2,FALSE),"UNK")&amp;"_"&amp;IFERROR(VLOOKUP(C62,LOOKUPS!$N$2:$O$10,2,FALSE),"UNK")&amp;"_"&amp;UPPER(L62))</f>
        <v/>
      </c>
      <c r="N62" s="3" t="str">
        <f>IF(M62="","",COUNTIF($M$2:M62,M62))</f>
        <v/>
      </c>
    </row>
    <row r="63" spans="1:14" x14ac:dyDescent="0.3">
      <c r="A63" s="3" t="str">
        <f t="shared" si="0"/>
        <v/>
      </c>
      <c r="M63" s="3" t="str">
        <f>IF(B63="","","PF"&amp;"_"&amp;IFERROR(VLOOKUP(B63,LOOKUPS!$K$2:$L$9,2,FALSE),"UNK")&amp;"_"&amp;IFERROR(VLOOKUP(C63,LOOKUPS!$N$2:$O$10,2,FALSE),"UNK")&amp;"_"&amp;UPPER(L63))</f>
        <v/>
      </c>
      <c r="N63" s="3" t="str">
        <f>IF(M63="","",COUNTIF($M$2:M63,M63))</f>
        <v/>
      </c>
    </row>
    <row r="64" spans="1:14" x14ac:dyDescent="0.3">
      <c r="A64" s="3" t="str">
        <f t="shared" si="0"/>
        <v/>
      </c>
      <c r="M64" s="3" t="str">
        <f>IF(B64="","","PF"&amp;"_"&amp;IFERROR(VLOOKUP(B64,LOOKUPS!$K$2:$L$9,2,FALSE),"UNK")&amp;"_"&amp;IFERROR(VLOOKUP(C64,LOOKUPS!$N$2:$O$10,2,FALSE),"UNK")&amp;"_"&amp;UPPER(L64))</f>
        <v/>
      </c>
      <c r="N64" s="3" t="str">
        <f>IF(M64="","",COUNTIF($M$2:M64,M64))</f>
        <v/>
      </c>
    </row>
    <row r="65" spans="1:14" x14ac:dyDescent="0.3">
      <c r="A65" s="3" t="str">
        <f t="shared" si="0"/>
        <v/>
      </c>
      <c r="M65" s="3" t="str">
        <f>IF(B65="","","PF"&amp;"_"&amp;IFERROR(VLOOKUP(B65,LOOKUPS!$K$2:$L$9,2,FALSE),"UNK")&amp;"_"&amp;IFERROR(VLOOKUP(C65,LOOKUPS!$N$2:$O$10,2,FALSE),"UNK")&amp;"_"&amp;UPPER(L65))</f>
        <v/>
      </c>
      <c r="N65" s="3" t="str">
        <f>IF(M65="","",COUNTIF($M$2:M65,M65))</f>
        <v/>
      </c>
    </row>
    <row r="66" spans="1:14" x14ac:dyDescent="0.3">
      <c r="A66" s="3" t="str">
        <f t="shared" si="0"/>
        <v/>
      </c>
      <c r="M66" s="3" t="str">
        <f>IF(B66="","","PF"&amp;"_"&amp;IFERROR(VLOOKUP(B66,LOOKUPS!$K$2:$L$9,2,FALSE),"UNK")&amp;"_"&amp;IFERROR(VLOOKUP(C66,LOOKUPS!$N$2:$O$10,2,FALSE),"UNK")&amp;"_"&amp;UPPER(L66))</f>
        <v/>
      </c>
      <c r="N66" s="3" t="str">
        <f>IF(M66="","",COUNTIF($M$2:M66,M66))</f>
        <v/>
      </c>
    </row>
    <row r="67" spans="1:14" x14ac:dyDescent="0.3">
      <c r="A67" s="3" t="str">
        <f t="shared" ref="A67:A130" si="1">IF(M67="","",M67&amp;"_"&amp;TEXT(N67,"000"))</f>
        <v/>
      </c>
      <c r="M67" s="3" t="str">
        <f>IF(B67="","","PF"&amp;"_"&amp;IFERROR(VLOOKUP(B67,LOOKUPS!$K$2:$L$9,2,FALSE),"UNK")&amp;"_"&amp;IFERROR(VLOOKUP(C67,LOOKUPS!$N$2:$O$10,2,FALSE),"UNK")&amp;"_"&amp;UPPER(L67))</f>
        <v/>
      </c>
      <c r="N67" s="3" t="str">
        <f>IF(M67="","",COUNTIF($M$2:M67,M67))</f>
        <v/>
      </c>
    </row>
    <row r="68" spans="1:14" x14ac:dyDescent="0.3">
      <c r="A68" s="3" t="str">
        <f t="shared" si="1"/>
        <v/>
      </c>
      <c r="M68" s="3" t="str">
        <f>IF(B68="","","PF"&amp;"_"&amp;IFERROR(VLOOKUP(B68,LOOKUPS!$K$2:$L$9,2,FALSE),"UNK")&amp;"_"&amp;IFERROR(VLOOKUP(C68,LOOKUPS!$N$2:$O$10,2,FALSE),"UNK")&amp;"_"&amp;UPPER(L68))</f>
        <v/>
      </c>
      <c r="N68" s="3" t="str">
        <f>IF(M68="","",COUNTIF($M$2:M68,M68))</f>
        <v/>
      </c>
    </row>
    <row r="69" spans="1:14" x14ac:dyDescent="0.3">
      <c r="A69" s="3" t="str">
        <f t="shared" si="1"/>
        <v/>
      </c>
      <c r="M69" s="3" t="str">
        <f>IF(B69="","","PF"&amp;"_"&amp;IFERROR(VLOOKUP(B69,LOOKUPS!$K$2:$L$9,2,FALSE),"UNK")&amp;"_"&amp;IFERROR(VLOOKUP(C69,LOOKUPS!$N$2:$O$10,2,FALSE),"UNK")&amp;"_"&amp;UPPER(L69))</f>
        <v/>
      </c>
      <c r="N69" s="3" t="str">
        <f>IF(M69="","",COUNTIF($M$2:M69,M69))</f>
        <v/>
      </c>
    </row>
    <row r="70" spans="1:14" x14ac:dyDescent="0.3">
      <c r="A70" s="3" t="str">
        <f t="shared" si="1"/>
        <v/>
      </c>
      <c r="M70" s="3" t="str">
        <f>IF(B70="","","PF"&amp;"_"&amp;IFERROR(VLOOKUP(B70,LOOKUPS!$K$2:$L$9,2,FALSE),"UNK")&amp;"_"&amp;IFERROR(VLOOKUP(C70,LOOKUPS!$N$2:$O$10,2,FALSE),"UNK")&amp;"_"&amp;UPPER(L70))</f>
        <v/>
      </c>
      <c r="N70" s="3" t="str">
        <f>IF(M70="","",COUNTIF($M$2:M70,M70))</f>
        <v/>
      </c>
    </row>
    <row r="71" spans="1:14" x14ac:dyDescent="0.3">
      <c r="A71" s="3" t="str">
        <f t="shared" si="1"/>
        <v/>
      </c>
      <c r="M71" s="3" t="str">
        <f>IF(B71="","","PF"&amp;"_"&amp;IFERROR(VLOOKUP(B71,LOOKUPS!$K$2:$L$9,2,FALSE),"UNK")&amp;"_"&amp;IFERROR(VLOOKUP(C71,LOOKUPS!$N$2:$O$10,2,FALSE),"UNK")&amp;"_"&amp;UPPER(L71))</f>
        <v/>
      </c>
      <c r="N71" s="3" t="str">
        <f>IF(M71="","",COUNTIF($M$2:M71,M71))</f>
        <v/>
      </c>
    </row>
    <row r="72" spans="1:14" x14ac:dyDescent="0.3">
      <c r="A72" s="3" t="str">
        <f t="shared" si="1"/>
        <v/>
      </c>
      <c r="M72" s="3" t="str">
        <f>IF(B72="","","PF"&amp;"_"&amp;IFERROR(VLOOKUP(B72,LOOKUPS!$K$2:$L$9,2,FALSE),"UNK")&amp;"_"&amp;IFERROR(VLOOKUP(C72,LOOKUPS!$N$2:$O$10,2,FALSE),"UNK")&amp;"_"&amp;UPPER(L72))</f>
        <v/>
      </c>
      <c r="N72" s="3" t="str">
        <f>IF(M72="","",COUNTIF($M$2:M72,M72))</f>
        <v/>
      </c>
    </row>
    <row r="73" spans="1:14" x14ac:dyDescent="0.3">
      <c r="A73" s="3" t="str">
        <f t="shared" si="1"/>
        <v/>
      </c>
      <c r="M73" s="3" t="str">
        <f>IF(B73="","","PF"&amp;"_"&amp;IFERROR(VLOOKUP(B73,LOOKUPS!$K$2:$L$9,2,FALSE),"UNK")&amp;"_"&amp;IFERROR(VLOOKUP(C73,LOOKUPS!$N$2:$O$10,2,FALSE),"UNK")&amp;"_"&amp;UPPER(L73))</f>
        <v/>
      </c>
      <c r="N73" s="3" t="str">
        <f>IF(M73="","",COUNTIF($M$2:M73,M73))</f>
        <v/>
      </c>
    </row>
    <row r="74" spans="1:14" x14ac:dyDescent="0.3">
      <c r="A74" s="3" t="str">
        <f t="shared" si="1"/>
        <v/>
      </c>
      <c r="M74" s="3" t="str">
        <f>IF(B74="","","PF"&amp;"_"&amp;IFERROR(VLOOKUP(B74,LOOKUPS!$K$2:$L$9,2,FALSE),"UNK")&amp;"_"&amp;IFERROR(VLOOKUP(C74,LOOKUPS!$N$2:$O$10,2,FALSE),"UNK")&amp;"_"&amp;UPPER(L74))</f>
        <v/>
      </c>
      <c r="N74" s="3" t="str">
        <f>IF(M74="","",COUNTIF($M$2:M74,M74))</f>
        <v/>
      </c>
    </row>
    <row r="75" spans="1:14" x14ac:dyDescent="0.3">
      <c r="A75" s="3" t="str">
        <f t="shared" si="1"/>
        <v/>
      </c>
      <c r="M75" s="3" t="str">
        <f>IF(B75="","","PF"&amp;"_"&amp;IFERROR(VLOOKUP(B75,LOOKUPS!$K$2:$L$9,2,FALSE),"UNK")&amp;"_"&amp;IFERROR(VLOOKUP(C75,LOOKUPS!$N$2:$O$10,2,FALSE),"UNK")&amp;"_"&amp;UPPER(L75))</f>
        <v/>
      </c>
      <c r="N75" s="3" t="str">
        <f>IF(M75="","",COUNTIF($M$2:M75,M75))</f>
        <v/>
      </c>
    </row>
    <row r="76" spans="1:14" x14ac:dyDescent="0.3">
      <c r="A76" s="3" t="str">
        <f t="shared" si="1"/>
        <v/>
      </c>
      <c r="M76" s="3" t="str">
        <f>IF(B76="","","PF"&amp;"_"&amp;IFERROR(VLOOKUP(B76,LOOKUPS!$K$2:$L$9,2,FALSE),"UNK")&amp;"_"&amp;IFERROR(VLOOKUP(C76,LOOKUPS!$N$2:$O$10,2,FALSE),"UNK")&amp;"_"&amp;UPPER(L76))</f>
        <v/>
      </c>
      <c r="N76" s="3" t="str">
        <f>IF(M76="","",COUNTIF($M$2:M76,M76))</f>
        <v/>
      </c>
    </row>
    <row r="77" spans="1:14" x14ac:dyDescent="0.3">
      <c r="A77" s="3" t="str">
        <f t="shared" si="1"/>
        <v/>
      </c>
      <c r="M77" s="3" t="str">
        <f>IF(B77="","","PF"&amp;"_"&amp;IFERROR(VLOOKUP(B77,LOOKUPS!$K$2:$L$9,2,FALSE),"UNK")&amp;"_"&amp;IFERROR(VLOOKUP(C77,LOOKUPS!$N$2:$O$10,2,FALSE),"UNK")&amp;"_"&amp;UPPER(L77))</f>
        <v/>
      </c>
      <c r="N77" s="3" t="str">
        <f>IF(M77="","",COUNTIF($M$2:M77,M77))</f>
        <v/>
      </c>
    </row>
    <row r="78" spans="1:14" x14ac:dyDescent="0.3">
      <c r="A78" s="3" t="str">
        <f t="shared" si="1"/>
        <v/>
      </c>
      <c r="M78" s="3" t="str">
        <f>IF(B78="","","PF"&amp;"_"&amp;IFERROR(VLOOKUP(B78,LOOKUPS!$K$2:$L$9,2,FALSE),"UNK")&amp;"_"&amp;IFERROR(VLOOKUP(C78,LOOKUPS!$N$2:$O$10,2,FALSE),"UNK")&amp;"_"&amp;UPPER(L78))</f>
        <v/>
      </c>
      <c r="N78" s="3" t="str">
        <f>IF(M78="","",COUNTIF($M$2:M78,M78))</f>
        <v/>
      </c>
    </row>
    <row r="79" spans="1:14" x14ac:dyDescent="0.3">
      <c r="A79" s="3" t="str">
        <f t="shared" si="1"/>
        <v/>
      </c>
      <c r="M79" s="3" t="str">
        <f>IF(B79="","","PF"&amp;"_"&amp;IFERROR(VLOOKUP(B79,LOOKUPS!$K$2:$L$9,2,FALSE),"UNK")&amp;"_"&amp;IFERROR(VLOOKUP(C79,LOOKUPS!$N$2:$O$10,2,FALSE),"UNK")&amp;"_"&amp;UPPER(L79))</f>
        <v/>
      </c>
      <c r="N79" s="3" t="str">
        <f>IF(M79="","",COUNTIF($M$2:M79,M79))</f>
        <v/>
      </c>
    </row>
    <row r="80" spans="1:14" x14ac:dyDescent="0.3">
      <c r="A80" s="3" t="str">
        <f t="shared" si="1"/>
        <v/>
      </c>
      <c r="M80" s="3" t="str">
        <f>IF(B80="","","PF"&amp;"_"&amp;IFERROR(VLOOKUP(B80,LOOKUPS!$K$2:$L$9,2,FALSE),"UNK")&amp;"_"&amp;IFERROR(VLOOKUP(C80,LOOKUPS!$N$2:$O$10,2,FALSE),"UNK")&amp;"_"&amp;UPPER(L80))</f>
        <v/>
      </c>
      <c r="N80" s="3" t="str">
        <f>IF(M80="","",COUNTIF($M$2:M80,M80))</f>
        <v/>
      </c>
    </row>
    <row r="81" spans="1:14" x14ac:dyDescent="0.3">
      <c r="A81" s="3" t="str">
        <f t="shared" si="1"/>
        <v/>
      </c>
      <c r="M81" s="3" t="str">
        <f>IF(B81="","","PF"&amp;"_"&amp;IFERROR(VLOOKUP(B81,LOOKUPS!$K$2:$L$9,2,FALSE),"UNK")&amp;"_"&amp;IFERROR(VLOOKUP(C81,LOOKUPS!$N$2:$O$10,2,FALSE),"UNK")&amp;"_"&amp;UPPER(L81))</f>
        <v/>
      </c>
      <c r="N81" s="3" t="str">
        <f>IF(M81="","",COUNTIF($M$2:M81,M81))</f>
        <v/>
      </c>
    </row>
    <row r="82" spans="1:14" x14ac:dyDescent="0.3">
      <c r="A82" s="3" t="str">
        <f t="shared" si="1"/>
        <v/>
      </c>
      <c r="M82" s="3" t="str">
        <f>IF(B82="","","PF"&amp;"_"&amp;IFERROR(VLOOKUP(B82,LOOKUPS!$K$2:$L$9,2,FALSE),"UNK")&amp;"_"&amp;IFERROR(VLOOKUP(C82,LOOKUPS!$N$2:$O$10,2,FALSE),"UNK")&amp;"_"&amp;UPPER(L82))</f>
        <v/>
      </c>
      <c r="N82" s="3" t="str">
        <f>IF(M82="","",COUNTIF($M$2:M82,M82))</f>
        <v/>
      </c>
    </row>
    <row r="83" spans="1:14" x14ac:dyDescent="0.3">
      <c r="A83" s="3" t="str">
        <f t="shared" si="1"/>
        <v/>
      </c>
      <c r="M83" s="3" t="str">
        <f>IF(B83="","","PF"&amp;"_"&amp;IFERROR(VLOOKUP(B83,LOOKUPS!$K$2:$L$9,2,FALSE),"UNK")&amp;"_"&amp;IFERROR(VLOOKUP(C83,LOOKUPS!$N$2:$O$10,2,FALSE),"UNK")&amp;"_"&amp;UPPER(L83))</f>
        <v/>
      </c>
      <c r="N83" s="3" t="str">
        <f>IF(M83="","",COUNTIF($M$2:M83,M83))</f>
        <v/>
      </c>
    </row>
    <row r="84" spans="1:14" x14ac:dyDescent="0.3">
      <c r="A84" s="3" t="str">
        <f t="shared" si="1"/>
        <v/>
      </c>
      <c r="M84" s="3" t="str">
        <f>IF(B84="","","PF"&amp;"_"&amp;IFERROR(VLOOKUP(B84,LOOKUPS!$K$2:$L$9,2,FALSE),"UNK")&amp;"_"&amp;IFERROR(VLOOKUP(C84,LOOKUPS!$N$2:$O$10,2,FALSE),"UNK")&amp;"_"&amp;UPPER(L84))</f>
        <v/>
      </c>
      <c r="N84" s="3" t="str">
        <f>IF(M84="","",COUNTIF($M$2:M84,M84))</f>
        <v/>
      </c>
    </row>
    <row r="85" spans="1:14" x14ac:dyDescent="0.3">
      <c r="A85" s="3" t="str">
        <f t="shared" si="1"/>
        <v/>
      </c>
      <c r="M85" s="3" t="str">
        <f>IF(B85="","","PF"&amp;"_"&amp;IFERROR(VLOOKUP(B85,LOOKUPS!$K$2:$L$9,2,FALSE),"UNK")&amp;"_"&amp;IFERROR(VLOOKUP(C85,LOOKUPS!$N$2:$O$10,2,FALSE),"UNK")&amp;"_"&amp;UPPER(L85))</f>
        <v/>
      </c>
      <c r="N85" s="3" t="str">
        <f>IF(M85="","",COUNTIF($M$2:M85,M85))</f>
        <v/>
      </c>
    </row>
    <row r="86" spans="1:14" x14ac:dyDescent="0.3">
      <c r="A86" s="3" t="str">
        <f t="shared" si="1"/>
        <v/>
      </c>
      <c r="M86" s="3" t="str">
        <f>IF(B86="","","PF"&amp;"_"&amp;IFERROR(VLOOKUP(B86,LOOKUPS!$K$2:$L$9,2,FALSE),"UNK")&amp;"_"&amp;IFERROR(VLOOKUP(C86,LOOKUPS!$N$2:$O$10,2,FALSE),"UNK")&amp;"_"&amp;UPPER(L86))</f>
        <v/>
      </c>
      <c r="N86" s="3" t="str">
        <f>IF(M86="","",COUNTIF($M$2:M86,M86))</f>
        <v/>
      </c>
    </row>
    <row r="87" spans="1:14" x14ac:dyDescent="0.3">
      <c r="A87" s="3" t="str">
        <f t="shared" si="1"/>
        <v/>
      </c>
      <c r="M87" s="3" t="str">
        <f>IF(B87="","","PF"&amp;"_"&amp;IFERROR(VLOOKUP(B87,LOOKUPS!$K$2:$L$9,2,FALSE),"UNK")&amp;"_"&amp;IFERROR(VLOOKUP(C87,LOOKUPS!$N$2:$O$10,2,FALSE),"UNK")&amp;"_"&amp;UPPER(L87))</f>
        <v/>
      </c>
      <c r="N87" s="3" t="str">
        <f>IF(M87="","",COUNTIF($M$2:M87,M87))</f>
        <v/>
      </c>
    </row>
    <row r="88" spans="1:14" x14ac:dyDescent="0.3">
      <c r="A88" s="3" t="str">
        <f t="shared" si="1"/>
        <v/>
      </c>
      <c r="M88" s="3" t="str">
        <f>IF(B88="","","PF"&amp;"_"&amp;IFERROR(VLOOKUP(B88,LOOKUPS!$K$2:$L$9,2,FALSE),"UNK")&amp;"_"&amp;IFERROR(VLOOKUP(C88,LOOKUPS!$N$2:$O$10,2,FALSE),"UNK")&amp;"_"&amp;UPPER(L88))</f>
        <v/>
      </c>
      <c r="N88" s="3" t="str">
        <f>IF(M88="","",COUNTIF($M$2:M88,M88))</f>
        <v/>
      </c>
    </row>
    <row r="89" spans="1:14" x14ac:dyDescent="0.3">
      <c r="A89" s="3" t="str">
        <f t="shared" si="1"/>
        <v/>
      </c>
      <c r="M89" s="3" t="str">
        <f>IF(B89="","","PF"&amp;"_"&amp;IFERROR(VLOOKUP(B89,LOOKUPS!$K$2:$L$9,2,FALSE),"UNK")&amp;"_"&amp;IFERROR(VLOOKUP(C89,LOOKUPS!$N$2:$O$10,2,FALSE),"UNK")&amp;"_"&amp;UPPER(L89))</f>
        <v/>
      </c>
      <c r="N89" s="3" t="str">
        <f>IF(M89="","",COUNTIF($M$2:M89,M89))</f>
        <v/>
      </c>
    </row>
    <row r="90" spans="1:14" x14ac:dyDescent="0.3">
      <c r="A90" s="3" t="str">
        <f t="shared" si="1"/>
        <v/>
      </c>
      <c r="M90" s="3" t="str">
        <f>IF(B90="","","PF"&amp;"_"&amp;IFERROR(VLOOKUP(B90,LOOKUPS!$K$2:$L$9,2,FALSE),"UNK")&amp;"_"&amp;IFERROR(VLOOKUP(C90,LOOKUPS!$N$2:$O$10,2,FALSE),"UNK")&amp;"_"&amp;UPPER(L90))</f>
        <v/>
      </c>
      <c r="N90" s="3" t="str">
        <f>IF(M90="","",COUNTIF($M$2:M90,M90))</f>
        <v/>
      </c>
    </row>
    <row r="91" spans="1:14" x14ac:dyDescent="0.3">
      <c r="A91" s="3" t="str">
        <f t="shared" si="1"/>
        <v/>
      </c>
      <c r="M91" s="3" t="str">
        <f>IF(B91="","","PF"&amp;"_"&amp;IFERROR(VLOOKUP(B91,LOOKUPS!$K$2:$L$9,2,FALSE),"UNK")&amp;"_"&amp;IFERROR(VLOOKUP(C91,LOOKUPS!$N$2:$O$10,2,FALSE),"UNK")&amp;"_"&amp;UPPER(L91))</f>
        <v/>
      </c>
      <c r="N91" s="3" t="str">
        <f>IF(M91="","",COUNTIF($M$2:M91,M91))</f>
        <v/>
      </c>
    </row>
    <row r="92" spans="1:14" x14ac:dyDescent="0.3">
      <c r="A92" s="3" t="str">
        <f t="shared" si="1"/>
        <v/>
      </c>
      <c r="M92" s="3" t="str">
        <f>IF(B92="","","PF"&amp;"_"&amp;IFERROR(VLOOKUP(B92,LOOKUPS!$K$2:$L$9,2,FALSE),"UNK")&amp;"_"&amp;IFERROR(VLOOKUP(C92,LOOKUPS!$N$2:$O$10,2,FALSE),"UNK")&amp;"_"&amp;UPPER(L92))</f>
        <v/>
      </c>
      <c r="N92" s="3" t="str">
        <f>IF(M92="","",COUNTIF($M$2:M92,M92))</f>
        <v/>
      </c>
    </row>
    <row r="93" spans="1:14" x14ac:dyDescent="0.3">
      <c r="A93" s="3" t="str">
        <f t="shared" si="1"/>
        <v/>
      </c>
      <c r="M93" s="3" t="str">
        <f>IF(B93="","","PF"&amp;"_"&amp;IFERROR(VLOOKUP(B93,LOOKUPS!$K$2:$L$9,2,FALSE),"UNK")&amp;"_"&amp;IFERROR(VLOOKUP(C93,LOOKUPS!$N$2:$O$10,2,FALSE),"UNK")&amp;"_"&amp;UPPER(L93))</f>
        <v/>
      </c>
      <c r="N93" s="3" t="str">
        <f>IF(M93="","",COUNTIF($M$2:M93,M93))</f>
        <v/>
      </c>
    </row>
    <row r="94" spans="1:14" x14ac:dyDescent="0.3">
      <c r="A94" s="3" t="str">
        <f t="shared" si="1"/>
        <v/>
      </c>
      <c r="M94" s="3" t="str">
        <f>IF(B94="","","PF"&amp;"_"&amp;IFERROR(VLOOKUP(B94,LOOKUPS!$K$2:$L$9,2,FALSE),"UNK")&amp;"_"&amp;IFERROR(VLOOKUP(C94,LOOKUPS!$N$2:$O$10,2,FALSE),"UNK")&amp;"_"&amp;UPPER(L94))</f>
        <v/>
      </c>
      <c r="N94" s="3" t="str">
        <f>IF(M94="","",COUNTIF($M$2:M94,M94))</f>
        <v/>
      </c>
    </row>
    <row r="95" spans="1:14" x14ac:dyDescent="0.3">
      <c r="A95" s="3" t="str">
        <f t="shared" si="1"/>
        <v/>
      </c>
      <c r="M95" s="3" t="str">
        <f>IF(B95="","","PF"&amp;"_"&amp;IFERROR(VLOOKUP(B95,LOOKUPS!$K$2:$L$9,2,FALSE),"UNK")&amp;"_"&amp;IFERROR(VLOOKUP(C95,LOOKUPS!$N$2:$O$10,2,FALSE),"UNK")&amp;"_"&amp;UPPER(L95))</f>
        <v/>
      </c>
      <c r="N95" s="3" t="str">
        <f>IF(M95="","",COUNTIF($M$2:M95,M95))</f>
        <v/>
      </c>
    </row>
    <row r="96" spans="1:14" x14ac:dyDescent="0.3">
      <c r="A96" s="3" t="str">
        <f t="shared" si="1"/>
        <v/>
      </c>
      <c r="M96" s="3" t="str">
        <f>IF(B96="","","PF"&amp;"_"&amp;IFERROR(VLOOKUP(B96,LOOKUPS!$K$2:$L$9,2,FALSE),"UNK")&amp;"_"&amp;IFERROR(VLOOKUP(C96,LOOKUPS!$N$2:$O$10,2,FALSE),"UNK")&amp;"_"&amp;UPPER(L96))</f>
        <v/>
      </c>
      <c r="N96" s="3" t="str">
        <f>IF(M96="","",COUNTIF($M$2:M96,M96))</f>
        <v/>
      </c>
    </row>
    <row r="97" spans="1:14" x14ac:dyDescent="0.3">
      <c r="A97" s="3" t="str">
        <f t="shared" si="1"/>
        <v/>
      </c>
      <c r="M97" s="3" t="str">
        <f>IF(B97="","","PF"&amp;"_"&amp;IFERROR(VLOOKUP(B97,LOOKUPS!$K$2:$L$9,2,FALSE),"UNK")&amp;"_"&amp;IFERROR(VLOOKUP(C97,LOOKUPS!$N$2:$O$10,2,FALSE),"UNK")&amp;"_"&amp;UPPER(L97))</f>
        <v/>
      </c>
      <c r="N97" s="3" t="str">
        <f>IF(M97="","",COUNTIF($M$2:M97,M97))</f>
        <v/>
      </c>
    </row>
    <row r="98" spans="1:14" x14ac:dyDescent="0.3">
      <c r="A98" s="3" t="str">
        <f t="shared" si="1"/>
        <v/>
      </c>
      <c r="M98" s="3" t="str">
        <f>IF(B98="","","PF"&amp;"_"&amp;IFERROR(VLOOKUP(B98,LOOKUPS!$K$2:$L$9,2,FALSE),"UNK")&amp;"_"&amp;IFERROR(VLOOKUP(C98,LOOKUPS!$N$2:$O$10,2,FALSE),"UNK")&amp;"_"&amp;UPPER(L98))</f>
        <v/>
      </c>
      <c r="N98" s="3" t="str">
        <f>IF(M98="","",COUNTIF($M$2:M98,M98))</f>
        <v/>
      </c>
    </row>
    <row r="99" spans="1:14" x14ac:dyDescent="0.3">
      <c r="A99" s="3" t="str">
        <f t="shared" si="1"/>
        <v/>
      </c>
      <c r="M99" s="3" t="str">
        <f>IF(B99="","","PF"&amp;"_"&amp;IFERROR(VLOOKUP(B99,LOOKUPS!$K$2:$L$9,2,FALSE),"UNK")&amp;"_"&amp;IFERROR(VLOOKUP(C99,LOOKUPS!$N$2:$O$10,2,FALSE),"UNK")&amp;"_"&amp;UPPER(L99))</f>
        <v/>
      </c>
      <c r="N99" s="3" t="str">
        <f>IF(M99="","",COUNTIF($M$2:M99,M99))</f>
        <v/>
      </c>
    </row>
    <row r="100" spans="1:14" x14ac:dyDescent="0.3">
      <c r="A100" s="3" t="str">
        <f t="shared" si="1"/>
        <v/>
      </c>
      <c r="M100" s="3" t="str">
        <f>IF(B100="","","PF"&amp;"_"&amp;IFERROR(VLOOKUP(B100,LOOKUPS!$K$2:$L$9,2,FALSE),"UNK")&amp;"_"&amp;IFERROR(VLOOKUP(C100,LOOKUPS!$N$2:$O$10,2,FALSE),"UNK")&amp;"_"&amp;UPPER(L100))</f>
        <v/>
      </c>
      <c r="N100" s="3" t="str">
        <f>IF(M100="","",COUNTIF($M$2:M100,M100))</f>
        <v/>
      </c>
    </row>
    <row r="101" spans="1:14" x14ac:dyDescent="0.3">
      <c r="A101" s="3" t="str">
        <f t="shared" si="1"/>
        <v/>
      </c>
      <c r="M101" s="3" t="str">
        <f>IF(B101="","","PF"&amp;"_"&amp;IFERROR(VLOOKUP(B101,LOOKUPS!$K$2:$L$9,2,FALSE),"UNK")&amp;"_"&amp;IFERROR(VLOOKUP(C101,LOOKUPS!$N$2:$O$10,2,FALSE),"UNK")&amp;"_"&amp;UPPER(L101))</f>
        <v/>
      </c>
      <c r="N101" s="3" t="str">
        <f>IF(M101="","",COUNTIF($M$2:M101,M101))</f>
        <v/>
      </c>
    </row>
    <row r="102" spans="1:14" x14ac:dyDescent="0.3">
      <c r="A102" s="3" t="str">
        <f t="shared" si="1"/>
        <v/>
      </c>
      <c r="M102" s="3" t="str">
        <f>IF(B102="","","PF"&amp;"_"&amp;IFERROR(VLOOKUP(B102,LOOKUPS!$K$2:$L$9,2,FALSE),"UNK")&amp;"_"&amp;IFERROR(VLOOKUP(C102,LOOKUPS!$N$2:$O$10,2,FALSE),"UNK")&amp;"_"&amp;UPPER(L102))</f>
        <v/>
      </c>
      <c r="N102" s="3" t="str">
        <f>IF(M102="","",COUNTIF($M$2:M102,M102))</f>
        <v/>
      </c>
    </row>
    <row r="103" spans="1:14" x14ac:dyDescent="0.3">
      <c r="A103" s="3" t="str">
        <f t="shared" si="1"/>
        <v/>
      </c>
      <c r="M103" s="3" t="str">
        <f>IF(B103="","","PF"&amp;"_"&amp;IFERROR(VLOOKUP(B103,LOOKUPS!$K$2:$L$9,2,FALSE),"UNK")&amp;"_"&amp;IFERROR(VLOOKUP(C103,LOOKUPS!$N$2:$O$10,2,FALSE),"UNK")&amp;"_"&amp;UPPER(L103))</f>
        <v/>
      </c>
      <c r="N103" s="3" t="str">
        <f>IF(M103="","",COUNTIF($M$2:M103,M103))</f>
        <v/>
      </c>
    </row>
    <row r="104" spans="1:14" x14ac:dyDescent="0.3">
      <c r="A104" s="3" t="str">
        <f t="shared" si="1"/>
        <v/>
      </c>
      <c r="M104" s="3" t="str">
        <f>IF(B104="","","PF"&amp;"_"&amp;IFERROR(VLOOKUP(B104,LOOKUPS!$K$2:$L$9,2,FALSE),"UNK")&amp;"_"&amp;IFERROR(VLOOKUP(C104,LOOKUPS!$N$2:$O$10,2,FALSE),"UNK")&amp;"_"&amp;UPPER(L104))</f>
        <v/>
      </c>
      <c r="N104" s="3" t="str">
        <f>IF(M104="","",COUNTIF($M$2:M104,M104))</f>
        <v/>
      </c>
    </row>
    <row r="105" spans="1:14" x14ac:dyDescent="0.3">
      <c r="A105" s="3" t="str">
        <f t="shared" si="1"/>
        <v/>
      </c>
      <c r="M105" s="3" t="str">
        <f>IF(B105="","","PF"&amp;"_"&amp;IFERROR(VLOOKUP(B105,LOOKUPS!$K$2:$L$9,2,FALSE),"UNK")&amp;"_"&amp;IFERROR(VLOOKUP(C105,LOOKUPS!$N$2:$O$10,2,FALSE),"UNK")&amp;"_"&amp;UPPER(L105))</f>
        <v/>
      </c>
      <c r="N105" s="3" t="str">
        <f>IF(M105="","",COUNTIF($M$2:M105,M105))</f>
        <v/>
      </c>
    </row>
    <row r="106" spans="1:14" x14ac:dyDescent="0.3">
      <c r="A106" s="3" t="str">
        <f t="shared" si="1"/>
        <v/>
      </c>
      <c r="M106" s="3" t="str">
        <f>IF(B106="","","PF"&amp;"_"&amp;IFERROR(VLOOKUP(B106,LOOKUPS!$K$2:$L$9,2,FALSE),"UNK")&amp;"_"&amp;IFERROR(VLOOKUP(C106,LOOKUPS!$N$2:$O$10,2,FALSE),"UNK")&amp;"_"&amp;UPPER(L106))</f>
        <v/>
      </c>
      <c r="N106" s="3" t="str">
        <f>IF(M106="","",COUNTIF($M$2:M106,M106))</f>
        <v/>
      </c>
    </row>
    <row r="107" spans="1:14" x14ac:dyDescent="0.3">
      <c r="A107" s="3" t="str">
        <f t="shared" si="1"/>
        <v/>
      </c>
      <c r="M107" s="3" t="str">
        <f>IF(B107="","","PF"&amp;"_"&amp;IFERROR(VLOOKUP(B107,LOOKUPS!$K$2:$L$9,2,FALSE),"UNK")&amp;"_"&amp;IFERROR(VLOOKUP(C107,LOOKUPS!$N$2:$O$10,2,FALSE),"UNK")&amp;"_"&amp;UPPER(L107))</f>
        <v/>
      </c>
      <c r="N107" s="3" t="str">
        <f>IF(M107="","",COUNTIF($M$2:M107,M107))</f>
        <v/>
      </c>
    </row>
    <row r="108" spans="1:14" x14ac:dyDescent="0.3">
      <c r="A108" s="3" t="str">
        <f t="shared" si="1"/>
        <v/>
      </c>
      <c r="M108" s="3" t="str">
        <f>IF(B108="","","PF"&amp;"_"&amp;IFERROR(VLOOKUP(B108,LOOKUPS!$K$2:$L$9,2,FALSE),"UNK")&amp;"_"&amp;IFERROR(VLOOKUP(C108,LOOKUPS!$N$2:$O$10,2,FALSE),"UNK")&amp;"_"&amp;UPPER(L108))</f>
        <v/>
      </c>
      <c r="N108" s="3" t="str">
        <f>IF(M108="","",COUNTIF($M$2:M108,M108))</f>
        <v/>
      </c>
    </row>
    <row r="109" spans="1:14" x14ac:dyDescent="0.3">
      <c r="A109" s="3" t="str">
        <f t="shared" si="1"/>
        <v/>
      </c>
      <c r="M109" s="3" t="str">
        <f>IF(B109="","","PF"&amp;"_"&amp;IFERROR(VLOOKUP(B109,LOOKUPS!$K$2:$L$9,2,FALSE),"UNK")&amp;"_"&amp;IFERROR(VLOOKUP(C109,LOOKUPS!$N$2:$O$10,2,FALSE),"UNK")&amp;"_"&amp;UPPER(L109))</f>
        <v/>
      </c>
      <c r="N109" s="3" t="str">
        <f>IF(M109="","",COUNTIF($M$2:M109,M109))</f>
        <v/>
      </c>
    </row>
    <row r="110" spans="1:14" x14ac:dyDescent="0.3">
      <c r="A110" s="3" t="str">
        <f t="shared" si="1"/>
        <v/>
      </c>
      <c r="M110" s="3" t="str">
        <f>IF(B110="","","PF"&amp;"_"&amp;IFERROR(VLOOKUP(B110,LOOKUPS!$K$2:$L$9,2,FALSE),"UNK")&amp;"_"&amp;IFERROR(VLOOKUP(C110,LOOKUPS!$N$2:$O$10,2,FALSE),"UNK")&amp;"_"&amp;UPPER(L110))</f>
        <v/>
      </c>
      <c r="N110" s="3" t="str">
        <f>IF(M110="","",COUNTIF($M$2:M110,M110))</f>
        <v/>
      </c>
    </row>
    <row r="111" spans="1:14" x14ac:dyDescent="0.3">
      <c r="A111" s="3" t="str">
        <f t="shared" si="1"/>
        <v/>
      </c>
      <c r="M111" s="3" t="str">
        <f>IF(B111="","","PF"&amp;"_"&amp;IFERROR(VLOOKUP(B111,LOOKUPS!$K$2:$L$9,2,FALSE),"UNK")&amp;"_"&amp;IFERROR(VLOOKUP(C111,LOOKUPS!$N$2:$O$10,2,FALSE),"UNK")&amp;"_"&amp;UPPER(L111))</f>
        <v/>
      </c>
      <c r="N111" s="3" t="str">
        <f>IF(M111="","",COUNTIF($M$2:M111,M111))</f>
        <v/>
      </c>
    </row>
    <row r="112" spans="1:14" x14ac:dyDescent="0.3">
      <c r="A112" s="3" t="str">
        <f t="shared" si="1"/>
        <v/>
      </c>
      <c r="M112" s="3" t="str">
        <f>IF(B112="","","PF"&amp;"_"&amp;IFERROR(VLOOKUP(B112,LOOKUPS!$K$2:$L$9,2,FALSE),"UNK")&amp;"_"&amp;IFERROR(VLOOKUP(C112,LOOKUPS!$N$2:$O$10,2,FALSE),"UNK")&amp;"_"&amp;UPPER(L112))</f>
        <v/>
      </c>
      <c r="N112" s="3" t="str">
        <f>IF(M112="","",COUNTIF($M$2:M112,M112))</f>
        <v/>
      </c>
    </row>
    <row r="113" spans="1:14" x14ac:dyDescent="0.3">
      <c r="A113" s="3" t="str">
        <f t="shared" si="1"/>
        <v/>
      </c>
      <c r="M113" s="3" t="str">
        <f>IF(B113="","","PF"&amp;"_"&amp;IFERROR(VLOOKUP(B113,LOOKUPS!$K$2:$L$9,2,FALSE),"UNK")&amp;"_"&amp;IFERROR(VLOOKUP(C113,LOOKUPS!$N$2:$O$10,2,FALSE),"UNK")&amp;"_"&amp;UPPER(L113))</f>
        <v/>
      </c>
      <c r="N113" s="3" t="str">
        <f>IF(M113="","",COUNTIF($M$2:M113,M113))</f>
        <v/>
      </c>
    </row>
    <row r="114" spans="1:14" x14ac:dyDescent="0.3">
      <c r="A114" s="3" t="str">
        <f t="shared" si="1"/>
        <v/>
      </c>
      <c r="M114" s="3" t="str">
        <f>IF(B114="","","PF"&amp;"_"&amp;IFERROR(VLOOKUP(B114,LOOKUPS!$K$2:$L$9,2,FALSE),"UNK")&amp;"_"&amp;IFERROR(VLOOKUP(C114,LOOKUPS!$N$2:$O$10,2,FALSE),"UNK")&amp;"_"&amp;UPPER(L114))</f>
        <v/>
      </c>
      <c r="N114" s="3" t="str">
        <f>IF(M114="","",COUNTIF($M$2:M114,M114))</f>
        <v/>
      </c>
    </row>
    <row r="115" spans="1:14" x14ac:dyDescent="0.3">
      <c r="A115" s="3" t="str">
        <f t="shared" si="1"/>
        <v/>
      </c>
      <c r="M115" s="3" t="str">
        <f>IF(B115="","","PF"&amp;"_"&amp;IFERROR(VLOOKUP(B115,LOOKUPS!$K$2:$L$9,2,FALSE),"UNK")&amp;"_"&amp;IFERROR(VLOOKUP(C115,LOOKUPS!$N$2:$O$10,2,FALSE),"UNK")&amp;"_"&amp;UPPER(L115))</f>
        <v/>
      </c>
      <c r="N115" s="3" t="str">
        <f>IF(M115="","",COUNTIF($M$2:M115,M115))</f>
        <v/>
      </c>
    </row>
    <row r="116" spans="1:14" x14ac:dyDescent="0.3">
      <c r="A116" s="3" t="str">
        <f t="shared" si="1"/>
        <v/>
      </c>
      <c r="M116" s="3" t="str">
        <f>IF(B116="","","PF"&amp;"_"&amp;IFERROR(VLOOKUP(B116,LOOKUPS!$K$2:$L$9,2,FALSE),"UNK")&amp;"_"&amp;IFERROR(VLOOKUP(C116,LOOKUPS!$N$2:$O$10,2,FALSE),"UNK")&amp;"_"&amp;UPPER(L116))</f>
        <v/>
      </c>
      <c r="N116" s="3" t="str">
        <f>IF(M116="","",COUNTIF($M$2:M116,M116))</f>
        <v/>
      </c>
    </row>
    <row r="117" spans="1:14" x14ac:dyDescent="0.3">
      <c r="A117" s="3" t="str">
        <f t="shared" si="1"/>
        <v/>
      </c>
      <c r="M117" s="3" t="str">
        <f>IF(B117="","","PF"&amp;"_"&amp;IFERROR(VLOOKUP(B117,LOOKUPS!$K$2:$L$9,2,FALSE),"UNK")&amp;"_"&amp;IFERROR(VLOOKUP(C117,LOOKUPS!$N$2:$O$10,2,FALSE),"UNK")&amp;"_"&amp;UPPER(L117))</f>
        <v/>
      </c>
      <c r="N117" s="3" t="str">
        <f>IF(M117="","",COUNTIF($M$2:M117,M117))</f>
        <v/>
      </c>
    </row>
    <row r="118" spans="1:14" x14ac:dyDescent="0.3">
      <c r="A118" s="3" t="str">
        <f t="shared" si="1"/>
        <v/>
      </c>
      <c r="M118" s="3" t="str">
        <f>IF(B118="","","PF"&amp;"_"&amp;IFERROR(VLOOKUP(B118,LOOKUPS!$K$2:$L$9,2,FALSE),"UNK")&amp;"_"&amp;IFERROR(VLOOKUP(C118,LOOKUPS!$N$2:$O$10,2,FALSE),"UNK")&amp;"_"&amp;UPPER(L118))</f>
        <v/>
      </c>
      <c r="N118" s="3" t="str">
        <f>IF(M118="","",COUNTIF($M$2:M118,M118))</f>
        <v/>
      </c>
    </row>
    <row r="119" spans="1:14" x14ac:dyDescent="0.3">
      <c r="A119" s="3" t="str">
        <f t="shared" si="1"/>
        <v/>
      </c>
      <c r="M119" s="3" t="str">
        <f>IF(B119="","","PF"&amp;"_"&amp;IFERROR(VLOOKUP(B119,LOOKUPS!$K$2:$L$9,2,FALSE),"UNK")&amp;"_"&amp;IFERROR(VLOOKUP(C119,LOOKUPS!$N$2:$O$10,2,FALSE),"UNK")&amp;"_"&amp;UPPER(L119))</f>
        <v/>
      </c>
      <c r="N119" s="3" t="str">
        <f>IF(M119="","",COUNTIF($M$2:M119,M119))</f>
        <v/>
      </c>
    </row>
    <row r="120" spans="1:14" x14ac:dyDescent="0.3">
      <c r="A120" s="3" t="str">
        <f t="shared" si="1"/>
        <v/>
      </c>
      <c r="M120" s="3" t="str">
        <f>IF(B120="","","PF"&amp;"_"&amp;IFERROR(VLOOKUP(B120,LOOKUPS!$K$2:$L$9,2,FALSE),"UNK")&amp;"_"&amp;IFERROR(VLOOKUP(C120,LOOKUPS!$N$2:$O$10,2,FALSE),"UNK")&amp;"_"&amp;UPPER(L120))</f>
        <v/>
      </c>
      <c r="N120" s="3" t="str">
        <f>IF(M120="","",COUNTIF($M$2:M120,M120))</f>
        <v/>
      </c>
    </row>
    <row r="121" spans="1:14" x14ac:dyDescent="0.3">
      <c r="A121" s="3" t="str">
        <f t="shared" si="1"/>
        <v/>
      </c>
      <c r="M121" s="3" t="str">
        <f>IF(B121="","","PF"&amp;"_"&amp;IFERROR(VLOOKUP(B121,LOOKUPS!$K$2:$L$9,2,FALSE),"UNK")&amp;"_"&amp;IFERROR(VLOOKUP(C121,LOOKUPS!$N$2:$O$10,2,FALSE),"UNK")&amp;"_"&amp;UPPER(L121))</f>
        <v/>
      </c>
      <c r="N121" s="3" t="str">
        <f>IF(M121="","",COUNTIF($M$2:M121,M121))</f>
        <v/>
      </c>
    </row>
    <row r="122" spans="1:14" x14ac:dyDescent="0.3">
      <c r="A122" s="3" t="str">
        <f t="shared" si="1"/>
        <v/>
      </c>
      <c r="M122" s="3" t="str">
        <f>IF(B122="","","PF"&amp;"_"&amp;IFERROR(VLOOKUP(B122,LOOKUPS!$K$2:$L$9,2,FALSE),"UNK")&amp;"_"&amp;IFERROR(VLOOKUP(C122,LOOKUPS!$N$2:$O$10,2,FALSE),"UNK")&amp;"_"&amp;UPPER(L122))</f>
        <v/>
      </c>
      <c r="N122" s="3" t="str">
        <f>IF(M122="","",COUNTIF($M$2:M122,M122))</f>
        <v/>
      </c>
    </row>
    <row r="123" spans="1:14" x14ac:dyDescent="0.3">
      <c r="A123" s="3" t="str">
        <f t="shared" si="1"/>
        <v/>
      </c>
      <c r="M123" s="3" t="str">
        <f>IF(B123="","","PF"&amp;"_"&amp;IFERROR(VLOOKUP(B123,LOOKUPS!$K$2:$L$9,2,FALSE),"UNK")&amp;"_"&amp;IFERROR(VLOOKUP(C123,LOOKUPS!$N$2:$O$10,2,FALSE),"UNK")&amp;"_"&amp;UPPER(L123))</f>
        <v/>
      </c>
      <c r="N123" s="3" t="str">
        <f>IF(M123="","",COUNTIF($M$2:M123,M123))</f>
        <v/>
      </c>
    </row>
    <row r="124" spans="1:14" x14ac:dyDescent="0.3">
      <c r="A124" s="3" t="str">
        <f t="shared" si="1"/>
        <v/>
      </c>
      <c r="M124" s="3" t="str">
        <f>IF(B124="","","PF"&amp;"_"&amp;IFERROR(VLOOKUP(B124,LOOKUPS!$K$2:$L$9,2,FALSE),"UNK")&amp;"_"&amp;IFERROR(VLOOKUP(C124,LOOKUPS!$N$2:$O$10,2,FALSE),"UNK")&amp;"_"&amp;UPPER(L124))</f>
        <v/>
      </c>
      <c r="N124" s="3" t="str">
        <f>IF(M124="","",COUNTIF($M$2:M124,M124))</f>
        <v/>
      </c>
    </row>
    <row r="125" spans="1:14" x14ac:dyDescent="0.3">
      <c r="A125" s="3" t="str">
        <f t="shared" si="1"/>
        <v/>
      </c>
      <c r="M125" s="3" t="str">
        <f>IF(B125="","","PF"&amp;"_"&amp;IFERROR(VLOOKUP(B125,LOOKUPS!$K$2:$L$9,2,FALSE),"UNK")&amp;"_"&amp;IFERROR(VLOOKUP(C125,LOOKUPS!$N$2:$O$10,2,FALSE),"UNK")&amp;"_"&amp;UPPER(L125))</f>
        <v/>
      </c>
      <c r="N125" s="3" t="str">
        <f>IF(M125="","",COUNTIF($M$2:M125,M125))</f>
        <v/>
      </c>
    </row>
    <row r="126" spans="1:14" x14ac:dyDescent="0.3">
      <c r="A126" s="3" t="str">
        <f t="shared" si="1"/>
        <v/>
      </c>
      <c r="M126" s="3" t="str">
        <f>IF(B126="","","PF"&amp;"_"&amp;IFERROR(VLOOKUP(B126,LOOKUPS!$K$2:$L$9,2,FALSE),"UNK")&amp;"_"&amp;IFERROR(VLOOKUP(C126,LOOKUPS!$N$2:$O$10,2,FALSE),"UNK")&amp;"_"&amp;UPPER(L126))</f>
        <v/>
      </c>
      <c r="N126" s="3" t="str">
        <f>IF(M126="","",COUNTIF($M$2:M126,M126))</f>
        <v/>
      </c>
    </row>
    <row r="127" spans="1:14" x14ac:dyDescent="0.3">
      <c r="A127" s="3" t="str">
        <f t="shared" si="1"/>
        <v/>
      </c>
      <c r="M127" s="3" t="str">
        <f>IF(B127="","","PF"&amp;"_"&amp;IFERROR(VLOOKUP(B127,LOOKUPS!$K$2:$L$9,2,FALSE),"UNK")&amp;"_"&amp;IFERROR(VLOOKUP(C127,LOOKUPS!$N$2:$O$10,2,FALSE),"UNK")&amp;"_"&amp;UPPER(L127))</f>
        <v/>
      </c>
      <c r="N127" s="3" t="str">
        <f>IF(M127="","",COUNTIF($M$2:M127,M127))</f>
        <v/>
      </c>
    </row>
    <row r="128" spans="1:14" x14ac:dyDescent="0.3">
      <c r="A128" s="3" t="str">
        <f t="shared" si="1"/>
        <v/>
      </c>
      <c r="M128" s="3" t="str">
        <f>IF(B128="","","PF"&amp;"_"&amp;IFERROR(VLOOKUP(B128,LOOKUPS!$K$2:$L$9,2,FALSE),"UNK")&amp;"_"&amp;IFERROR(VLOOKUP(C128,LOOKUPS!$N$2:$O$10,2,FALSE),"UNK")&amp;"_"&amp;UPPER(L128))</f>
        <v/>
      </c>
      <c r="N128" s="3" t="str">
        <f>IF(M128="","",COUNTIF($M$2:M128,M128))</f>
        <v/>
      </c>
    </row>
    <row r="129" spans="1:14" x14ac:dyDescent="0.3">
      <c r="A129" s="3" t="str">
        <f t="shared" si="1"/>
        <v/>
      </c>
      <c r="M129" s="3" t="str">
        <f>IF(B129="","","PF"&amp;"_"&amp;IFERROR(VLOOKUP(B129,LOOKUPS!$K$2:$L$9,2,FALSE),"UNK")&amp;"_"&amp;IFERROR(VLOOKUP(C129,LOOKUPS!$N$2:$O$10,2,FALSE),"UNK")&amp;"_"&amp;UPPER(L129))</f>
        <v/>
      </c>
      <c r="N129" s="3" t="str">
        <f>IF(M129="","",COUNTIF($M$2:M129,M129))</f>
        <v/>
      </c>
    </row>
    <row r="130" spans="1:14" x14ac:dyDescent="0.3">
      <c r="A130" s="3" t="str">
        <f t="shared" si="1"/>
        <v/>
      </c>
      <c r="M130" s="3" t="str">
        <f>IF(B130="","","PF"&amp;"_"&amp;IFERROR(VLOOKUP(B130,LOOKUPS!$K$2:$L$9,2,FALSE),"UNK")&amp;"_"&amp;IFERROR(VLOOKUP(C130,LOOKUPS!$N$2:$O$10,2,FALSE),"UNK")&amp;"_"&amp;UPPER(L130))</f>
        <v/>
      </c>
      <c r="N130" s="3" t="str">
        <f>IF(M130="","",COUNTIF($M$2:M130,M130))</f>
        <v/>
      </c>
    </row>
    <row r="131" spans="1:14" x14ac:dyDescent="0.3">
      <c r="A131" s="3" t="str">
        <f t="shared" ref="A131:A194" si="2">IF(M131="","",M131&amp;"_"&amp;TEXT(N131,"000"))</f>
        <v/>
      </c>
      <c r="M131" s="3" t="str">
        <f>IF(B131="","","PF"&amp;"_"&amp;IFERROR(VLOOKUP(B131,LOOKUPS!$K$2:$L$9,2,FALSE),"UNK")&amp;"_"&amp;IFERROR(VLOOKUP(C131,LOOKUPS!$N$2:$O$10,2,FALSE),"UNK")&amp;"_"&amp;UPPER(L131))</f>
        <v/>
      </c>
      <c r="N131" s="3" t="str">
        <f>IF(M131="","",COUNTIF($M$2:M131,M131))</f>
        <v/>
      </c>
    </row>
    <row r="132" spans="1:14" x14ac:dyDescent="0.3">
      <c r="A132" s="3" t="str">
        <f t="shared" si="2"/>
        <v/>
      </c>
      <c r="M132" s="3" t="str">
        <f>IF(B132="","","PF"&amp;"_"&amp;IFERROR(VLOOKUP(B132,LOOKUPS!$K$2:$L$9,2,FALSE),"UNK")&amp;"_"&amp;IFERROR(VLOOKUP(C132,LOOKUPS!$N$2:$O$10,2,FALSE),"UNK")&amp;"_"&amp;UPPER(L132))</f>
        <v/>
      </c>
      <c r="N132" s="3" t="str">
        <f>IF(M132="","",COUNTIF($M$2:M132,M132))</f>
        <v/>
      </c>
    </row>
    <row r="133" spans="1:14" x14ac:dyDescent="0.3">
      <c r="A133" s="3" t="str">
        <f t="shared" si="2"/>
        <v/>
      </c>
      <c r="M133" s="3" t="str">
        <f>IF(B133="","","PF"&amp;"_"&amp;IFERROR(VLOOKUP(B133,LOOKUPS!$K$2:$L$9,2,FALSE),"UNK")&amp;"_"&amp;IFERROR(VLOOKUP(C133,LOOKUPS!$N$2:$O$10,2,FALSE),"UNK")&amp;"_"&amp;UPPER(L133))</f>
        <v/>
      </c>
      <c r="N133" s="3" t="str">
        <f>IF(M133="","",COUNTIF($M$2:M133,M133))</f>
        <v/>
      </c>
    </row>
    <row r="134" spans="1:14" x14ac:dyDescent="0.3">
      <c r="A134" s="3" t="str">
        <f t="shared" si="2"/>
        <v/>
      </c>
      <c r="M134" s="3" t="str">
        <f>IF(B134="","","PF"&amp;"_"&amp;IFERROR(VLOOKUP(B134,LOOKUPS!$K$2:$L$9,2,FALSE),"UNK")&amp;"_"&amp;IFERROR(VLOOKUP(C134,LOOKUPS!$N$2:$O$10,2,FALSE),"UNK")&amp;"_"&amp;UPPER(L134))</f>
        <v/>
      </c>
      <c r="N134" s="3" t="str">
        <f>IF(M134="","",COUNTIF($M$2:M134,M134))</f>
        <v/>
      </c>
    </row>
    <row r="135" spans="1:14" x14ac:dyDescent="0.3">
      <c r="A135" s="3" t="str">
        <f t="shared" si="2"/>
        <v/>
      </c>
      <c r="M135" s="3" t="str">
        <f>IF(B135="","","PF"&amp;"_"&amp;IFERROR(VLOOKUP(B135,LOOKUPS!$K$2:$L$9,2,FALSE),"UNK")&amp;"_"&amp;IFERROR(VLOOKUP(C135,LOOKUPS!$N$2:$O$10,2,FALSE),"UNK")&amp;"_"&amp;UPPER(L135))</f>
        <v/>
      </c>
      <c r="N135" s="3" t="str">
        <f>IF(M135="","",COUNTIF($M$2:M135,M135))</f>
        <v/>
      </c>
    </row>
    <row r="136" spans="1:14" x14ac:dyDescent="0.3">
      <c r="A136" s="3" t="str">
        <f t="shared" si="2"/>
        <v/>
      </c>
      <c r="M136" s="3" t="str">
        <f>IF(B136="","","PF"&amp;"_"&amp;IFERROR(VLOOKUP(B136,LOOKUPS!$K$2:$L$9,2,FALSE),"UNK")&amp;"_"&amp;IFERROR(VLOOKUP(C136,LOOKUPS!$N$2:$O$10,2,FALSE),"UNK")&amp;"_"&amp;UPPER(L136))</f>
        <v/>
      </c>
      <c r="N136" s="3" t="str">
        <f>IF(M136="","",COUNTIF($M$2:M136,M136))</f>
        <v/>
      </c>
    </row>
    <row r="137" spans="1:14" x14ac:dyDescent="0.3">
      <c r="A137" s="3" t="str">
        <f t="shared" si="2"/>
        <v/>
      </c>
      <c r="M137" s="3" t="str">
        <f>IF(B137="","","PF"&amp;"_"&amp;IFERROR(VLOOKUP(B137,LOOKUPS!$K$2:$L$9,2,FALSE),"UNK")&amp;"_"&amp;IFERROR(VLOOKUP(C137,LOOKUPS!$N$2:$O$10,2,FALSE),"UNK")&amp;"_"&amp;UPPER(L137))</f>
        <v/>
      </c>
      <c r="N137" s="3" t="str">
        <f>IF(M137="","",COUNTIF($M$2:M137,M137))</f>
        <v/>
      </c>
    </row>
    <row r="138" spans="1:14" x14ac:dyDescent="0.3">
      <c r="A138" s="3" t="str">
        <f t="shared" si="2"/>
        <v/>
      </c>
      <c r="M138" s="3" t="str">
        <f>IF(B138="","","PF"&amp;"_"&amp;IFERROR(VLOOKUP(B138,LOOKUPS!$K$2:$L$9,2,FALSE),"UNK")&amp;"_"&amp;IFERROR(VLOOKUP(C138,LOOKUPS!$N$2:$O$10,2,FALSE),"UNK")&amp;"_"&amp;UPPER(L138))</f>
        <v/>
      </c>
      <c r="N138" s="3" t="str">
        <f>IF(M138="","",COUNTIF($M$2:M138,M138))</f>
        <v/>
      </c>
    </row>
    <row r="139" spans="1:14" x14ac:dyDescent="0.3">
      <c r="A139" s="3" t="str">
        <f t="shared" si="2"/>
        <v/>
      </c>
      <c r="M139" s="3" t="str">
        <f>IF(B139="","","PF"&amp;"_"&amp;IFERROR(VLOOKUP(B139,LOOKUPS!$K$2:$L$9,2,FALSE),"UNK")&amp;"_"&amp;IFERROR(VLOOKUP(C139,LOOKUPS!$N$2:$O$10,2,FALSE),"UNK")&amp;"_"&amp;UPPER(L139))</f>
        <v/>
      </c>
      <c r="N139" s="3" t="str">
        <f>IF(M139="","",COUNTIF($M$2:M139,M139))</f>
        <v/>
      </c>
    </row>
    <row r="140" spans="1:14" x14ac:dyDescent="0.3">
      <c r="A140" s="3" t="str">
        <f t="shared" si="2"/>
        <v/>
      </c>
      <c r="M140" s="3" t="str">
        <f>IF(B140="","","PF"&amp;"_"&amp;IFERROR(VLOOKUP(B140,LOOKUPS!$K$2:$L$9,2,FALSE),"UNK")&amp;"_"&amp;IFERROR(VLOOKUP(C140,LOOKUPS!$N$2:$O$10,2,FALSE),"UNK")&amp;"_"&amp;UPPER(L140))</f>
        <v/>
      </c>
      <c r="N140" s="3" t="str">
        <f>IF(M140="","",COUNTIF($M$2:M140,M140))</f>
        <v/>
      </c>
    </row>
    <row r="141" spans="1:14" x14ac:dyDescent="0.3">
      <c r="A141" s="3" t="str">
        <f t="shared" si="2"/>
        <v/>
      </c>
      <c r="M141" s="3" t="str">
        <f>IF(B141="","","PF"&amp;"_"&amp;IFERROR(VLOOKUP(B141,LOOKUPS!$K$2:$L$9,2,FALSE),"UNK")&amp;"_"&amp;IFERROR(VLOOKUP(C141,LOOKUPS!$N$2:$O$10,2,FALSE),"UNK")&amp;"_"&amp;UPPER(L141))</f>
        <v/>
      </c>
      <c r="N141" s="3" t="str">
        <f>IF(M141="","",COUNTIF($M$2:M141,M141))</f>
        <v/>
      </c>
    </row>
    <row r="142" spans="1:14" x14ac:dyDescent="0.3">
      <c r="A142" s="3" t="str">
        <f t="shared" si="2"/>
        <v/>
      </c>
      <c r="M142" s="3" t="str">
        <f>IF(B142="","","PF"&amp;"_"&amp;IFERROR(VLOOKUP(B142,LOOKUPS!$K$2:$L$9,2,FALSE),"UNK")&amp;"_"&amp;IFERROR(VLOOKUP(C142,LOOKUPS!$N$2:$O$10,2,FALSE),"UNK")&amp;"_"&amp;UPPER(L142))</f>
        <v/>
      </c>
      <c r="N142" s="3" t="str">
        <f>IF(M142="","",COUNTIF($M$2:M142,M142))</f>
        <v/>
      </c>
    </row>
    <row r="143" spans="1:14" x14ac:dyDescent="0.3">
      <c r="A143" s="3" t="str">
        <f t="shared" si="2"/>
        <v/>
      </c>
      <c r="M143" s="3" t="str">
        <f>IF(B143="","","PF"&amp;"_"&amp;IFERROR(VLOOKUP(B143,LOOKUPS!$K$2:$L$9,2,FALSE),"UNK")&amp;"_"&amp;IFERROR(VLOOKUP(C143,LOOKUPS!$N$2:$O$10,2,FALSE),"UNK")&amp;"_"&amp;UPPER(L143))</f>
        <v/>
      </c>
      <c r="N143" s="3" t="str">
        <f>IF(M143="","",COUNTIF($M$2:M143,M143))</f>
        <v/>
      </c>
    </row>
    <row r="144" spans="1:14" x14ac:dyDescent="0.3">
      <c r="A144" s="3" t="str">
        <f t="shared" si="2"/>
        <v/>
      </c>
      <c r="M144" s="3" t="str">
        <f>IF(B144="","","PF"&amp;"_"&amp;IFERROR(VLOOKUP(B144,LOOKUPS!$K$2:$L$9,2,FALSE),"UNK")&amp;"_"&amp;IFERROR(VLOOKUP(C144,LOOKUPS!$N$2:$O$10,2,FALSE),"UNK")&amp;"_"&amp;UPPER(L144))</f>
        <v/>
      </c>
      <c r="N144" s="3" t="str">
        <f>IF(M144="","",COUNTIF($M$2:M144,M144))</f>
        <v/>
      </c>
    </row>
    <row r="145" spans="1:14" x14ac:dyDescent="0.3">
      <c r="A145" s="3" t="str">
        <f t="shared" si="2"/>
        <v/>
      </c>
      <c r="M145" s="3" t="str">
        <f>IF(B145="","","PF"&amp;"_"&amp;IFERROR(VLOOKUP(B145,LOOKUPS!$K$2:$L$9,2,FALSE),"UNK")&amp;"_"&amp;IFERROR(VLOOKUP(C145,LOOKUPS!$N$2:$O$10,2,FALSE),"UNK")&amp;"_"&amp;UPPER(L145))</f>
        <v/>
      </c>
      <c r="N145" s="3" t="str">
        <f>IF(M145="","",COUNTIF($M$2:M145,M145))</f>
        <v/>
      </c>
    </row>
    <row r="146" spans="1:14" x14ac:dyDescent="0.3">
      <c r="A146" s="3" t="str">
        <f t="shared" si="2"/>
        <v/>
      </c>
      <c r="M146" s="3" t="str">
        <f>IF(B146="","","PF"&amp;"_"&amp;IFERROR(VLOOKUP(B146,LOOKUPS!$K$2:$L$9,2,FALSE),"UNK")&amp;"_"&amp;IFERROR(VLOOKUP(C146,LOOKUPS!$N$2:$O$10,2,FALSE),"UNK")&amp;"_"&amp;UPPER(L146))</f>
        <v/>
      </c>
      <c r="N146" s="3" t="str">
        <f>IF(M146="","",COUNTIF($M$2:M146,M146))</f>
        <v/>
      </c>
    </row>
    <row r="147" spans="1:14" x14ac:dyDescent="0.3">
      <c r="A147" s="3" t="str">
        <f t="shared" si="2"/>
        <v/>
      </c>
      <c r="M147" s="3" t="str">
        <f>IF(B147="","","PF"&amp;"_"&amp;IFERROR(VLOOKUP(B147,LOOKUPS!$K$2:$L$9,2,FALSE),"UNK")&amp;"_"&amp;IFERROR(VLOOKUP(C147,LOOKUPS!$N$2:$O$10,2,FALSE),"UNK")&amp;"_"&amp;UPPER(L147))</f>
        <v/>
      </c>
      <c r="N147" s="3" t="str">
        <f>IF(M147="","",COUNTIF($M$2:M147,M147))</f>
        <v/>
      </c>
    </row>
    <row r="148" spans="1:14" x14ac:dyDescent="0.3">
      <c r="A148" s="3" t="str">
        <f t="shared" si="2"/>
        <v/>
      </c>
      <c r="M148" s="3" t="str">
        <f>IF(B148="","","PF"&amp;"_"&amp;IFERROR(VLOOKUP(B148,LOOKUPS!$K$2:$L$9,2,FALSE),"UNK")&amp;"_"&amp;IFERROR(VLOOKUP(C148,LOOKUPS!$N$2:$O$10,2,FALSE),"UNK")&amp;"_"&amp;UPPER(L148))</f>
        <v/>
      </c>
      <c r="N148" s="3" t="str">
        <f>IF(M148="","",COUNTIF($M$2:M148,M148))</f>
        <v/>
      </c>
    </row>
    <row r="149" spans="1:14" x14ac:dyDescent="0.3">
      <c r="A149" s="3" t="str">
        <f t="shared" si="2"/>
        <v/>
      </c>
      <c r="M149" s="3" t="str">
        <f>IF(B149="","","PF"&amp;"_"&amp;IFERROR(VLOOKUP(B149,LOOKUPS!$K$2:$L$9,2,FALSE),"UNK")&amp;"_"&amp;IFERROR(VLOOKUP(C149,LOOKUPS!$N$2:$O$10,2,FALSE),"UNK")&amp;"_"&amp;UPPER(L149))</f>
        <v/>
      </c>
      <c r="N149" s="3" t="str">
        <f>IF(M149="","",COUNTIF($M$2:M149,M149))</f>
        <v/>
      </c>
    </row>
    <row r="150" spans="1:14" x14ac:dyDescent="0.3">
      <c r="A150" s="3" t="str">
        <f t="shared" si="2"/>
        <v/>
      </c>
      <c r="M150" s="3" t="str">
        <f>IF(B150="","","PF"&amp;"_"&amp;IFERROR(VLOOKUP(B150,LOOKUPS!$K$2:$L$9,2,FALSE),"UNK")&amp;"_"&amp;IFERROR(VLOOKUP(C150,LOOKUPS!$N$2:$O$10,2,FALSE),"UNK")&amp;"_"&amp;UPPER(L150))</f>
        <v/>
      </c>
      <c r="N150" s="3" t="str">
        <f>IF(M150="","",COUNTIF($M$2:M150,M150))</f>
        <v/>
      </c>
    </row>
    <row r="151" spans="1:14" x14ac:dyDescent="0.3">
      <c r="A151" s="3" t="str">
        <f t="shared" si="2"/>
        <v/>
      </c>
      <c r="M151" s="3" t="str">
        <f>IF(B151="","","PF"&amp;"_"&amp;IFERROR(VLOOKUP(B151,LOOKUPS!$K$2:$L$9,2,FALSE),"UNK")&amp;"_"&amp;IFERROR(VLOOKUP(C151,LOOKUPS!$N$2:$O$10,2,FALSE),"UNK")&amp;"_"&amp;UPPER(L151))</f>
        <v/>
      </c>
      <c r="N151" s="3" t="str">
        <f>IF(M151="","",COUNTIF($M$2:M151,M151))</f>
        <v/>
      </c>
    </row>
    <row r="152" spans="1:14" x14ac:dyDescent="0.3">
      <c r="A152" s="3" t="str">
        <f t="shared" si="2"/>
        <v/>
      </c>
      <c r="M152" s="3" t="str">
        <f>IF(B152="","","PF"&amp;"_"&amp;IFERROR(VLOOKUP(B152,LOOKUPS!$K$2:$L$9,2,FALSE),"UNK")&amp;"_"&amp;IFERROR(VLOOKUP(C152,LOOKUPS!$N$2:$O$10,2,FALSE),"UNK")&amp;"_"&amp;UPPER(L152))</f>
        <v/>
      </c>
      <c r="N152" s="3" t="str">
        <f>IF(M152="","",COUNTIF($M$2:M152,M152))</f>
        <v/>
      </c>
    </row>
    <row r="153" spans="1:14" x14ac:dyDescent="0.3">
      <c r="A153" s="3" t="str">
        <f t="shared" si="2"/>
        <v/>
      </c>
      <c r="M153" s="3" t="str">
        <f>IF(B153="","","PF"&amp;"_"&amp;IFERROR(VLOOKUP(B153,LOOKUPS!$K$2:$L$9,2,FALSE),"UNK")&amp;"_"&amp;IFERROR(VLOOKUP(C153,LOOKUPS!$N$2:$O$10,2,FALSE),"UNK")&amp;"_"&amp;UPPER(L153))</f>
        <v/>
      </c>
      <c r="N153" s="3" t="str">
        <f>IF(M153="","",COUNTIF($M$2:M153,M153))</f>
        <v/>
      </c>
    </row>
    <row r="154" spans="1:14" x14ac:dyDescent="0.3">
      <c r="A154" s="3" t="str">
        <f t="shared" si="2"/>
        <v/>
      </c>
      <c r="M154" s="3" t="str">
        <f>IF(B154="","","PF"&amp;"_"&amp;IFERROR(VLOOKUP(B154,LOOKUPS!$K$2:$L$9,2,FALSE),"UNK")&amp;"_"&amp;IFERROR(VLOOKUP(C154,LOOKUPS!$N$2:$O$10,2,FALSE),"UNK")&amp;"_"&amp;UPPER(L154))</f>
        <v/>
      </c>
      <c r="N154" s="3" t="str">
        <f>IF(M154="","",COUNTIF($M$2:M154,M154))</f>
        <v/>
      </c>
    </row>
    <row r="155" spans="1:14" x14ac:dyDescent="0.3">
      <c r="A155" s="3" t="str">
        <f t="shared" si="2"/>
        <v/>
      </c>
      <c r="M155" s="3" t="str">
        <f>IF(B155="","","PF"&amp;"_"&amp;IFERROR(VLOOKUP(B155,LOOKUPS!$K$2:$L$9,2,FALSE),"UNK")&amp;"_"&amp;IFERROR(VLOOKUP(C155,LOOKUPS!$N$2:$O$10,2,FALSE),"UNK")&amp;"_"&amp;UPPER(L155))</f>
        <v/>
      </c>
      <c r="N155" s="3" t="str">
        <f>IF(M155="","",COUNTIF($M$2:M155,M155))</f>
        <v/>
      </c>
    </row>
    <row r="156" spans="1:14" x14ac:dyDescent="0.3">
      <c r="A156" s="3" t="str">
        <f t="shared" si="2"/>
        <v/>
      </c>
      <c r="M156" s="3" t="str">
        <f>IF(B156="","","PF"&amp;"_"&amp;IFERROR(VLOOKUP(B156,LOOKUPS!$K$2:$L$9,2,FALSE),"UNK")&amp;"_"&amp;IFERROR(VLOOKUP(C156,LOOKUPS!$N$2:$O$10,2,FALSE),"UNK")&amp;"_"&amp;UPPER(L156))</f>
        <v/>
      </c>
      <c r="N156" s="3" t="str">
        <f>IF(M156="","",COUNTIF($M$2:M156,M156))</f>
        <v/>
      </c>
    </row>
    <row r="157" spans="1:14" x14ac:dyDescent="0.3">
      <c r="A157" s="3" t="str">
        <f t="shared" si="2"/>
        <v/>
      </c>
      <c r="M157" s="3" t="str">
        <f>IF(B157="","","PF"&amp;"_"&amp;IFERROR(VLOOKUP(B157,LOOKUPS!$K$2:$L$9,2,FALSE),"UNK")&amp;"_"&amp;IFERROR(VLOOKUP(C157,LOOKUPS!$N$2:$O$10,2,FALSE),"UNK")&amp;"_"&amp;UPPER(L157))</f>
        <v/>
      </c>
      <c r="N157" s="3" t="str">
        <f>IF(M157="","",COUNTIF($M$2:M157,M157))</f>
        <v/>
      </c>
    </row>
    <row r="158" spans="1:14" x14ac:dyDescent="0.3">
      <c r="A158" s="3" t="str">
        <f t="shared" si="2"/>
        <v/>
      </c>
      <c r="M158" s="3" t="str">
        <f>IF(B158="","","PF"&amp;"_"&amp;IFERROR(VLOOKUP(B158,LOOKUPS!$K$2:$L$9,2,FALSE),"UNK")&amp;"_"&amp;IFERROR(VLOOKUP(C158,LOOKUPS!$N$2:$O$10,2,FALSE),"UNK")&amp;"_"&amp;UPPER(L158))</f>
        <v/>
      </c>
      <c r="N158" s="3" t="str">
        <f>IF(M158="","",COUNTIF($M$2:M158,M158))</f>
        <v/>
      </c>
    </row>
    <row r="159" spans="1:14" x14ac:dyDescent="0.3">
      <c r="A159" s="3" t="str">
        <f t="shared" si="2"/>
        <v/>
      </c>
      <c r="M159" s="3" t="str">
        <f>IF(B159="","","PF"&amp;"_"&amp;IFERROR(VLOOKUP(B159,LOOKUPS!$K$2:$L$9,2,FALSE),"UNK")&amp;"_"&amp;IFERROR(VLOOKUP(C159,LOOKUPS!$N$2:$O$10,2,FALSE),"UNK")&amp;"_"&amp;UPPER(L159))</f>
        <v/>
      </c>
      <c r="N159" s="3" t="str">
        <f>IF(M159="","",COUNTIF($M$2:M159,M159))</f>
        <v/>
      </c>
    </row>
    <row r="160" spans="1:14" x14ac:dyDescent="0.3">
      <c r="A160" s="3" t="str">
        <f t="shared" si="2"/>
        <v/>
      </c>
      <c r="M160" s="3" t="str">
        <f>IF(B160="","","PF"&amp;"_"&amp;IFERROR(VLOOKUP(B160,LOOKUPS!$K$2:$L$9,2,FALSE),"UNK")&amp;"_"&amp;IFERROR(VLOOKUP(C160,LOOKUPS!$N$2:$O$10,2,FALSE),"UNK")&amp;"_"&amp;UPPER(L160))</f>
        <v/>
      </c>
      <c r="N160" s="3" t="str">
        <f>IF(M160="","",COUNTIF($M$2:M160,M160))</f>
        <v/>
      </c>
    </row>
    <row r="161" spans="1:14" x14ac:dyDescent="0.3">
      <c r="A161" s="3" t="str">
        <f t="shared" si="2"/>
        <v/>
      </c>
      <c r="M161" s="3" t="str">
        <f>IF(B161="","","PF"&amp;"_"&amp;IFERROR(VLOOKUP(B161,LOOKUPS!$K$2:$L$9,2,FALSE),"UNK")&amp;"_"&amp;IFERROR(VLOOKUP(C161,LOOKUPS!$N$2:$O$10,2,FALSE),"UNK")&amp;"_"&amp;UPPER(L161))</f>
        <v/>
      </c>
      <c r="N161" s="3" t="str">
        <f>IF(M161="","",COUNTIF($M$2:M161,M161))</f>
        <v/>
      </c>
    </row>
    <row r="162" spans="1:14" x14ac:dyDescent="0.3">
      <c r="A162" s="3" t="str">
        <f t="shared" si="2"/>
        <v/>
      </c>
      <c r="M162" s="3" t="str">
        <f>IF(B162="","","PF"&amp;"_"&amp;IFERROR(VLOOKUP(B162,LOOKUPS!$K$2:$L$9,2,FALSE),"UNK")&amp;"_"&amp;IFERROR(VLOOKUP(C162,LOOKUPS!$N$2:$O$10,2,FALSE),"UNK")&amp;"_"&amp;UPPER(L162))</f>
        <v/>
      </c>
      <c r="N162" s="3" t="str">
        <f>IF(M162="","",COUNTIF($M$2:M162,M162))</f>
        <v/>
      </c>
    </row>
    <row r="163" spans="1:14" x14ac:dyDescent="0.3">
      <c r="A163" s="3" t="str">
        <f t="shared" si="2"/>
        <v/>
      </c>
      <c r="M163" s="3" t="str">
        <f>IF(B163="","","PF"&amp;"_"&amp;IFERROR(VLOOKUP(B163,LOOKUPS!$K$2:$L$9,2,FALSE),"UNK")&amp;"_"&amp;IFERROR(VLOOKUP(C163,LOOKUPS!$N$2:$O$10,2,FALSE),"UNK")&amp;"_"&amp;UPPER(L163))</f>
        <v/>
      </c>
      <c r="N163" s="3" t="str">
        <f>IF(M163="","",COUNTIF($M$2:M163,M163))</f>
        <v/>
      </c>
    </row>
    <row r="164" spans="1:14" x14ac:dyDescent="0.3">
      <c r="A164" s="3" t="str">
        <f t="shared" si="2"/>
        <v/>
      </c>
      <c r="M164" s="3" t="str">
        <f>IF(B164="","","PF"&amp;"_"&amp;IFERROR(VLOOKUP(B164,LOOKUPS!$K$2:$L$9,2,FALSE),"UNK")&amp;"_"&amp;IFERROR(VLOOKUP(C164,LOOKUPS!$N$2:$O$10,2,FALSE),"UNK")&amp;"_"&amp;UPPER(L164))</f>
        <v/>
      </c>
      <c r="N164" s="3" t="str">
        <f>IF(M164="","",COUNTIF($M$2:M164,M164))</f>
        <v/>
      </c>
    </row>
    <row r="165" spans="1:14" x14ac:dyDescent="0.3">
      <c r="A165" s="3" t="str">
        <f t="shared" si="2"/>
        <v/>
      </c>
      <c r="M165" s="3" t="str">
        <f>IF(B165="","","PF"&amp;"_"&amp;IFERROR(VLOOKUP(B165,LOOKUPS!$K$2:$L$9,2,FALSE),"UNK")&amp;"_"&amp;IFERROR(VLOOKUP(C165,LOOKUPS!$N$2:$O$10,2,FALSE),"UNK")&amp;"_"&amp;UPPER(L165))</f>
        <v/>
      </c>
      <c r="N165" s="3" t="str">
        <f>IF(M165="","",COUNTIF($M$2:M165,M165))</f>
        <v/>
      </c>
    </row>
    <row r="166" spans="1:14" x14ac:dyDescent="0.3">
      <c r="A166" s="3" t="str">
        <f t="shared" si="2"/>
        <v/>
      </c>
      <c r="M166" s="3" t="str">
        <f>IF(B166="","","PF"&amp;"_"&amp;IFERROR(VLOOKUP(B166,LOOKUPS!$K$2:$L$9,2,FALSE),"UNK")&amp;"_"&amp;IFERROR(VLOOKUP(C166,LOOKUPS!$N$2:$O$10,2,FALSE),"UNK")&amp;"_"&amp;UPPER(L166))</f>
        <v/>
      </c>
      <c r="N166" s="3" t="str">
        <f>IF(M166="","",COUNTIF($M$2:M166,M166))</f>
        <v/>
      </c>
    </row>
    <row r="167" spans="1:14" x14ac:dyDescent="0.3">
      <c r="A167" s="3" t="str">
        <f t="shared" si="2"/>
        <v/>
      </c>
      <c r="M167" s="3" t="str">
        <f>IF(B167="","","PF"&amp;"_"&amp;IFERROR(VLOOKUP(B167,LOOKUPS!$K$2:$L$9,2,FALSE),"UNK")&amp;"_"&amp;IFERROR(VLOOKUP(C167,LOOKUPS!$N$2:$O$10,2,FALSE),"UNK")&amp;"_"&amp;UPPER(L167))</f>
        <v/>
      </c>
      <c r="N167" s="3" t="str">
        <f>IF(M167="","",COUNTIF($M$2:M167,M167))</f>
        <v/>
      </c>
    </row>
    <row r="168" spans="1:14" x14ac:dyDescent="0.3">
      <c r="A168" s="3" t="str">
        <f t="shared" si="2"/>
        <v/>
      </c>
      <c r="M168" s="3" t="str">
        <f>IF(B168="","","PF"&amp;"_"&amp;IFERROR(VLOOKUP(B168,LOOKUPS!$K$2:$L$9,2,FALSE),"UNK")&amp;"_"&amp;IFERROR(VLOOKUP(C168,LOOKUPS!$N$2:$O$10,2,FALSE),"UNK")&amp;"_"&amp;UPPER(L168))</f>
        <v/>
      </c>
      <c r="N168" s="3" t="str">
        <f>IF(M168="","",COUNTIF($M$2:M168,M168))</f>
        <v/>
      </c>
    </row>
    <row r="169" spans="1:14" x14ac:dyDescent="0.3">
      <c r="A169" s="3" t="str">
        <f t="shared" si="2"/>
        <v/>
      </c>
      <c r="M169" s="3" t="str">
        <f>IF(B169="","","PF"&amp;"_"&amp;IFERROR(VLOOKUP(B169,LOOKUPS!$K$2:$L$9,2,FALSE),"UNK")&amp;"_"&amp;IFERROR(VLOOKUP(C169,LOOKUPS!$N$2:$O$10,2,FALSE),"UNK")&amp;"_"&amp;UPPER(L169))</f>
        <v/>
      </c>
      <c r="N169" s="3" t="str">
        <f>IF(M169="","",COUNTIF($M$2:M169,M169))</f>
        <v/>
      </c>
    </row>
    <row r="170" spans="1:14" x14ac:dyDescent="0.3">
      <c r="A170" s="3" t="str">
        <f t="shared" si="2"/>
        <v/>
      </c>
      <c r="M170" s="3" t="str">
        <f>IF(B170="","","PF"&amp;"_"&amp;IFERROR(VLOOKUP(B170,LOOKUPS!$K$2:$L$9,2,FALSE),"UNK")&amp;"_"&amp;IFERROR(VLOOKUP(C170,LOOKUPS!$N$2:$O$10,2,FALSE),"UNK")&amp;"_"&amp;UPPER(L170))</f>
        <v/>
      </c>
      <c r="N170" s="3" t="str">
        <f>IF(M170="","",COUNTIF($M$2:M170,M170))</f>
        <v/>
      </c>
    </row>
    <row r="171" spans="1:14" x14ac:dyDescent="0.3">
      <c r="A171" s="3" t="str">
        <f t="shared" si="2"/>
        <v/>
      </c>
      <c r="M171" s="3" t="str">
        <f>IF(B171="","","PF"&amp;"_"&amp;IFERROR(VLOOKUP(B171,LOOKUPS!$K$2:$L$9,2,FALSE),"UNK")&amp;"_"&amp;IFERROR(VLOOKUP(C171,LOOKUPS!$N$2:$O$10,2,FALSE),"UNK")&amp;"_"&amp;UPPER(L171))</f>
        <v/>
      </c>
      <c r="N171" s="3" t="str">
        <f>IF(M171="","",COUNTIF($M$2:M171,M171))</f>
        <v/>
      </c>
    </row>
    <row r="172" spans="1:14" x14ac:dyDescent="0.3">
      <c r="A172" s="3" t="str">
        <f t="shared" si="2"/>
        <v/>
      </c>
      <c r="M172" s="3" t="str">
        <f>IF(B172="","","PF"&amp;"_"&amp;IFERROR(VLOOKUP(B172,LOOKUPS!$K$2:$L$9,2,FALSE),"UNK")&amp;"_"&amp;IFERROR(VLOOKUP(C172,LOOKUPS!$N$2:$O$10,2,FALSE),"UNK")&amp;"_"&amp;UPPER(L172))</f>
        <v/>
      </c>
      <c r="N172" s="3" t="str">
        <f>IF(M172="","",COUNTIF($M$2:M172,M172))</f>
        <v/>
      </c>
    </row>
    <row r="173" spans="1:14" x14ac:dyDescent="0.3">
      <c r="A173" s="3" t="str">
        <f t="shared" si="2"/>
        <v/>
      </c>
      <c r="M173" s="3" t="str">
        <f>IF(B173="","","PF"&amp;"_"&amp;IFERROR(VLOOKUP(B173,LOOKUPS!$K$2:$L$9,2,FALSE),"UNK")&amp;"_"&amp;IFERROR(VLOOKUP(C173,LOOKUPS!$N$2:$O$10,2,FALSE),"UNK")&amp;"_"&amp;UPPER(L173))</f>
        <v/>
      </c>
      <c r="N173" s="3" t="str">
        <f>IF(M173="","",COUNTIF($M$2:M173,M173))</f>
        <v/>
      </c>
    </row>
    <row r="174" spans="1:14" x14ac:dyDescent="0.3">
      <c r="A174" s="3" t="str">
        <f t="shared" si="2"/>
        <v/>
      </c>
      <c r="M174" s="3" t="str">
        <f>IF(B174="","","PF"&amp;"_"&amp;IFERROR(VLOOKUP(B174,LOOKUPS!$K$2:$L$9,2,FALSE),"UNK")&amp;"_"&amp;IFERROR(VLOOKUP(C174,LOOKUPS!$N$2:$O$10,2,FALSE),"UNK")&amp;"_"&amp;UPPER(L174))</f>
        <v/>
      </c>
      <c r="N174" s="3" t="str">
        <f>IF(M174="","",COUNTIF($M$2:M174,M174))</f>
        <v/>
      </c>
    </row>
    <row r="175" spans="1:14" x14ac:dyDescent="0.3">
      <c r="A175" s="3" t="str">
        <f t="shared" si="2"/>
        <v/>
      </c>
      <c r="M175" s="3" t="str">
        <f>IF(B175="","","PF"&amp;"_"&amp;IFERROR(VLOOKUP(B175,LOOKUPS!$K$2:$L$9,2,FALSE),"UNK")&amp;"_"&amp;IFERROR(VLOOKUP(C175,LOOKUPS!$N$2:$O$10,2,FALSE),"UNK")&amp;"_"&amp;UPPER(L175))</f>
        <v/>
      </c>
      <c r="N175" s="3" t="str">
        <f>IF(M175="","",COUNTIF($M$2:M175,M175))</f>
        <v/>
      </c>
    </row>
    <row r="176" spans="1:14" x14ac:dyDescent="0.3">
      <c r="A176" s="3" t="str">
        <f t="shared" si="2"/>
        <v/>
      </c>
      <c r="M176" s="3" t="str">
        <f>IF(B176="","","PF"&amp;"_"&amp;IFERROR(VLOOKUP(B176,LOOKUPS!$K$2:$L$9,2,FALSE),"UNK")&amp;"_"&amp;IFERROR(VLOOKUP(C176,LOOKUPS!$N$2:$O$10,2,FALSE),"UNK")&amp;"_"&amp;UPPER(L176))</f>
        <v/>
      </c>
      <c r="N176" s="3" t="str">
        <f>IF(M176="","",COUNTIF($M$2:M176,M176))</f>
        <v/>
      </c>
    </row>
    <row r="177" spans="1:14" x14ac:dyDescent="0.3">
      <c r="A177" s="3" t="str">
        <f t="shared" si="2"/>
        <v/>
      </c>
      <c r="M177" s="3" t="str">
        <f>IF(B177="","","PF"&amp;"_"&amp;IFERROR(VLOOKUP(B177,LOOKUPS!$K$2:$L$9,2,FALSE),"UNK")&amp;"_"&amp;IFERROR(VLOOKUP(C177,LOOKUPS!$N$2:$O$10,2,FALSE),"UNK")&amp;"_"&amp;UPPER(L177))</f>
        <v/>
      </c>
      <c r="N177" s="3" t="str">
        <f>IF(M177="","",COUNTIF($M$2:M177,M177))</f>
        <v/>
      </c>
    </row>
    <row r="178" spans="1:14" x14ac:dyDescent="0.3">
      <c r="A178" s="3" t="str">
        <f t="shared" si="2"/>
        <v/>
      </c>
      <c r="M178" s="3" t="str">
        <f>IF(B178="","","PF"&amp;"_"&amp;IFERROR(VLOOKUP(B178,LOOKUPS!$K$2:$L$9,2,FALSE),"UNK")&amp;"_"&amp;IFERROR(VLOOKUP(C178,LOOKUPS!$N$2:$O$10,2,FALSE),"UNK")&amp;"_"&amp;UPPER(L178))</f>
        <v/>
      </c>
      <c r="N178" s="3" t="str">
        <f>IF(M178="","",COUNTIF($M$2:M178,M178))</f>
        <v/>
      </c>
    </row>
    <row r="179" spans="1:14" x14ac:dyDescent="0.3">
      <c r="A179" s="3" t="str">
        <f t="shared" si="2"/>
        <v/>
      </c>
      <c r="M179" s="3" t="str">
        <f>IF(B179="","","PF"&amp;"_"&amp;IFERROR(VLOOKUP(B179,LOOKUPS!$K$2:$L$9,2,FALSE),"UNK")&amp;"_"&amp;IFERROR(VLOOKUP(C179,LOOKUPS!$N$2:$O$10,2,FALSE),"UNK")&amp;"_"&amp;UPPER(L179))</f>
        <v/>
      </c>
      <c r="N179" s="3" t="str">
        <f>IF(M179="","",COUNTIF($M$2:M179,M179))</f>
        <v/>
      </c>
    </row>
    <row r="180" spans="1:14" x14ac:dyDescent="0.3">
      <c r="A180" s="3" t="str">
        <f t="shared" si="2"/>
        <v/>
      </c>
      <c r="M180" s="3" t="str">
        <f>IF(B180="","","PF"&amp;"_"&amp;IFERROR(VLOOKUP(B180,LOOKUPS!$K$2:$L$9,2,FALSE),"UNK")&amp;"_"&amp;IFERROR(VLOOKUP(C180,LOOKUPS!$N$2:$O$10,2,FALSE),"UNK")&amp;"_"&amp;UPPER(L180))</f>
        <v/>
      </c>
      <c r="N180" s="3" t="str">
        <f>IF(M180="","",COUNTIF($M$2:M180,M180))</f>
        <v/>
      </c>
    </row>
    <row r="181" spans="1:14" x14ac:dyDescent="0.3">
      <c r="A181" s="3" t="str">
        <f t="shared" si="2"/>
        <v/>
      </c>
      <c r="M181" s="3" t="str">
        <f>IF(B181="","","PF"&amp;"_"&amp;IFERROR(VLOOKUP(B181,LOOKUPS!$K$2:$L$9,2,FALSE),"UNK")&amp;"_"&amp;IFERROR(VLOOKUP(C181,LOOKUPS!$N$2:$O$10,2,FALSE),"UNK")&amp;"_"&amp;UPPER(L181))</f>
        <v/>
      </c>
      <c r="N181" s="3" t="str">
        <f>IF(M181="","",COUNTIF($M$2:M181,M181))</f>
        <v/>
      </c>
    </row>
    <row r="182" spans="1:14" x14ac:dyDescent="0.3">
      <c r="A182" s="3" t="str">
        <f t="shared" si="2"/>
        <v/>
      </c>
      <c r="M182" s="3" t="str">
        <f>IF(B182="","","PF"&amp;"_"&amp;IFERROR(VLOOKUP(B182,LOOKUPS!$K$2:$L$9,2,FALSE),"UNK")&amp;"_"&amp;IFERROR(VLOOKUP(C182,LOOKUPS!$N$2:$O$10,2,FALSE),"UNK")&amp;"_"&amp;UPPER(L182))</f>
        <v/>
      </c>
      <c r="N182" s="3" t="str">
        <f>IF(M182="","",COUNTIF($M$2:M182,M182))</f>
        <v/>
      </c>
    </row>
    <row r="183" spans="1:14" x14ac:dyDescent="0.3">
      <c r="A183" s="3" t="str">
        <f t="shared" si="2"/>
        <v/>
      </c>
      <c r="M183" s="3" t="str">
        <f>IF(B183="","","PF"&amp;"_"&amp;IFERROR(VLOOKUP(B183,LOOKUPS!$K$2:$L$9,2,FALSE),"UNK")&amp;"_"&amp;IFERROR(VLOOKUP(C183,LOOKUPS!$N$2:$O$10,2,FALSE),"UNK")&amp;"_"&amp;UPPER(L183))</f>
        <v/>
      </c>
      <c r="N183" s="3" t="str">
        <f>IF(M183="","",COUNTIF($M$2:M183,M183))</f>
        <v/>
      </c>
    </row>
    <row r="184" spans="1:14" x14ac:dyDescent="0.3">
      <c r="A184" s="3" t="str">
        <f t="shared" si="2"/>
        <v/>
      </c>
      <c r="M184" s="3" t="str">
        <f>IF(B184="","","PF"&amp;"_"&amp;IFERROR(VLOOKUP(B184,LOOKUPS!$K$2:$L$9,2,FALSE),"UNK")&amp;"_"&amp;IFERROR(VLOOKUP(C184,LOOKUPS!$N$2:$O$10,2,FALSE),"UNK")&amp;"_"&amp;UPPER(L184))</f>
        <v/>
      </c>
      <c r="N184" s="3" t="str">
        <f>IF(M184="","",COUNTIF($M$2:M184,M184))</f>
        <v/>
      </c>
    </row>
    <row r="185" spans="1:14" x14ac:dyDescent="0.3">
      <c r="A185" s="3" t="str">
        <f t="shared" si="2"/>
        <v/>
      </c>
      <c r="M185" s="3" t="str">
        <f>IF(B185="","","PF"&amp;"_"&amp;IFERROR(VLOOKUP(B185,LOOKUPS!$K$2:$L$9,2,FALSE),"UNK")&amp;"_"&amp;IFERROR(VLOOKUP(C185,LOOKUPS!$N$2:$O$10,2,FALSE),"UNK")&amp;"_"&amp;UPPER(L185))</f>
        <v/>
      </c>
      <c r="N185" s="3" t="str">
        <f>IF(M185="","",COUNTIF($M$2:M185,M185))</f>
        <v/>
      </c>
    </row>
    <row r="186" spans="1:14" x14ac:dyDescent="0.3">
      <c r="A186" s="3" t="str">
        <f t="shared" si="2"/>
        <v/>
      </c>
      <c r="M186" s="3" t="str">
        <f>IF(B186="","","PF"&amp;"_"&amp;IFERROR(VLOOKUP(B186,LOOKUPS!$K$2:$L$9,2,FALSE),"UNK")&amp;"_"&amp;IFERROR(VLOOKUP(C186,LOOKUPS!$N$2:$O$10,2,FALSE),"UNK")&amp;"_"&amp;UPPER(L186))</f>
        <v/>
      </c>
      <c r="N186" s="3" t="str">
        <f>IF(M186="","",COUNTIF($M$2:M186,M186))</f>
        <v/>
      </c>
    </row>
    <row r="187" spans="1:14" x14ac:dyDescent="0.3">
      <c r="A187" s="3" t="str">
        <f t="shared" si="2"/>
        <v/>
      </c>
      <c r="M187" s="3" t="str">
        <f>IF(B187="","","PF"&amp;"_"&amp;IFERROR(VLOOKUP(B187,LOOKUPS!$K$2:$L$9,2,FALSE),"UNK")&amp;"_"&amp;IFERROR(VLOOKUP(C187,LOOKUPS!$N$2:$O$10,2,FALSE),"UNK")&amp;"_"&amp;UPPER(L187))</f>
        <v/>
      </c>
      <c r="N187" s="3" t="str">
        <f>IF(M187="","",COUNTIF($M$2:M187,M187))</f>
        <v/>
      </c>
    </row>
    <row r="188" spans="1:14" x14ac:dyDescent="0.3">
      <c r="A188" s="3" t="str">
        <f t="shared" si="2"/>
        <v/>
      </c>
      <c r="M188" s="3" t="str">
        <f>IF(B188="","","PF"&amp;"_"&amp;IFERROR(VLOOKUP(B188,LOOKUPS!$K$2:$L$9,2,FALSE),"UNK")&amp;"_"&amp;IFERROR(VLOOKUP(C188,LOOKUPS!$N$2:$O$10,2,FALSE),"UNK")&amp;"_"&amp;UPPER(L188))</f>
        <v/>
      </c>
      <c r="N188" s="3" t="str">
        <f>IF(M188="","",COUNTIF($M$2:M188,M188))</f>
        <v/>
      </c>
    </row>
    <row r="189" spans="1:14" x14ac:dyDescent="0.3">
      <c r="A189" s="3" t="str">
        <f t="shared" si="2"/>
        <v/>
      </c>
      <c r="M189" s="3" t="str">
        <f>IF(B189="","","PF"&amp;"_"&amp;IFERROR(VLOOKUP(B189,LOOKUPS!$K$2:$L$9,2,FALSE),"UNK")&amp;"_"&amp;IFERROR(VLOOKUP(C189,LOOKUPS!$N$2:$O$10,2,FALSE),"UNK")&amp;"_"&amp;UPPER(L189))</f>
        <v/>
      </c>
      <c r="N189" s="3" t="str">
        <f>IF(M189="","",COUNTIF($M$2:M189,M189))</f>
        <v/>
      </c>
    </row>
    <row r="190" spans="1:14" x14ac:dyDescent="0.3">
      <c r="A190" s="3" t="str">
        <f t="shared" si="2"/>
        <v/>
      </c>
      <c r="M190" s="3" t="str">
        <f>IF(B190="","","PF"&amp;"_"&amp;IFERROR(VLOOKUP(B190,LOOKUPS!$K$2:$L$9,2,FALSE),"UNK")&amp;"_"&amp;IFERROR(VLOOKUP(C190,LOOKUPS!$N$2:$O$10,2,FALSE),"UNK")&amp;"_"&amp;UPPER(L190))</f>
        <v/>
      </c>
      <c r="N190" s="3" t="str">
        <f>IF(M190="","",COUNTIF($M$2:M190,M190))</f>
        <v/>
      </c>
    </row>
    <row r="191" spans="1:14" x14ac:dyDescent="0.3">
      <c r="A191" s="3" t="str">
        <f t="shared" si="2"/>
        <v/>
      </c>
      <c r="M191" s="3" t="str">
        <f>IF(B191="","","PF"&amp;"_"&amp;IFERROR(VLOOKUP(B191,LOOKUPS!$K$2:$L$9,2,FALSE),"UNK")&amp;"_"&amp;IFERROR(VLOOKUP(C191,LOOKUPS!$N$2:$O$10,2,FALSE),"UNK")&amp;"_"&amp;UPPER(L191))</f>
        <v/>
      </c>
      <c r="N191" s="3" t="str">
        <f>IF(M191="","",COUNTIF($M$2:M191,M191))</f>
        <v/>
      </c>
    </row>
    <row r="192" spans="1:14" x14ac:dyDescent="0.3">
      <c r="A192" s="3" t="str">
        <f t="shared" si="2"/>
        <v/>
      </c>
      <c r="M192" s="3" t="str">
        <f>IF(B192="","","PF"&amp;"_"&amp;IFERROR(VLOOKUP(B192,LOOKUPS!$K$2:$L$9,2,FALSE),"UNK")&amp;"_"&amp;IFERROR(VLOOKUP(C192,LOOKUPS!$N$2:$O$10,2,FALSE),"UNK")&amp;"_"&amp;UPPER(L192))</f>
        <v/>
      </c>
      <c r="N192" s="3" t="str">
        <f>IF(M192="","",COUNTIF($M$2:M192,M192))</f>
        <v/>
      </c>
    </row>
    <row r="193" spans="1:14" x14ac:dyDescent="0.3">
      <c r="A193" s="3" t="str">
        <f t="shared" si="2"/>
        <v/>
      </c>
      <c r="M193" s="3" t="str">
        <f>IF(B193="","","PF"&amp;"_"&amp;IFERROR(VLOOKUP(B193,LOOKUPS!$K$2:$L$9,2,FALSE),"UNK")&amp;"_"&amp;IFERROR(VLOOKUP(C193,LOOKUPS!$N$2:$O$10,2,FALSE),"UNK")&amp;"_"&amp;UPPER(L193))</f>
        <v/>
      </c>
      <c r="N193" s="3" t="str">
        <f>IF(M193="","",COUNTIF($M$2:M193,M193))</f>
        <v/>
      </c>
    </row>
    <row r="194" spans="1:14" x14ac:dyDescent="0.3">
      <c r="A194" s="3" t="str">
        <f t="shared" si="2"/>
        <v/>
      </c>
      <c r="M194" s="3" t="str">
        <f>IF(B194="","","PF"&amp;"_"&amp;IFERROR(VLOOKUP(B194,LOOKUPS!$K$2:$L$9,2,FALSE),"UNK")&amp;"_"&amp;IFERROR(VLOOKUP(C194,LOOKUPS!$N$2:$O$10,2,FALSE),"UNK")&amp;"_"&amp;UPPER(L194))</f>
        <v/>
      </c>
      <c r="N194" s="3" t="str">
        <f>IF(M194="","",COUNTIF($M$2:M194,M194))</f>
        <v/>
      </c>
    </row>
    <row r="195" spans="1:14" x14ac:dyDescent="0.3">
      <c r="A195" s="3" t="str">
        <f t="shared" ref="A195:A200" si="3">IF(M195="","",M195&amp;"_"&amp;TEXT(N195,"000"))</f>
        <v/>
      </c>
      <c r="M195" s="3" t="str">
        <f>IF(B195="","","PF"&amp;"_"&amp;IFERROR(VLOOKUP(B195,LOOKUPS!$K$2:$L$9,2,FALSE),"UNK")&amp;"_"&amp;IFERROR(VLOOKUP(C195,LOOKUPS!$N$2:$O$10,2,FALSE),"UNK")&amp;"_"&amp;UPPER(L195))</f>
        <v/>
      </c>
      <c r="N195" s="3" t="str">
        <f>IF(M195="","",COUNTIF($M$2:M195,M195))</f>
        <v/>
      </c>
    </row>
    <row r="196" spans="1:14" x14ac:dyDescent="0.3">
      <c r="A196" s="3" t="str">
        <f t="shared" si="3"/>
        <v/>
      </c>
      <c r="M196" s="3" t="str">
        <f>IF(B196="","","PF"&amp;"_"&amp;IFERROR(VLOOKUP(B196,LOOKUPS!$K$2:$L$9,2,FALSE),"UNK")&amp;"_"&amp;IFERROR(VLOOKUP(C196,LOOKUPS!$N$2:$O$10,2,FALSE),"UNK")&amp;"_"&amp;UPPER(L196))</f>
        <v/>
      </c>
      <c r="N196" s="3" t="str">
        <f>IF(M196="","",COUNTIF($M$2:M196,M196))</f>
        <v/>
      </c>
    </row>
    <row r="197" spans="1:14" x14ac:dyDescent="0.3">
      <c r="A197" s="3" t="str">
        <f t="shared" si="3"/>
        <v/>
      </c>
      <c r="M197" s="3" t="str">
        <f>IF(B197="","","PF"&amp;"_"&amp;IFERROR(VLOOKUP(B197,LOOKUPS!$K$2:$L$9,2,FALSE),"UNK")&amp;"_"&amp;IFERROR(VLOOKUP(C197,LOOKUPS!$N$2:$O$10,2,FALSE),"UNK")&amp;"_"&amp;UPPER(L197))</f>
        <v/>
      </c>
      <c r="N197" s="3" t="str">
        <f>IF(M197="","",COUNTIF($M$2:M197,M197))</f>
        <v/>
      </c>
    </row>
    <row r="198" spans="1:14" x14ac:dyDescent="0.3">
      <c r="A198" s="3" t="str">
        <f t="shared" si="3"/>
        <v/>
      </c>
      <c r="M198" s="3" t="str">
        <f>IF(B198="","","PF"&amp;"_"&amp;IFERROR(VLOOKUP(B198,LOOKUPS!$K$2:$L$9,2,FALSE),"UNK")&amp;"_"&amp;IFERROR(VLOOKUP(C198,LOOKUPS!$N$2:$O$10,2,FALSE),"UNK")&amp;"_"&amp;UPPER(L198))</f>
        <v/>
      </c>
      <c r="N198" s="3" t="str">
        <f>IF(M198="","",COUNTIF($M$2:M198,M198))</f>
        <v/>
      </c>
    </row>
    <row r="199" spans="1:14" x14ac:dyDescent="0.3">
      <c r="A199" s="3" t="str">
        <f t="shared" si="3"/>
        <v/>
      </c>
      <c r="M199" s="3" t="str">
        <f>IF(B199="","","PF"&amp;"_"&amp;IFERROR(VLOOKUP(B199,LOOKUPS!$K$2:$L$9,2,FALSE),"UNK")&amp;"_"&amp;IFERROR(VLOOKUP(C199,LOOKUPS!$N$2:$O$10,2,FALSE),"UNK")&amp;"_"&amp;UPPER(L199))</f>
        <v/>
      </c>
      <c r="N199" s="3" t="str">
        <f>IF(M199="","",COUNTIF($M$2:M199,M199))</f>
        <v/>
      </c>
    </row>
    <row r="200" spans="1:14" x14ac:dyDescent="0.3">
      <c r="A200" s="3" t="str">
        <f t="shared" si="3"/>
        <v/>
      </c>
      <c r="M200" s="3" t="str">
        <f>IF(B200="","","PF"&amp;"_"&amp;IFERROR(VLOOKUP(B200,LOOKUPS!$K$2:$L$9,2,FALSE),"UNK")&amp;"_"&amp;IFERROR(VLOOKUP(C200,LOOKUPS!$N$2:$O$10,2,FALSE),"UNK")&amp;"_"&amp;UPPER(L200))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pageSetup paperSize="9" orientation="portrait" horizontalDpi="1200" verticalDpi="1200" r:id="rId1"/>
  <headerFooter>
    <oddHeader>&amp;C&amp;"Segoe UI"&amp;10&amp;K000000 OFFICIAL&amp;1#_x000D_</oddHeader>
  </headerFooter>
  <tableParts count="1">
    <tablePart r:id="rId2"/>
  </tableParts>
  <extLst>
    <ext xmlns:x14="http://schemas.microsoft.com/office/spreadsheetml/2009/9/main" uri="{CCE6A557-97BC-4b89-ADB6-D9C93CAAB3DF}">
      <x14:dataValidations xmlns:xm="http://schemas.microsoft.com/office/excel/2006/main" count="9">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 type="list" allowBlank="1" showDropDown="1" xr:uid="{00000000-0002-0000-0500-000000000000}">
          <x14:formula1>
            <xm:f>LOOKUPS!$A$2:$A$9</xm:f>
          </x14:formula1>
          <xm:sqref>B201:B1000</xm:sqref>
        </x14:dataValidation>
        <x14:dataValidation type="list" allowBlank="1" xr:uid="{F17F4E70-1DFD-49B8-B609-2BEFE05660BB}">
          <x14:formula1>
            <xm:f>LOOKUPS!$A$2:$A$9</xm:f>
          </x14:formula1>
          <xm:sqref>B2:B200</xm:sqref>
        </x14:dataValidation>
        <x14:dataValidation type="list" allowBlank="1" showDropDown="1" xr:uid="{00000000-0002-0000-0500-000001000000}">
          <x14:formula1>
            <xm:f>LOOKUPS!$C$2:$C$10</xm:f>
          </x14:formula1>
          <xm:sqref>C201:C1000</xm:sqref>
        </x14:dataValidation>
        <x14:dataValidation type="list" allowBlank="1" xr:uid="{6C06B5A9-8864-4EFC-90FD-E9C1773F40E3}">
          <x14:formula1>
            <xm:f>LOOKUPS!$C$2:$C$10</xm:f>
          </x14:formula1>
          <xm:sqref>C2:C200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88" activePane="bottomLeft" state="frozen"/>
      <selection pane="bottomLeft" activeCell="A212" sqref="A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Tax efficient investments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Tax efficient investments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x14ac:dyDescent="0.3">
      <c r="A9" s="3" t="str">
        <f>IF(ROW()-1&lt;=0,"",IF(ROW()-1&lt;=$L$2,IFERROR(INDEX(MCQ!$A:$K,ROW()-1+1,1),""),IF(ROW()-1&lt;=$L$2+$M$2,IFERROR(INDEX(CLOZE_AB!$A:$K,ROW()-1-$L$2+1,1),""),IF(ROW()-1&lt;=$L$2+$M$2+$N$2,IFERROR(INDEX(CLOZE_LIST!$A:$K,ROW()-1-$L$2-$M$2+1,1),""),IF(ROW()-1&lt;=$L$2+$M$2+$N$2+$O$2,IFERROR(INDEX(PROFORMA!$A:$K,ROW()-1-$L$2-$M$2-$N$2+1,1),""),"")))))</f>
        <v>MCQ_ITNIC_T_EIS_001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treatments</v>
      </c>
      <c r="D9" s="3" t="str">
        <f>IF(ROW()-1&lt;=0,"",IF(ROW()-1&lt;=$L$2,IFERROR(INDEX(MCQ!$A:$K,ROW()-1+1,4),""),IF(ROW()-1&lt;=$L$2+$M$2,IFERROR(INDEX(CLOZE_AB!$A:$K,ROW()-1-$L$2+1,4),""),IF(ROW()-1&lt;=$L$2+$M$2+$N$2,IFERROR(INDEX(CLOZE_LIST!$A:$K,ROW()-1-$L$2-$M$2+1,4),""),IF(ROW()-1&lt;=$L$2+$M$2+$N$2+$O$2,IFERROR(INDEX(PROFORMA!$A:$K,ROW()-1-$L$2-$M$2-$N$2+1,4),""),"")))))</f>
        <v>Tax efficient investments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MCQ_ITNIC_P_PSC_001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planning</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MCQ_ITNIC_T_PSC_001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treatments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MCQ_ITNIC_REQ_PSC_001</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x14ac:dyDescent="0.3">
      <c r="A15" s="3" t="str">
        <f>IF(ROW()-1&lt;=0,"",IF(ROW()-1&lt;=$L$2,IFERROR(INDEX(MCQ!$A:$K,ROW()-1+1,1),""),IF(ROW()-1&lt;=$L$2+$M$2,IFERROR(INDEX(CLOZE_AB!$A:$K,ROW()-1-$L$2+1,1),""),IF(ROW()-1&lt;=$L$2+$M$2+$N$2,IFERROR(INDEX(CLOZE_LIST!$A:$K,ROW()-1-$L$2-$M$2+1,1),""),IF(ROW()-1&lt;=$L$2+$M$2+$N$2+$O$2,IFERROR(INDEX(PROFORMA!$A:$K,ROW()-1-$L$2-$M$2-$N$2+1,1),""),"")))))</f>
        <v>MCQ_ITNIC_T_SHS_001</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treatments</v>
      </c>
      <c r="D15" s="3" t="str">
        <f>IF(ROW()-1&lt;=0,"",IF(ROW()-1&lt;=$L$2,IFERROR(INDEX(MCQ!$A:$K,ROW()-1+1,4),""),IF(ROW()-1&lt;=$L$2+$M$2,IFERROR(INDEX(CLOZE_AB!$A:$K,ROW()-1-$L$2+1,4),""),IF(ROW()-1&lt;=$L$2+$M$2+$N$2,IFERROR(INDEX(CLOZE_LIST!$A:$K,ROW()-1-$L$2-$M$2+1,4),""),IF(ROW()-1&lt;=$L$2+$M$2+$N$2+$O$2,IFERROR(INDEX(PROFORMA!$A:$K,ROW()-1-$L$2-$M$2-$N$2+1,4),""),"")))))</f>
        <v>Employee share schemes</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Employee share schemes</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Employee share schemes</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Employee share schemes</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Employee share schemes</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Employee share schemes</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Employee share schemes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Employee share schemes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Employee share schemes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Employee share schemes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Employee share schemes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Employee share schemes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MCQ_ITNIC_P_EMI_001</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planning</v>
      </c>
      <c r="D27" s="3" t="str">
        <f>IF(ROW()-1&lt;=0,"",IF(ROW()-1&lt;=$L$2,IFERROR(INDEX(MCQ!$A:$K,ROW()-1+1,4),""),IF(ROW()-1&lt;=$L$2+$M$2,IFERROR(INDEX(CLOZE_AB!$A:$K,ROW()-1-$L$2+1,4),""),IF(ROW()-1&lt;=$L$2+$M$2+$N$2,IFERROR(INDEX(CLOZE_LIST!$A:$K,ROW()-1-$L$2-$M$2+1,4),""),IF(ROW()-1&lt;=$L$2+$M$2+$N$2+$O$2,IFERROR(INDEX(PROFORMA!$A:$K,ROW()-1-$L$2-$M$2-$N$2+1,4),""),"")))))</f>
        <v>Employee share schemes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ht="28.8" x14ac:dyDescent="0.3">
      <c r="A28" s="3" t="str">
        <f>IF(ROW()-1&lt;=0,"",IF(ROW()-1&lt;=$L$2,IFERROR(INDEX(MCQ!$A:$K,ROW()-1+1,1),""),IF(ROW()-1&lt;=$L$2+$M$2,IFERROR(INDEX(CLOZE_AB!$A:$K,ROW()-1-$L$2+1,1),""),IF(ROW()-1&lt;=$L$2+$M$2+$N$2,IFERROR(INDEX(CLOZE_LIST!$A:$K,ROW()-1-$L$2-$M$2+1,1),""),IF(ROW()-1&lt;=$L$2+$M$2+$N$2+$O$2,IFERROR(INDEX(PROFORMA!$A:$K,ROW()-1-$L$2-$M$2-$N$2+1,1),""),"")))))</f>
        <v>MCQ_CGT_REQ_RESDOM_001</v>
      </c>
      <c r="B28" s="3" t="str">
        <f>IF(ROW()-1&lt;=0,"",IF(ROW()-1&lt;=$L$2,IFERROR(INDEX(MCQ!$A:$K,ROW()-1+1,2),""),IF(ROW()-1&lt;=$L$2+$M$2,IFERROR(INDEX(CLOZE_AB!$A:$K,ROW()-1-$L$2+1,2),""),IF(ROW()-1&lt;=$L$2+$M$2+$N$2,IFERROR(INDEX(CLOZE_LIST!$A:$K,ROW()-1-$L$2-$M$2+1,2),""),IF(ROW()-1&lt;=$L$2+$M$2+$N$2+$O$2,IFERROR(INDEX(PROFORMA!$A:$K,ROW()-1-$L$2-$M$2-$N$2+1,2),""),"")))))</f>
        <v>Capital gains</v>
      </c>
      <c r="C28" s="3" t="str">
        <f>IF(ROW()-1&lt;=0,"",IF(ROW()-1&lt;=$L$2,IFERROR(INDEX(MCQ!$A:$K,ROW()-1+1,3),""),IF(ROW()-1&lt;=$L$2+$M$2,IFERROR(INDEX(CLOZE_AB!$A:$K,ROW()-1-$L$2+1,3),""),IF(ROW()-1&lt;=$L$2+$M$2+$N$2,IFERROR(INDEX(CLOZE_LIST!$A:$K,ROW()-1-$L$2-$M$2+1,3),""),IF(ROW()-1&lt;=$L$2+$M$2+$N$2+$O$2,IFERROR(INDEX(PROFORMA!$A:$K,ROW()-1-$L$2-$M$2-$N$2+1,3),""),"")))))</f>
        <v>requirements</v>
      </c>
      <c r="D28" s="3" t="str">
        <f>IF(ROW()-1&lt;=0,"",IF(ROW()-1&lt;=$L$2,IFERROR(INDEX(MCQ!$A:$K,ROW()-1+1,4),""),IF(ROW()-1&lt;=$L$2+$M$2,IFERROR(INDEX(CLOZE_AB!$A:$K,ROW()-1-$L$2+1,4),""),IF(ROW()-1&lt;=$L$2+$M$2+$N$2,IFERROR(INDEX(CLOZE_LIST!$A:$K,ROW()-1-$L$2-$M$2+1,4),""),IF(ROW()-1&lt;=$L$2+$M$2+$N$2+$O$2,IFERROR(INDEX(PROFORMA!$A:$K,ROW()-1-$L$2-$M$2-$N$2+1,4),""),"")))))</f>
        <v>Residency, domicile and deemed domicile</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3</v>
      </c>
      <c r="G28" s="3" t="str">
        <f>IF(ROW()-1&lt;=0,"",IF(ROW()-1&lt;=$L$2,IFERROR(INDEX(MCQ!$A:$K,ROW()-1+1,7),""),IF(ROW()-1&lt;=$L$2+$M$2,IFERROR(INDEX(CLOZE_AB!$A:$K,ROW()-1-$L$2+1,7),""),IF(ROW()-1&lt;=$L$2+$M$2+$N$2,IFERROR(INDEX(CLOZE_LIST!$A:$K,ROW()-1-$L$2-$M$2+1,7),""),IF(ROW()-1&lt;=$L$2+$M$2+$N$2+$O$2,IFERROR(INDEX(PROFORMA!$A:$K,ROW()-1-$L$2-$M$2-$N$2+1,7),""),"")))))</f>
        <v>core</v>
      </c>
      <c r="H28" s="3" t="str">
        <f>IF(ROW()-1&lt;=0,"",IF(ROW()-1&lt;=$L$2,IFERROR(INDEX(MCQ!$A:$K,ROW()-1+1,8),""),IF(ROW()-1&lt;=$L$2+$M$2,IFERROR(INDEX(CLOZE_AB!$A:$K,ROW()-1-$L$2+1,8),""),IF(ROW()-1&lt;=$L$2+$M$2+$N$2,IFERROR(INDEX(CLOZE_LIST!$A:$K,ROW()-1-$L$2-$M$2+1,8),""),IF(ROW()-1&lt;=$L$2+$M$2+$N$2+$O$2,IFERROR(INDEX(PROFORMA!$A:$K,ROW()-1-$L$2-$M$2-$N$2+1,8),""),"")))))</f>
        <v>Y</v>
      </c>
      <c r="I28" s="3" t="str">
        <f>IF(ROW()-1&lt;=0,"",IF(ROW()-1&lt;=$L$2,IFERROR(INDEX(MCQ!$A:$K,ROW()-1+1,9),""),IF(ROW()-1&lt;=$L$2+$M$2,IFERROR(INDEX(CLOZE_AB!$A:$K,ROW()-1-$L$2+1,9),""),IF(ROW()-1&lt;=$L$2+$M$2+$N$2,IFERROR(INDEX(CLOZE_LIST!$A:$K,ROW()-1-$L$2-$M$2+1,9),""),IF(ROW()-1&lt;=$L$2+$M$2+$N$2+$O$2,IFERROR(INDEX(PROFORMA!$A:$K,ROW()-1-$L$2-$M$2-$N$2+1,9),""),"")))))</f>
        <v>residency|auto_overseas</v>
      </c>
      <c r="J28" s="3" t="str">
        <f>IF(ROW()-1&lt;=0,"",IF(ROW()-1&lt;=$L$2,IFERROR(INDEX(MCQ!$A:$K,ROW()-1+1,10),""),IF(ROW()-1&lt;=$L$2+$M$2,IFERROR(INDEX(CLOZE_AB!$A:$K,ROW()-1-$L$2+1,10),""),IF(ROW()-1&lt;=$L$2+$M$2+$N$2,IFERROR(INDEX(CLOZE_LIST!$A:$K,ROW()-1-$L$2-$M$2+1,10),""),IF(ROW()-1&lt;=$L$2+$M$2+$N$2+$O$2,IFERROR(INDEX(PROFORMA!$A:$K,ROW()-1-$L$2-$M$2-$N$2+1,10),""),"")))))</f>
        <v>notes_user</v>
      </c>
      <c r="K28" s="3">
        <f>IF(ROW()-1&lt;=0,"",IF(ROW()-1&lt;=$L$2,IFERROR(INDEX(MCQ!$A:$K,ROW()-1+1,11),""),IF(ROW()-1&lt;=$L$2+$M$2,IFERROR(INDEX(CLOZE_AB!$A:$K,ROW()-1-$L$2+1,11),""),IF(ROW()-1&lt;=$L$2+$M$2+$N$2,IFERROR(INDEX(CLOZE_LIST!$A:$K,ROW()-1-$L$2-$M$2+1,11),""),IF(ROW()-1&lt;=$L$2+$M$2+$N$2+$O$2,IFERROR(INDEX(PROFORMA!$A:$K,ROW()-1-$L$2-$M$2-$N$2+1,11),""),"")))))</f>
        <v>1</v>
      </c>
      <c r="L28" s="3">
        <f>COUNTA(MCQ!$A:$A)-1</f>
        <v>143</v>
      </c>
      <c r="M28" s="3">
        <f>COUNTA(CLOZE_AB!$A:$A)-1</f>
        <v>168</v>
      </c>
      <c r="N28" s="3">
        <f>COUNTA(CLOZE_LIST!$A:$A)-1</f>
        <v>199</v>
      </c>
      <c r="O28" s="3">
        <f>COUNTA(PROFORMA!$A:$A)-1</f>
        <v>199</v>
      </c>
    </row>
    <row r="29" spans="1:15" ht="28.8" x14ac:dyDescent="0.3">
      <c r="A29" s="3" t="str">
        <f>IF(ROW()-1&lt;=0,"",IF(ROW()-1&lt;=$L$2,IFERROR(INDEX(MCQ!$A:$K,ROW()-1+1,1),""),IF(ROW()-1&lt;=$L$2+$M$2,IFERROR(INDEX(CLOZE_AB!$A:$K,ROW()-1-$L$2+1,1),""),IF(ROW()-1&lt;=$L$2+$M$2+$N$2,IFERROR(INDEX(CLOZE_LIST!$A:$K,ROW()-1-$L$2-$M$2+1,1),""),IF(ROW()-1&lt;=$L$2+$M$2+$N$2+$O$2,IFERROR(INDEX(PROFORMA!$A:$K,ROW()-1-$L$2-$M$2-$N$2+1,1),""),"")))))</f>
        <v>MCQ_CGT_REQ_RESDOM_002</v>
      </c>
      <c r="B29" s="3" t="str">
        <f>IF(ROW()-1&lt;=0,"",IF(ROW()-1&lt;=$L$2,IFERROR(INDEX(MCQ!$A:$K,ROW()-1+1,2),""),IF(ROW()-1&lt;=$L$2+$M$2,IFERROR(INDEX(CLOZE_AB!$A:$K,ROW()-1-$L$2+1,2),""),IF(ROW()-1&lt;=$L$2+$M$2+$N$2,IFERROR(INDEX(CLOZE_LIST!$A:$K,ROW()-1-$L$2-$M$2+1,2),""),IF(ROW()-1&lt;=$L$2+$M$2+$N$2+$O$2,IFERROR(INDEX(PROFORMA!$A:$K,ROW()-1-$L$2-$M$2-$N$2+1,2),""),"")))))</f>
        <v>Capital gains</v>
      </c>
      <c r="C29" s="3" t="str">
        <f>IF(ROW()-1&lt;=0,"",IF(ROW()-1&lt;=$L$2,IFERROR(INDEX(MCQ!$A:$K,ROW()-1+1,3),""),IF(ROW()-1&lt;=$L$2+$M$2,IFERROR(INDEX(CLOZE_AB!$A:$K,ROW()-1-$L$2+1,3),""),IF(ROW()-1&lt;=$L$2+$M$2+$N$2,IFERROR(INDEX(CLOZE_LIST!$A:$K,ROW()-1-$L$2-$M$2+1,3),""),IF(ROW()-1&lt;=$L$2+$M$2+$N$2+$O$2,IFERROR(INDEX(PROFORMA!$A:$K,ROW()-1-$L$2-$M$2-$N$2+1,3),""),"")))))</f>
        <v>requirements</v>
      </c>
      <c r="D29" s="3" t="str">
        <f>IF(ROW()-1&lt;=0,"",IF(ROW()-1&lt;=$L$2,IFERROR(INDEX(MCQ!$A:$K,ROW()-1+1,4),""),IF(ROW()-1&lt;=$L$2+$M$2,IFERROR(INDEX(CLOZE_AB!$A:$K,ROW()-1-$L$2+1,4),""),IF(ROW()-1&lt;=$L$2+$M$2+$N$2,IFERROR(INDEX(CLOZE_LIST!$A:$K,ROW()-1-$L$2-$M$2+1,4),""),IF(ROW()-1&lt;=$L$2+$M$2+$N$2+$O$2,IFERROR(INDEX(PROFORMA!$A:$K,ROW()-1-$L$2-$M$2-$N$2+1,4),""),"")))))</f>
        <v>Residency, domicile and deemed domicile</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3</v>
      </c>
      <c r="G29" s="3" t="str">
        <f>IF(ROW()-1&lt;=0,"",IF(ROW()-1&lt;=$L$2,IFERROR(INDEX(MCQ!$A:$K,ROW()-1+1,7),""),IF(ROW()-1&lt;=$L$2+$M$2,IFERROR(INDEX(CLOZE_AB!$A:$K,ROW()-1-$L$2+1,7),""),IF(ROW()-1&lt;=$L$2+$M$2+$N$2,IFERROR(INDEX(CLOZE_LIST!$A:$K,ROW()-1-$L$2-$M$2+1,7),""),IF(ROW()-1&lt;=$L$2+$M$2+$N$2+$O$2,IFERROR(INDEX(PROFORMA!$A:$K,ROW()-1-$L$2-$M$2-$N$2+1,7),""),"")))))</f>
        <v>core</v>
      </c>
      <c r="H29" s="3" t="str">
        <f>IF(ROW()-1&lt;=0,"",IF(ROW()-1&lt;=$L$2,IFERROR(INDEX(MCQ!$A:$K,ROW()-1+1,8),""),IF(ROW()-1&lt;=$L$2+$M$2,IFERROR(INDEX(CLOZE_AB!$A:$K,ROW()-1-$L$2+1,8),""),IF(ROW()-1&lt;=$L$2+$M$2+$N$2,IFERROR(INDEX(CLOZE_LIST!$A:$K,ROW()-1-$L$2-$M$2+1,8),""),IF(ROW()-1&lt;=$L$2+$M$2+$N$2+$O$2,IFERROR(INDEX(PROFORMA!$A:$K,ROW()-1-$L$2-$M$2-$N$2+1,8),""),"")))))</f>
        <v>Y</v>
      </c>
      <c r="I29" s="3" t="str">
        <f>IF(ROW()-1&lt;=0,"",IF(ROW()-1&lt;=$L$2,IFERROR(INDEX(MCQ!$A:$K,ROW()-1+1,9),""),IF(ROW()-1&lt;=$L$2+$M$2,IFERROR(INDEX(CLOZE_AB!$A:$K,ROW()-1-$L$2+1,9),""),IF(ROW()-1&lt;=$L$2+$M$2+$N$2,IFERROR(INDEX(CLOZE_LIST!$A:$K,ROW()-1-$L$2-$M$2+1,9),""),IF(ROW()-1&lt;=$L$2+$M$2+$N$2+$O$2,IFERROR(INDEX(PROFORMA!$A:$K,ROW()-1-$L$2-$M$2-$N$2+1,9),""),"")))))</f>
        <v>residency|auto_overseas</v>
      </c>
      <c r="J29" s="3" t="str">
        <f>IF(ROW()-1&lt;=0,"",IF(ROW()-1&lt;=$L$2,IFERROR(INDEX(MCQ!$A:$K,ROW()-1+1,10),""),IF(ROW()-1&lt;=$L$2+$M$2,IFERROR(INDEX(CLOZE_AB!$A:$K,ROW()-1-$L$2+1,10),""),IF(ROW()-1&lt;=$L$2+$M$2+$N$2,IFERROR(INDEX(CLOZE_LIST!$A:$K,ROW()-1-$L$2-$M$2+1,10),""),IF(ROW()-1&lt;=$L$2+$M$2+$N$2+$O$2,IFERROR(INDEX(PROFORMA!$A:$K,ROW()-1-$L$2-$M$2-$N$2+1,10),""),"")))))</f>
        <v>notes_user</v>
      </c>
      <c r="K29" s="3">
        <f>IF(ROW()-1&lt;=0,"",IF(ROW()-1&lt;=$L$2,IFERROR(INDEX(MCQ!$A:$K,ROW()-1+1,11),""),IF(ROW()-1&lt;=$L$2+$M$2,IFERROR(INDEX(CLOZE_AB!$A:$K,ROW()-1-$L$2+1,11),""),IF(ROW()-1&lt;=$L$2+$M$2+$N$2,IFERROR(INDEX(CLOZE_LIST!$A:$K,ROW()-1-$L$2-$M$2+1,11),""),IF(ROW()-1&lt;=$L$2+$M$2+$N$2+$O$2,IFERROR(INDEX(PROFORMA!$A:$K,ROW()-1-$L$2-$M$2-$N$2+1,11),""),"")))))</f>
        <v>1</v>
      </c>
      <c r="L29" s="3">
        <f>COUNTA(MCQ!$A:$A)-1</f>
        <v>143</v>
      </c>
      <c r="M29" s="3">
        <f>COUNTA(CLOZE_AB!$A:$A)-1</f>
        <v>168</v>
      </c>
      <c r="N29" s="3">
        <f>COUNTA(CLOZE_LIST!$A:$A)-1</f>
        <v>199</v>
      </c>
      <c r="O29" s="3">
        <f>COUNTA(PROFORMA!$A:$A)-1</f>
        <v>199</v>
      </c>
    </row>
    <row r="30" spans="1:15" ht="28.8" x14ac:dyDescent="0.3">
      <c r="A30" s="3" t="str">
        <f>IF(ROW()-1&lt;=0,"",IF(ROW()-1&lt;=$L$2,IFERROR(INDEX(MCQ!$A:$K,ROW()-1+1,1),""),IF(ROW()-1&lt;=$L$2+$M$2,IFERROR(INDEX(CLOZE_AB!$A:$K,ROW()-1-$L$2+1,1),""),IF(ROW()-1&lt;=$L$2+$M$2+$N$2,IFERROR(INDEX(CLOZE_LIST!$A:$K,ROW()-1-$L$2-$M$2+1,1),""),IF(ROW()-1&lt;=$L$2+$M$2+$N$2+$O$2,IFERROR(INDEX(PROFORMA!$A:$K,ROW()-1-$L$2-$M$2-$N$2+1,1),""),"")))))</f>
        <v>MCQ_CGT_REQ_RESDOM_003</v>
      </c>
      <c r="B30" s="3" t="str">
        <f>IF(ROW()-1&lt;=0,"",IF(ROW()-1&lt;=$L$2,IFERROR(INDEX(MCQ!$A:$K,ROW()-1+1,2),""),IF(ROW()-1&lt;=$L$2+$M$2,IFERROR(INDEX(CLOZE_AB!$A:$K,ROW()-1-$L$2+1,2),""),IF(ROW()-1&lt;=$L$2+$M$2+$N$2,IFERROR(INDEX(CLOZE_LIST!$A:$K,ROW()-1-$L$2-$M$2+1,2),""),IF(ROW()-1&lt;=$L$2+$M$2+$N$2+$O$2,IFERROR(INDEX(PROFORMA!$A:$K,ROW()-1-$L$2-$M$2-$N$2+1,2),""),"")))))</f>
        <v>Capital gains</v>
      </c>
      <c r="C30" s="3" t="str">
        <f>IF(ROW()-1&lt;=0,"",IF(ROW()-1&lt;=$L$2,IFERROR(INDEX(MCQ!$A:$K,ROW()-1+1,3),""),IF(ROW()-1&lt;=$L$2+$M$2,IFERROR(INDEX(CLOZE_AB!$A:$K,ROW()-1-$L$2+1,3),""),IF(ROW()-1&lt;=$L$2+$M$2+$N$2,IFERROR(INDEX(CLOZE_LIST!$A:$K,ROW()-1-$L$2-$M$2+1,3),""),IF(ROW()-1&lt;=$L$2+$M$2+$N$2+$O$2,IFERROR(INDEX(PROFORMA!$A:$K,ROW()-1-$L$2-$M$2-$N$2+1,3),""),"")))))</f>
        <v>requirements</v>
      </c>
      <c r="D30" s="3" t="str">
        <f>IF(ROW()-1&lt;=0,"",IF(ROW()-1&lt;=$L$2,IFERROR(INDEX(MCQ!$A:$K,ROW()-1+1,4),""),IF(ROW()-1&lt;=$L$2+$M$2,IFERROR(INDEX(CLOZE_AB!$A:$K,ROW()-1-$L$2+1,4),""),IF(ROW()-1&lt;=$L$2+$M$2+$N$2,IFERROR(INDEX(CLOZE_LIST!$A:$K,ROW()-1-$L$2-$M$2+1,4),""),IF(ROW()-1&lt;=$L$2+$M$2+$N$2+$O$2,IFERROR(INDEX(PROFORMA!$A:$K,ROW()-1-$L$2-$M$2-$N$2+1,4),""),"")))))</f>
        <v>Residency, domicile and deemed domicile</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3</v>
      </c>
      <c r="G30" s="3" t="str">
        <f>IF(ROW()-1&lt;=0,"",IF(ROW()-1&lt;=$L$2,IFERROR(INDEX(MCQ!$A:$K,ROW()-1+1,7),""),IF(ROW()-1&lt;=$L$2+$M$2,IFERROR(INDEX(CLOZE_AB!$A:$K,ROW()-1-$L$2+1,7),""),IF(ROW()-1&lt;=$L$2+$M$2+$N$2,IFERROR(INDEX(CLOZE_LIST!$A:$K,ROW()-1-$L$2-$M$2+1,7),""),IF(ROW()-1&lt;=$L$2+$M$2+$N$2+$O$2,IFERROR(INDEX(PROFORMA!$A:$K,ROW()-1-$L$2-$M$2-$N$2+1,7),""),"")))))</f>
        <v>core</v>
      </c>
      <c r="H30" s="3" t="str">
        <f>IF(ROW()-1&lt;=0,"",IF(ROW()-1&lt;=$L$2,IFERROR(INDEX(MCQ!$A:$K,ROW()-1+1,8),""),IF(ROW()-1&lt;=$L$2+$M$2,IFERROR(INDEX(CLOZE_AB!$A:$K,ROW()-1-$L$2+1,8),""),IF(ROW()-1&lt;=$L$2+$M$2+$N$2,IFERROR(INDEX(CLOZE_LIST!$A:$K,ROW()-1-$L$2-$M$2+1,8),""),IF(ROW()-1&lt;=$L$2+$M$2+$N$2+$O$2,IFERROR(INDEX(PROFORMA!$A:$K,ROW()-1-$L$2-$M$2-$N$2+1,8),""),"")))))</f>
        <v>Y</v>
      </c>
      <c r="I30" s="3" t="str">
        <f>IF(ROW()-1&lt;=0,"",IF(ROW()-1&lt;=$L$2,IFERROR(INDEX(MCQ!$A:$K,ROW()-1+1,9),""),IF(ROW()-1&lt;=$L$2+$M$2,IFERROR(INDEX(CLOZE_AB!$A:$K,ROW()-1-$L$2+1,9),""),IF(ROW()-1&lt;=$L$2+$M$2+$N$2,IFERROR(INDEX(CLOZE_LIST!$A:$K,ROW()-1-$L$2-$M$2+1,9),""),IF(ROW()-1&lt;=$L$2+$M$2+$N$2+$O$2,IFERROR(INDEX(PROFORMA!$A:$K,ROW()-1-$L$2-$M$2-$N$2+1,9),""),"")))))</f>
        <v>residency|auto_uk</v>
      </c>
      <c r="J30" s="3" t="str">
        <f>IF(ROW()-1&lt;=0,"",IF(ROW()-1&lt;=$L$2,IFERROR(INDEX(MCQ!$A:$K,ROW()-1+1,10),""),IF(ROW()-1&lt;=$L$2+$M$2,IFERROR(INDEX(CLOZE_AB!$A:$K,ROW()-1-$L$2+1,10),""),IF(ROW()-1&lt;=$L$2+$M$2+$N$2,IFERROR(INDEX(CLOZE_LIST!$A:$K,ROW()-1-$L$2-$M$2+1,10),""),IF(ROW()-1&lt;=$L$2+$M$2+$N$2+$O$2,IFERROR(INDEX(PROFORMA!$A:$K,ROW()-1-$L$2-$M$2-$N$2+1,10),""),"")))))</f>
        <v>notes_user</v>
      </c>
      <c r="K30" s="3">
        <f>IF(ROW()-1&lt;=0,"",IF(ROW()-1&lt;=$L$2,IFERROR(INDEX(MCQ!$A:$K,ROW()-1+1,11),""),IF(ROW()-1&lt;=$L$2+$M$2,IFERROR(INDEX(CLOZE_AB!$A:$K,ROW()-1-$L$2+1,11),""),IF(ROW()-1&lt;=$L$2+$M$2+$N$2,IFERROR(INDEX(CLOZE_LIST!$A:$K,ROW()-1-$L$2-$M$2+1,11),""),IF(ROW()-1&lt;=$L$2+$M$2+$N$2+$O$2,IFERROR(INDEX(PROFORMA!$A:$K,ROW()-1-$L$2-$M$2-$N$2+1,11),""),"")))))</f>
        <v>1</v>
      </c>
      <c r="L30" s="3">
        <f>COUNTA(MCQ!$A:$A)-1</f>
        <v>143</v>
      </c>
      <c r="M30" s="3">
        <f>COUNTA(CLOZE_AB!$A:$A)-1</f>
        <v>168</v>
      </c>
      <c r="N30" s="3">
        <f>COUNTA(CLOZE_LIST!$A:$A)-1</f>
        <v>199</v>
      </c>
      <c r="O30" s="3">
        <f>COUNTA(PROFORMA!$A:$A)-1</f>
        <v>199</v>
      </c>
    </row>
    <row r="31" spans="1:15" ht="28.8" x14ac:dyDescent="0.3">
      <c r="A31" s="3" t="str">
        <f>IF(ROW()-1&lt;=0,"",IF(ROW()-1&lt;=$L$2,IFERROR(INDEX(MCQ!$A:$K,ROW()-1+1,1),""),IF(ROW()-1&lt;=$L$2+$M$2,IFERROR(INDEX(CLOZE_AB!$A:$K,ROW()-1-$L$2+1,1),""),IF(ROW()-1&lt;=$L$2+$M$2+$N$2,IFERROR(INDEX(CLOZE_LIST!$A:$K,ROW()-1-$L$2-$M$2+1,1),""),IF(ROW()-1&lt;=$L$2+$M$2+$N$2+$O$2,IFERROR(INDEX(PROFORMA!$A:$K,ROW()-1-$L$2-$M$2-$N$2+1,1),""),"")))))</f>
        <v>MCQ_CGT_REQ_RESDOM_004</v>
      </c>
      <c r="B31" s="3" t="str">
        <f>IF(ROW()-1&lt;=0,"",IF(ROW()-1&lt;=$L$2,IFERROR(INDEX(MCQ!$A:$K,ROW()-1+1,2),""),IF(ROW()-1&lt;=$L$2+$M$2,IFERROR(INDEX(CLOZE_AB!$A:$K,ROW()-1-$L$2+1,2),""),IF(ROW()-1&lt;=$L$2+$M$2+$N$2,IFERROR(INDEX(CLOZE_LIST!$A:$K,ROW()-1-$L$2-$M$2+1,2),""),IF(ROW()-1&lt;=$L$2+$M$2+$N$2+$O$2,IFERROR(INDEX(PROFORMA!$A:$K,ROW()-1-$L$2-$M$2-$N$2+1,2),""),"")))))</f>
        <v>Capital gains</v>
      </c>
      <c r="C31" s="3" t="str">
        <f>IF(ROW()-1&lt;=0,"",IF(ROW()-1&lt;=$L$2,IFERROR(INDEX(MCQ!$A:$K,ROW()-1+1,3),""),IF(ROW()-1&lt;=$L$2+$M$2,IFERROR(INDEX(CLOZE_AB!$A:$K,ROW()-1-$L$2+1,3),""),IF(ROW()-1&lt;=$L$2+$M$2+$N$2,IFERROR(INDEX(CLOZE_LIST!$A:$K,ROW()-1-$L$2-$M$2+1,3),""),IF(ROW()-1&lt;=$L$2+$M$2+$N$2+$O$2,IFERROR(INDEX(PROFORMA!$A:$K,ROW()-1-$L$2-$M$2-$N$2+1,3),""),"")))))</f>
        <v>requirements</v>
      </c>
      <c r="D31" s="3" t="str">
        <f>IF(ROW()-1&lt;=0,"",IF(ROW()-1&lt;=$L$2,IFERROR(INDEX(MCQ!$A:$K,ROW()-1+1,4),""),IF(ROW()-1&lt;=$L$2+$M$2,IFERROR(INDEX(CLOZE_AB!$A:$K,ROW()-1-$L$2+1,4),""),IF(ROW()-1&lt;=$L$2+$M$2+$N$2,IFERROR(INDEX(CLOZE_LIST!$A:$K,ROW()-1-$L$2-$M$2+1,4),""),IF(ROW()-1&lt;=$L$2+$M$2+$N$2+$O$2,IFERROR(INDEX(PROFORMA!$A:$K,ROW()-1-$L$2-$M$2-$N$2+1,4),""),"")))))</f>
        <v>Residency, domicile and deemed domicile</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3</v>
      </c>
      <c r="G31" s="3" t="str">
        <f>IF(ROW()-1&lt;=0,"",IF(ROW()-1&lt;=$L$2,IFERROR(INDEX(MCQ!$A:$K,ROW()-1+1,7),""),IF(ROW()-1&lt;=$L$2+$M$2,IFERROR(INDEX(CLOZE_AB!$A:$K,ROW()-1-$L$2+1,7),""),IF(ROW()-1&lt;=$L$2+$M$2+$N$2,IFERROR(INDEX(CLOZE_LIST!$A:$K,ROW()-1-$L$2-$M$2+1,7),""),IF(ROW()-1&lt;=$L$2+$M$2+$N$2+$O$2,IFERROR(INDEX(PROFORMA!$A:$K,ROW()-1-$L$2-$M$2-$N$2+1,7),""),"")))))</f>
        <v>core</v>
      </c>
      <c r="H31" s="3" t="str">
        <f>IF(ROW()-1&lt;=0,"",IF(ROW()-1&lt;=$L$2,IFERROR(INDEX(MCQ!$A:$K,ROW()-1+1,8),""),IF(ROW()-1&lt;=$L$2+$M$2,IFERROR(INDEX(CLOZE_AB!$A:$K,ROW()-1-$L$2+1,8),""),IF(ROW()-1&lt;=$L$2+$M$2+$N$2,IFERROR(INDEX(CLOZE_LIST!$A:$K,ROW()-1-$L$2-$M$2+1,8),""),IF(ROW()-1&lt;=$L$2+$M$2+$N$2+$O$2,IFERROR(INDEX(PROFORMA!$A:$K,ROW()-1-$L$2-$M$2-$N$2+1,8),""),"")))))</f>
        <v>Y</v>
      </c>
      <c r="I31" s="3" t="str">
        <f>IF(ROW()-1&lt;=0,"",IF(ROW()-1&lt;=$L$2,IFERROR(INDEX(MCQ!$A:$K,ROW()-1+1,9),""),IF(ROW()-1&lt;=$L$2+$M$2,IFERROR(INDEX(CLOZE_AB!$A:$K,ROW()-1-$L$2+1,9),""),IF(ROW()-1&lt;=$L$2+$M$2+$N$2,IFERROR(INDEX(CLOZE_LIST!$A:$K,ROW()-1-$L$2-$M$2+1,9),""),IF(ROW()-1&lt;=$L$2+$M$2+$N$2+$O$2,IFERROR(INDEX(PROFORMA!$A:$K,ROW()-1-$L$2-$M$2-$N$2+1,9),""),"")))))</f>
        <v>residency|ties</v>
      </c>
      <c r="J31" s="3" t="str">
        <f>IF(ROW()-1&lt;=0,"",IF(ROW()-1&lt;=$L$2,IFERROR(INDEX(MCQ!$A:$K,ROW()-1+1,10),""),IF(ROW()-1&lt;=$L$2+$M$2,IFERROR(INDEX(CLOZE_AB!$A:$K,ROW()-1-$L$2+1,10),""),IF(ROW()-1&lt;=$L$2+$M$2+$N$2,IFERROR(INDEX(CLOZE_LIST!$A:$K,ROW()-1-$L$2-$M$2+1,10),""),IF(ROW()-1&lt;=$L$2+$M$2+$N$2+$O$2,IFERROR(INDEX(PROFORMA!$A:$K,ROW()-1-$L$2-$M$2-$N$2+1,10),""),"")))))</f>
        <v>notes_user</v>
      </c>
      <c r="K31" s="3">
        <f>IF(ROW()-1&lt;=0,"",IF(ROW()-1&lt;=$L$2,IFERROR(INDEX(MCQ!$A:$K,ROW()-1+1,11),""),IF(ROW()-1&lt;=$L$2+$M$2,IFERROR(INDEX(CLOZE_AB!$A:$K,ROW()-1-$L$2+1,11),""),IF(ROW()-1&lt;=$L$2+$M$2+$N$2,IFERROR(INDEX(CLOZE_LIST!$A:$K,ROW()-1-$L$2-$M$2+1,11),""),IF(ROW()-1&lt;=$L$2+$M$2+$N$2+$O$2,IFERROR(INDEX(PROFORMA!$A:$K,ROW()-1-$L$2-$M$2-$N$2+1,11),""),"")))))</f>
        <v>1</v>
      </c>
      <c r="L31" s="3">
        <f>COUNTA(MCQ!$A:$A)-1</f>
        <v>143</v>
      </c>
      <c r="M31" s="3">
        <f>COUNTA(CLOZE_AB!$A:$A)-1</f>
        <v>168</v>
      </c>
      <c r="N31" s="3">
        <f>COUNTA(CLOZE_LIST!$A:$A)-1</f>
        <v>199</v>
      </c>
      <c r="O31" s="3">
        <f>COUNTA(PROFORMA!$A:$A)-1</f>
        <v>199</v>
      </c>
    </row>
    <row r="32" spans="1:15" ht="28.8" x14ac:dyDescent="0.3">
      <c r="A32" s="3" t="str">
        <f>IF(ROW()-1&lt;=0,"",IF(ROW()-1&lt;=$L$2,IFERROR(INDEX(MCQ!$A:$K,ROW()-1+1,1),""),IF(ROW()-1&lt;=$L$2+$M$2,IFERROR(INDEX(CLOZE_AB!$A:$K,ROW()-1-$L$2+1,1),""),IF(ROW()-1&lt;=$L$2+$M$2+$N$2,IFERROR(INDEX(CLOZE_LIST!$A:$K,ROW()-1-$L$2-$M$2+1,1),""),IF(ROW()-1&lt;=$L$2+$M$2+$N$2+$O$2,IFERROR(INDEX(PROFORMA!$A:$K,ROW()-1-$L$2-$M$2-$N$2+1,1),""),"")))))</f>
        <v>MCQ_CGT_DEF_RESDOM_001</v>
      </c>
      <c r="B32" s="3" t="str">
        <f>IF(ROW()-1&lt;=0,"",IF(ROW()-1&lt;=$L$2,IFERROR(INDEX(MCQ!$A:$K,ROW()-1+1,2),""),IF(ROW()-1&lt;=$L$2+$M$2,IFERROR(INDEX(CLOZE_AB!$A:$K,ROW()-1-$L$2+1,2),""),IF(ROW()-1&lt;=$L$2+$M$2+$N$2,IFERROR(INDEX(CLOZE_LIST!$A:$K,ROW()-1-$L$2-$M$2+1,2),""),IF(ROW()-1&lt;=$L$2+$M$2+$N$2+$O$2,IFERROR(INDEX(PROFORMA!$A:$K,ROW()-1-$L$2-$M$2-$N$2+1,2),""),"")))))</f>
        <v>Capital gains</v>
      </c>
      <c r="C32" s="3" t="str">
        <f>IF(ROW()-1&lt;=0,"",IF(ROW()-1&lt;=$L$2,IFERROR(INDEX(MCQ!$A:$K,ROW()-1+1,3),""),IF(ROW()-1&lt;=$L$2+$M$2,IFERROR(INDEX(CLOZE_AB!$A:$K,ROW()-1-$L$2+1,3),""),IF(ROW()-1&lt;=$L$2+$M$2+$N$2,IFERROR(INDEX(CLOZE_LIST!$A:$K,ROW()-1-$L$2-$M$2+1,3),""),IF(ROW()-1&lt;=$L$2+$M$2+$N$2+$O$2,IFERROR(INDEX(PROFORMA!$A:$K,ROW()-1-$L$2-$M$2-$N$2+1,3),""),"")))))</f>
        <v>definitions</v>
      </c>
      <c r="D32" s="3" t="str">
        <f>IF(ROW()-1&lt;=0,"",IF(ROW()-1&lt;=$L$2,IFERROR(INDEX(MCQ!$A:$K,ROW()-1+1,4),""),IF(ROW()-1&lt;=$L$2+$M$2,IFERROR(INDEX(CLOZE_AB!$A:$K,ROW()-1-$L$2+1,4),""),IF(ROW()-1&lt;=$L$2+$M$2+$N$2,IFERROR(INDEX(CLOZE_LIST!$A:$K,ROW()-1-$L$2-$M$2+1,4),""),IF(ROW()-1&lt;=$L$2+$M$2+$N$2+$O$2,IFERROR(INDEX(PROFORMA!$A:$K,ROW()-1-$L$2-$M$2-$N$2+1,4),""),"")))))</f>
        <v>Residency, domicile and deemed domicile</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3</v>
      </c>
      <c r="G32" s="3" t="str">
        <f>IF(ROW()-1&lt;=0,"",IF(ROW()-1&lt;=$L$2,IFERROR(INDEX(MCQ!$A:$K,ROW()-1+1,7),""),IF(ROW()-1&lt;=$L$2+$M$2,IFERROR(INDEX(CLOZE_AB!$A:$K,ROW()-1-$L$2+1,7),""),IF(ROW()-1&lt;=$L$2+$M$2+$N$2,IFERROR(INDEX(CLOZE_LIST!$A:$K,ROW()-1-$L$2-$M$2+1,7),""),IF(ROW()-1&lt;=$L$2+$M$2+$N$2+$O$2,IFERROR(INDEX(PROFORMA!$A:$K,ROW()-1-$L$2-$M$2-$N$2+1,7),""),"")))))</f>
        <v>core</v>
      </c>
      <c r="H32" s="3" t="str">
        <f>IF(ROW()-1&lt;=0,"",IF(ROW()-1&lt;=$L$2,IFERROR(INDEX(MCQ!$A:$K,ROW()-1+1,8),""),IF(ROW()-1&lt;=$L$2+$M$2,IFERROR(INDEX(CLOZE_AB!$A:$K,ROW()-1-$L$2+1,8),""),IF(ROW()-1&lt;=$L$2+$M$2+$N$2,IFERROR(INDEX(CLOZE_LIST!$A:$K,ROW()-1-$L$2-$M$2+1,8),""),IF(ROW()-1&lt;=$L$2+$M$2+$N$2+$O$2,IFERROR(INDEX(PROFORMA!$A:$K,ROW()-1-$L$2-$M$2-$N$2+1,8),""),"")))))</f>
        <v>Y</v>
      </c>
      <c r="I32" s="3" t="str">
        <f>IF(ROW()-1&lt;=0,"",IF(ROW()-1&lt;=$L$2,IFERROR(INDEX(MCQ!$A:$K,ROW()-1+1,9),""),IF(ROW()-1&lt;=$L$2+$M$2,IFERROR(INDEX(CLOZE_AB!$A:$K,ROW()-1-$L$2+1,9),""),IF(ROW()-1&lt;=$L$2+$M$2+$N$2,IFERROR(INDEX(CLOZE_LIST!$A:$K,ROW()-1-$L$2-$M$2+1,9),""),IF(ROW()-1&lt;=$L$2+$M$2+$N$2+$O$2,IFERROR(INDEX(PROFORMA!$A:$K,ROW()-1-$L$2-$M$2-$N$2+1,9),""),"")))))</f>
        <v>domicile|types</v>
      </c>
      <c r="J32" s="3" t="str">
        <f>IF(ROW()-1&lt;=0,"",IF(ROW()-1&lt;=$L$2,IFERROR(INDEX(MCQ!$A:$K,ROW()-1+1,10),""),IF(ROW()-1&lt;=$L$2+$M$2,IFERROR(INDEX(CLOZE_AB!$A:$K,ROW()-1-$L$2+1,10),""),IF(ROW()-1&lt;=$L$2+$M$2+$N$2,IFERROR(INDEX(CLOZE_LIST!$A:$K,ROW()-1-$L$2-$M$2+1,10),""),IF(ROW()-1&lt;=$L$2+$M$2+$N$2+$O$2,IFERROR(INDEX(PROFORMA!$A:$K,ROW()-1-$L$2-$M$2-$N$2+1,10),""),"")))))</f>
        <v>notes_user</v>
      </c>
      <c r="K32" s="3">
        <f>IF(ROW()-1&lt;=0,"",IF(ROW()-1&lt;=$L$2,IFERROR(INDEX(MCQ!$A:$K,ROW()-1+1,11),""),IF(ROW()-1&lt;=$L$2+$M$2,IFERROR(INDEX(CLOZE_AB!$A:$K,ROW()-1-$L$2+1,11),""),IF(ROW()-1&lt;=$L$2+$M$2+$N$2,IFERROR(INDEX(CLOZE_LIST!$A:$K,ROW()-1-$L$2-$M$2+1,11),""),IF(ROW()-1&lt;=$L$2+$M$2+$N$2+$O$2,IFERROR(INDEX(PROFORMA!$A:$K,ROW()-1-$L$2-$M$2-$N$2+1,11),""),"")))))</f>
        <v>1</v>
      </c>
      <c r="L32" s="3">
        <f>COUNTA(MCQ!$A:$A)-1</f>
        <v>143</v>
      </c>
      <c r="M32" s="3">
        <f>COUNTA(CLOZE_AB!$A:$A)-1</f>
        <v>168</v>
      </c>
      <c r="N32" s="3">
        <f>COUNTA(CLOZE_LIST!$A:$A)-1</f>
        <v>199</v>
      </c>
      <c r="O32" s="3">
        <f>COUNTA(PROFORMA!$A:$A)-1</f>
        <v>199</v>
      </c>
    </row>
    <row r="33" spans="1:15" ht="28.8" x14ac:dyDescent="0.3">
      <c r="A33" s="3" t="str">
        <f>IF(ROW()-1&lt;=0,"",IF(ROW()-1&lt;=$L$2,IFERROR(INDEX(MCQ!$A:$K,ROW()-1+1,1),""),IF(ROW()-1&lt;=$L$2+$M$2,IFERROR(INDEX(CLOZE_AB!$A:$K,ROW()-1-$L$2+1,1),""),IF(ROW()-1&lt;=$L$2+$M$2+$N$2,IFERROR(INDEX(CLOZE_LIST!$A:$K,ROW()-1-$L$2-$M$2+1,1),""),IF(ROW()-1&lt;=$L$2+$M$2+$N$2+$O$2,IFERROR(INDEX(PROFORMA!$A:$K,ROW()-1-$L$2-$M$2-$N$2+1,1),""),"")))))</f>
        <v>MCQ_CGT_REQ_RESDOM_005</v>
      </c>
      <c r="B33" s="3" t="str">
        <f>IF(ROW()-1&lt;=0,"",IF(ROW()-1&lt;=$L$2,IFERROR(INDEX(MCQ!$A:$K,ROW()-1+1,2),""),IF(ROW()-1&lt;=$L$2+$M$2,IFERROR(INDEX(CLOZE_AB!$A:$K,ROW()-1-$L$2+1,2),""),IF(ROW()-1&lt;=$L$2+$M$2+$N$2,IFERROR(INDEX(CLOZE_LIST!$A:$K,ROW()-1-$L$2-$M$2+1,2),""),IF(ROW()-1&lt;=$L$2+$M$2+$N$2+$O$2,IFERROR(INDEX(PROFORMA!$A:$K,ROW()-1-$L$2-$M$2-$N$2+1,2),""),"")))))</f>
        <v>Capital gains</v>
      </c>
      <c r="C33" s="3" t="str">
        <f>IF(ROW()-1&lt;=0,"",IF(ROW()-1&lt;=$L$2,IFERROR(INDEX(MCQ!$A:$K,ROW()-1+1,3),""),IF(ROW()-1&lt;=$L$2+$M$2,IFERROR(INDEX(CLOZE_AB!$A:$K,ROW()-1-$L$2+1,3),""),IF(ROW()-1&lt;=$L$2+$M$2+$N$2,IFERROR(INDEX(CLOZE_LIST!$A:$K,ROW()-1-$L$2-$M$2+1,3),""),IF(ROW()-1&lt;=$L$2+$M$2+$N$2+$O$2,IFERROR(INDEX(PROFORMA!$A:$K,ROW()-1-$L$2-$M$2-$N$2+1,3),""),"")))))</f>
        <v>requirements</v>
      </c>
      <c r="D33" s="3" t="str">
        <f>IF(ROW()-1&lt;=0,"",IF(ROW()-1&lt;=$L$2,IFERROR(INDEX(MCQ!$A:$K,ROW()-1+1,4),""),IF(ROW()-1&lt;=$L$2+$M$2,IFERROR(INDEX(CLOZE_AB!$A:$K,ROW()-1-$L$2+1,4),""),IF(ROW()-1&lt;=$L$2+$M$2+$N$2,IFERROR(INDEX(CLOZE_LIST!$A:$K,ROW()-1-$L$2-$M$2+1,4),""),IF(ROW()-1&lt;=$L$2+$M$2+$N$2+$O$2,IFERROR(INDEX(PROFORMA!$A:$K,ROW()-1-$L$2-$M$2-$N$2+1,4),""),"")))))</f>
        <v>Residency, domicile and deemed domicile</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3</v>
      </c>
      <c r="G33" s="3" t="str">
        <f>IF(ROW()-1&lt;=0,"",IF(ROW()-1&lt;=$L$2,IFERROR(INDEX(MCQ!$A:$K,ROW()-1+1,7),""),IF(ROW()-1&lt;=$L$2+$M$2,IFERROR(INDEX(CLOZE_AB!$A:$K,ROW()-1-$L$2+1,7),""),IF(ROW()-1&lt;=$L$2+$M$2+$N$2,IFERROR(INDEX(CLOZE_LIST!$A:$K,ROW()-1-$L$2-$M$2+1,7),""),IF(ROW()-1&lt;=$L$2+$M$2+$N$2+$O$2,IFERROR(INDEX(PROFORMA!$A:$K,ROW()-1-$L$2-$M$2-$N$2+1,7),""),"")))))</f>
        <v>core</v>
      </c>
      <c r="H33" s="3" t="str">
        <f>IF(ROW()-1&lt;=0,"",IF(ROW()-1&lt;=$L$2,IFERROR(INDEX(MCQ!$A:$K,ROW()-1+1,8),""),IF(ROW()-1&lt;=$L$2+$M$2,IFERROR(INDEX(CLOZE_AB!$A:$K,ROW()-1-$L$2+1,8),""),IF(ROW()-1&lt;=$L$2+$M$2+$N$2,IFERROR(INDEX(CLOZE_LIST!$A:$K,ROW()-1-$L$2-$M$2+1,8),""),IF(ROW()-1&lt;=$L$2+$M$2+$N$2+$O$2,IFERROR(INDEX(PROFORMA!$A:$K,ROW()-1-$L$2-$M$2-$N$2+1,8),""),"")))))</f>
        <v>Y</v>
      </c>
      <c r="I33" s="3" t="str">
        <f>IF(ROW()-1&lt;=0,"",IF(ROW()-1&lt;=$L$2,IFERROR(INDEX(MCQ!$A:$K,ROW()-1+1,9),""),IF(ROW()-1&lt;=$L$2+$M$2,IFERROR(INDEX(CLOZE_AB!$A:$K,ROW()-1-$L$2+1,9),""),IF(ROW()-1&lt;=$L$2+$M$2+$N$2,IFERROR(INDEX(CLOZE_LIST!$A:$K,ROW()-1-$L$2-$M$2+1,9),""),IF(ROW()-1&lt;=$L$2+$M$2+$N$2+$O$2,IFERROR(INDEX(PROFORMA!$A:$K,ROW()-1-$L$2-$M$2-$N$2+1,9),""),"")))))</f>
        <v>deemed_domicile|fukdr</v>
      </c>
      <c r="J33" s="3" t="str">
        <f>IF(ROW()-1&lt;=0,"",IF(ROW()-1&lt;=$L$2,IFERROR(INDEX(MCQ!$A:$K,ROW()-1+1,10),""),IF(ROW()-1&lt;=$L$2+$M$2,IFERROR(INDEX(CLOZE_AB!$A:$K,ROW()-1-$L$2+1,10),""),IF(ROW()-1&lt;=$L$2+$M$2+$N$2,IFERROR(INDEX(CLOZE_LIST!$A:$K,ROW()-1-$L$2-$M$2+1,10),""),IF(ROW()-1&lt;=$L$2+$M$2+$N$2+$O$2,IFERROR(INDEX(PROFORMA!$A:$K,ROW()-1-$L$2-$M$2-$N$2+1,10),""),"")))))</f>
        <v>notes_user</v>
      </c>
      <c r="K33" s="3">
        <f>IF(ROW()-1&lt;=0,"",IF(ROW()-1&lt;=$L$2,IFERROR(INDEX(MCQ!$A:$K,ROW()-1+1,11),""),IF(ROW()-1&lt;=$L$2+$M$2,IFERROR(INDEX(CLOZE_AB!$A:$K,ROW()-1-$L$2+1,11),""),IF(ROW()-1&lt;=$L$2+$M$2+$N$2,IFERROR(INDEX(CLOZE_LIST!$A:$K,ROW()-1-$L$2-$M$2+1,11),""),IF(ROW()-1&lt;=$L$2+$M$2+$N$2+$O$2,IFERROR(INDEX(PROFORMA!$A:$K,ROW()-1-$L$2-$M$2-$N$2+1,11),""),"")))))</f>
        <v>1</v>
      </c>
      <c r="L33" s="3">
        <f>COUNTA(MCQ!$A:$A)-1</f>
        <v>143</v>
      </c>
      <c r="M33" s="3">
        <f>COUNTA(CLOZE_AB!$A:$A)-1</f>
        <v>168</v>
      </c>
      <c r="N33" s="3">
        <f>COUNTA(CLOZE_LIST!$A:$A)-1</f>
        <v>199</v>
      </c>
      <c r="O33" s="3">
        <f>COUNTA(PROFORMA!$A:$A)-1</f>
        <v>199</v>
      </c>
    </row>
    <row r="34" spans="1:15" ht="28.8" x14ac:dyDescent="0.3">
      <c r="A34" s="3" t="str">
        <f>IF(ROW()-1&lt;=0,"",IF(ROW()-1&lt;=$L$2,IFERROR(INDEX(MCQ!$A:$K,ROW()-1+1,1),""),IF(ROW()-1&lt;=$L$2+$M$2,IFERROR(INDEX(CLOZE_AB!$A:$K,ROW()-1-$L$2+1,1),""),IF(ROW()-1&lt;=$L$2+$M$2+$N$2,IFERROR(INDEX(CLOZE_LIST!$A:$K,ROW()-1-$L$2-$M$2+1,1),""),IF(ROW()-1&lt;=$L$2+$M$2+$N$2+$O$2,IFERROR(INDEX(PROFORMA!$A:$K,ROW()-1-$L$2-$M$2-$N$2+1,1),""),"")))))</f>
        <v>MCQ_CGT_REQ_RESDOM_006</v>
      </c>
      <c r="B34" s="3" t="str">
        <f>IF(ROW()-1&lt;=0,"",IF(ROW()-1&lt;=$L$2,IFERROR(INDEX(MCQ!$A:$K,ROW()-1+1,2),""),IF(ROW()-1&lt;=$L$2+$M$2,IFERROR(INDEX(CLOZE_AB!$A:$K,ROW()-1-$L$2+1,2),""),IF(ROW()-1&lt;=$L$2+$M$2+$N$2,IFERROR(INDEX(CLOZE_LIST!$A:$K,ROW()-1-$L$2-$M$2+1,2),""),IF(ROW()-1&lt;=$L$2+$M$2+$N$2+$O$2,IFERROR(INDEX(PROFORMA!$A:$K,ROW()-1-$L$2-$M$2-$N$2+1,2),""),"")))))</f>
        <v>Capital gains</v>
      </c>
      <c r="C34" s="3" t="str">
        <f>IF(ROW()-1&lt;=0,"",IF(ROW()-1&lt;=$L$2,IFERROR(INDEX(MCQ!$A:$K,ROW()-1+1,3),""),IF(ROW()-1&lt;=$L$2+$M$2,IFERROR(INDEX(CLOZE_AB!$A:$K,ROW()-1-$L$2+1,3),""),IF(ROW()-1&lt;=$L$2+$M$2+$N$2,IFERROR(INDEX(CLOZE_LIST!$A:$K,ROW()-1-$L$2-$M$2+1,3),""),IF(ROW()-1&lt;=$L$2+$M$2+$N$2+$O$2,IFERROR(INDEX(PROFORMA!$A:$K,ROW()-1-$L$2-$M$2-$N$2+1,3),""),"")))))</f>
        <v>requirements</v>
      </c>
      <c r="D34" s="3" t="str">
        <f>IF(ROW()-1&lt;=0,"",IF(ROW()-1&lt;=$L$2,IFERROR(INDEX(MCQ!$A:$K,ROW()-1+1,4),""),IF(ROW()-1&lt;=$L$2+$M$2,IFERROR(INDEX(CLOZE_AB!$A:$K,ROW()-1-$L$2+1,4),""),IF(ROW()-1&lt;=$L$2+$M$2+$N$2,IFERROR(INDEX(CLOZE_LIST!$A:$K,ROW()-1-$L$2-$M$2+1,4),""),IF(ROW()-1&lt;=$L$2+$M$2+$N$2+$O$2,IFERROR(INDEX(PROFORMA!$A:$K,ROW()-1-$L$2-$M$2-$N$2+1,4),""),"")))))</f>
        <v>Residency, domicile and deemed domicile</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3</v>
      </c>
      <c r="G34" s="3" t="str">
        <f>IF(ROW()-1&lt;=0,"",IF(ROW()-1&lt;=$L$2,IFERROR(INDEX(MCQ!$A:$K,ROW()-1+1,7),""),IF(ROW()-1&lt;=$L$2+$M$2,IFERROR(INDEX(CLOZE_AB!$A:$K,ROW()-1-$L$2+1,7),""),IF(ROW()-1&lt;=$L$2+$M$2+$N$2,IFERROR(INDEX(CLOZE_LIST!$A:$K,ROW()-1-$L$2-$M$2+1,7),""),IF(ROW()-1&lt;=$L$2+$M$2+$N$2+$O$2,IFERROR(INDEX(PROFORMA!$A:$K,ROW()-1-$L$2-$M$2-$N$2+1,7),""),"")))))</f>
        <v>core</v>
      </c>
      <c r="H34" s="3" t="str">
        <f>IF(ROW()-1&lt;=0,"",IF(ROW()-1&lt;=$L$2,IFERROR(INDEX(MCQ!$A:$K,ROW()-1+1,8),""),IF(ROW()-1&lt;=$L$2+$M$2,IFERROR(INDEX(CLOZE_AB!$A:$K,ROW()-1-$L$2+1,8),""),IF(ROW()-1&lt;=$L$2+$M$2+$N$2,IFERROR(INDEX(CLOZE_LIST!$A:$K,ROW()-1-$L$2-$M$2+1,8),""),IF(ROW()-1&lt;=$L$2+$M$2+$N$2+$O$2,IFERROR(INDEX(PROFORMA!$A:$K,ROW()-1-$L$2-$M$2-$N$2+1,8),""),"")))))</f>
        <v>Y</v>
      </c>
      <c r="I34" s="3" t="str">
        <f>IF(ROW()-1&lt;=0,"",IF(ROW()-1&lt;=$L$2,IFERROR(INDEX(MCQ!$A:$K,ROW()-1+1,9),""),IF(ROW()-1&lt;=$L$2+$M$2,IFERROR(INDEX(CLOZE_AB!$A:$K,ROW()-1-$L$2+1,9),""),IF(ROW()-1&lt;=$L$2+$M$2+$N$2,IFERROR(INDEX(CLOZE_LIST!$A:$K,ROW()-1-$L$2-$M$2+1,9),""),IF(ROW()-1&lt;=$L$2+$M$2+$N$2+$O$2,IFERROR(INDEX(PROFORMA!$A:$K,ROW()-1-$L$2-$M$2-$N$2+1,9),""),"")))))</f>
        <v>deemed_domicile|long_term</v>
      </c>
      <c r="J34" s="3" t="str">
        <f>IF(ROW()-1&lt;=0,"",IF(ROW()-1&lt;=$L$2,IFERROR(INDEX(MCQ!$A:$K,ROW()-1+1,10),""),IF(ROW()-1&lt;=$L$2+$M$2,IFERROR(INDEX(CLOZE_AB!$A:$K,ROW()-1-$L$2+1,10),""),IF(ROW()-1&lt;=$L$2+$M$2+$N$2,IFERROR(INDEX(CLOZE_LIST!$A:$K,ROW()-1-$L$2-$M$2+1,10),""),IF(ROW()-1&lt;=$L$2+$M$2+$N$2+$O$2,IFERROR(INDEX(PROFORMA!$A:$K,ROW()-1-$L$2-$M$2-$N$2+1,10),""),"")))))</f>
        <v>notes_user</v>
      </c>
      <c r="K34" s="3">
        <f>IF(ROW()-1&lt;=0,"",IF(ROW()-1&lt;=$L$2,IFERROR(INDEX(MCQ!$A:$K,ROW()-1+1,11),""),IF(ROW()-1&lt;=$L$2+$M$2,IFERROR(INDEX(CLOZE_AB!$A:$K,ROW()-1-$L$2+1,11),""),IF(ROW()-1&lt;=$L$2+$M$2+$N$2,IFERROR(INDEX(CLOZE_LIST!$A:$K,ROW()-1-$L$2-$M$2+1,11),""),IF(ROW()-1&lt;=$L$2+$M$2+$N$2+$O$2,IFERROR(INDEX(PROFORMA!$A:$K,ROW()-1-$L$2-$M$2-$N$2+1,11),""),"")))))</f>
        <v>1</v>
      </c>
      <c r="L34" s="3">
        <f>COUNTA(MCQ!$A:$A)-1</f>
        <v>143</v>
      </c>
      <c r="M34" s="3">
        <f>COUNTA(CLOZE_AB!$A:$A)-1</f>
        <v>168</v>
      </c>
      <c r="N34" s="3">
        <f>COUNTA(CLOZE_LIST!$A:$A)-1</f>
        <v>199</v>
      </c>
      <c r="O34" s="3">
        <f>COUNTA(PROFORMA!$A:$A)-1</f>
        <v>199</v>
      </c>
    </row>
    <row r="35" spans="1:15" ht="28.8" x14ac:dyDescent="0.3">
      <c r="A35" s="3" t="str">
        <f>IF(ROW()-1&lt;=0,"",IF(ROW()-1&lt;=$L$2,IFERROR(INDEX(MCQ!$A:$K,ROW()-1+1,1),""),IF(ROW()-1&lt;=$L$2+$M$2,IFERROR(INDEX(CLOZE_AB!$A:$K,ROW()-1-$L$2+1,1),""),IF(ROW()-1&lt;=$L$2+$M$2+$N$2,IFERROR(INDEX(CLOZE_LIST!$A:$K,ROW()-1-$L$2-$M$2+1,1),""),IF(ROW()-1&lt;=$L$2+$M$2+$N$2+$O$2,IFERROR(INDEX(PROFORMA!$A:$K,ROW()-1-$L$2-$M$2-$N$2+1,1),""),"")))))</f>
        <v>MCQ_CGT_REQ_RESDOM_007</v>
      </c>
      <c r="B35" s="3" t="str">
        <f>IF(ROW()-1&lt;=0,"",IF(ROW()-1&lt;=$L$2,IFERROR(INDEX(MCQ!$A:$K,ROW()-1+1,2),""),IF(ROW()-1&lt;=$L$2+$M$2,IFERROR(INDEX(CLOZE_AB!$A:$K,ROW()-1-$L$2+1,2),""),IF(ROW()-1&lt;=$L$2+$M$2+$N$2,IFERROR(INDEX(CLOZE_LIST!$A:$K,ROW()-1-$L$2-$M$2+1,2),""),IF(ROW()-1&lt;=$L$2+$M$2+$N$2+$O$2,IFERROR(INDEX(PROFORMA!$A:$K,ROW()-1-$L$2-$M$2-$N$2+1,2),""),"")))))</f>
        <v>Capital gains</v>
      </c>
      <c r="C35" s="3" t="str">
        <f>IF(ROW()-1&lt;=0,"",IF(ROW()-1&lt;=$L$2,IFERROR(INDEX(MCQ!$A:$K,ROW()-1+1,3),""),IF(ROW()-1&lt;=$L$2+$M$2,IFERROR(INDEX(CLOZE_AB!$A:$K,ROW()-1-$L$2+1,3),""),IF(ROW()-1&lt;=$L$2+$M$2+$N$2,IFERROR(INDEX(CLOZE_LIST!$A:$K,ROW()-1-$L$2-$M$2+1,3),""),IF(ROW()-1&lt;=$L$2+$M$2+$N$2+$O$2,IFERROR(INDEX(PROFORMA!$A:$K,ROW()-1-$L$2-$M$2-$N$2+1,3),""),"")))))</f>
        <v>requirements</v>
      </c>
      <c r="D35" s="3" t="str">
        <f>IF(ROW()-1&lt;=0,"",IF(ROW()-1&lt;=$L$2,IFERROR(INDEX(MCQ!$A:$K,ROW()-1+1,4),""),IF(ROW()-1&lt;=$L$2+$M$2,IFERROR(INDEX(CLOZE_AB!$A:$K,ROW()-1-$L$2+1,4),""),IF(ROW()-1&lt;=$L$2+$M$2+$N$2,IFERROR(INDEX(CLOZE_LIST!$A:$K,ROW()-1-$L$2-$M$2+1,4),""),IF(ROW()-1&lt;=$L$2+$M$2+$N$2+$O$2,IFERROR(INDEX(PROFORMA!$A:$K,ROW()-1-$L$2-$M$2-$N$2+1,4),""),"")))))</f>
        <v>Residency, domicile and deemed domicile</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3</v>
      </c>
      <c r="G35" s="3" t="str">
        <f>IF(ROW()-1&lt;=0,"",IF(ROW()-1&lt;=$L$2,IFERROR(INDEX(MCQ!$A:$K,ROW()-1+1,7),""),IF(ROW()-1&lt;=$L$2+$M$2,IFERROR(INDEX(CLOZE_AB!$A:$K,ROW()-1-$L$2+1,7),""),IF(ROW()-1&lt;=$L$2+$M$2+$N$2,IFERROR(INDEX(CLOZE_LIST!$A:$K,ROW()-1-$L$2-$M$2+1,7),""),IF(ROW()-1&lt;=$L$2+$M$2+$N$2+$O$2,IFERROR(INDEX(PROFORMA!$A:$K,ROW()-1-$L$2-$M$2-$N$2+1,7),""),"")))))</f>
        <v>core</v>
      </c>
      <c r="H35" s="3" t="str">
        <f>IF(ROW()-1&lt;=0,"",IF(ROW()-1&lt;=$L$2,IFERROR(INDEX(MCQ!$A:$K,ROW()-1+1,8),""),IF(ROW()-1&lt;=$L$2+$M$2,IFERROR(INDEX(CLOZE_AB!$A:$K,ROW()-1-$L$2+1,8),""),IF(ROW()-1&lt;=$L$2+$M$2+$N$2,IFERROR(INDEX(CLOZE_LIST!$A:$K,ROW()-1-$L$2-$M$2+1,8),""),IF(ROW()-1&lt;=$L$2+$M$2+$N$2+$O$2,IFERROR(INDEX(PROFORMA!$A:$K,ROW()-1-$L$2-$M$2-$N$2+1,8),""),"")))))</f>
        <v>Y</v>
      </c>
      <c r="I35" s="3" t="str">
        <f>IF(ROW()-1&lt;=0,"",IF(ROW()-1&lt;=$L$2,IFERROR(INDEX(MCQ!$A:$K,ROW()-1+1,9),""),IF(ROW()-1&lt;=$L$2+$M$2,IFERROR(INDEX(CLOZE_AB!$A:$K,ROW()-1-$L$2+1,9),""),IF(ROW()-1&lt;=$L$2+$M$2+$N$2,IFERROR(INDEX(CLOZE_LIST!$A:$K,ROW()-1-$L$2-$M$2+1,9),""),IF(ROW()-1&lt;=$L$2+$M$2+$N$2+$O$2,IFERROR(INDEX(PROFORMA!$A:$K,ROW()-1-$L$2-$M$2-$N$2+1,9),""),"")))))</f>
        <v>deemed_domicile|april2017</v>
      </c>
      <c r="J35" s="3" t="str">
        <f>IF(ROW()-1&lt;=0,"",IF(ROW()-1&lt;=$L$2,IFERROR(INDEX(MCQ!$A:$K,ROW()-1+1,10),""),IF(ROW()-1&lt;=$L$2+$M$2,IFERROR(INDEX(CLOZE_AB!$A:$K,ROW()-1-$L$2+1,10),""),IF(ROW()-1&lt;=$L$2+$M$2+$N$2,IFERROR(INDEX(CLOZE_LIST!$A:$K,ROW()-1-$L$2-$M$2+1,10),""),IF(ROW()-1&lt;=$L$2+$M$2+$N$2+$O$2,IFERROR(INDEX(PROFORMA!$A:$K,ROW()-1-$L$2-$M$2-$N$2+1,10),""),"")))))</f>
        <v>notes_user</v>
      </c>
      <c r="K35" s="3">
        <f>IF(ROW()-1&lt;=0,"",IF(ROW()-1&lt;=$L$2,IFERROR(INDEX(MCQ!$A:$K,ROW()-1+1,11),""),IF(ROW()-1&lt;=$L$2+$M$2,IFERROR(INDEX(CLOZE_AB!$A:$K,ROW()-1-$L$2+1,11),""),IF(ROW()-1&lt;=$L$2+$M$2+$N$2,IFERROR(INDEX(CLOZE_LIST!$A:$K,ROW()-1-$L$2-$M$2+1,11),""),IF(ROW()-1&lt;=$L$2+$M$2+$N$2+$O$2,IFERROR(INDEX(PROFORMA!$A:$K,ROW()-1-$L$2-$M$2-$N$2+1,11),""),"")))))</f>
        <v>1</v>
      </c>
      <c r="L35" s="3">
        <f>COUNTA(MCQ!$A:$A)-1</f>
        <v>143</v>
      </c>
      <c r="M35" s="3">
        <f>COUNTA(CLOZE_AB!$A:$A)-1</f>
        <v>168</v>
      </c>
      <c r="N35" s="3">
        <f>COUNTA(CLOZE_LIST!$A:$A)-1</f>
        <v>199</v>
      </c>
      <c r="O35" s="3">
        <f>COUNTA(PROFORMA!$A:$A)-1</f>
        <v>199</v>
      </c>
    </row>
    <row r="36" spans="1:15" ht="28.8" x14ac:dyDescent="0.3">
      <c r="A36" s="3" t="str">
        <f>IF(ROW()-1&lt;=0,"",IF(ROW()-1&lt;=$L$2,IFERROR(INDEX(MCQ!$A:$K,ROW()-1+1,1),""),IF(ROW()-1&lt;=$L$2+$M$2,IFERROR(INDEX(CLOZE_AB!$A:$K,ROW()-1-$L$2+1,1),""),IF(ROW()-1&lt;=$L$2+$M$2+$N$2,IFERROR(INDEX(CLOZE_LIST!$A:$K,ROW()-1-$L$2-$M$2+1,1),""),IF(ROW()-1&lt;=$L$2+$M$2+$N$2+$O$2,IFERROR(INDEX(PROFORMA!$A:$K,ROW()-1-$L$2-$M$2-$N$2+1,1),""),"")))))</f>
        <v>MCQ_CGT_P_SPLITYR_001</v>
      </c>
      <c r="B36" s="3" t="str">
        <f>IF(ROW()-1&lt;=0,"",IF(ROW()-1&lt;=$L$2,IFERROR(INDEX(MCQ!$A:$K,ROW()-1+1,2),""),IF(ROW()-1&lt;=$L$2+$M$2,IFERROR(INDEX(CLOZE_AB!$A:$K,ROW()-1-$L$2+1,2),""),IF(ROW()-1&lt;=$L$2+$M$2+$N$2,IFERROR(INDEX(CLOZE_LIST!$A:$K,ROW()-1-$L$2-$M$2+1,2),""),IF(ROW()-1&lt;=$L$2+$M$2+$N$2+$O$2,IFERROR(INDEX(PROFORMA!$A:$K,ROW()-1-$L$2-$M$2-$N$2+1,2),""),"")))))</f>
        <v>Capital gains</v>
      </c>
      <c r="C36" s="3" t="str">
        <f>IF(ROW()-1&lt;=0,"",IF(ROW()-1&lt;=$L$2,IFERROR(INDEX(MCQ!$A:$K,ROW()-1+1,3),""),IF(ROW()-1&lt;=$L$2+$M$2,IFERROR(INDEX(CLOZE_AB!$A:$K,ROW()-1-$L$2+1,3),""),IF(ROW()-1&lt;=$L$2+$M$2+$N$2,IFERROR(INDEX(CLOZE_LIST!$A:$K,ROW()-1-$L$2-$M$2+1,3),""),IF(ROW()-1&lt;=$L$2+$M$2+$N$2+$O$2,IFERROR(INDEX(PROFORMA!$A:$K,ROW()-1-$L$2-$M$2-$N$2+1,3),""),"")))))</f>
        <v>planning</v>
      </c>
      <c r="D36" s="3" t="str">
        <f>IF(ROW()-1&lt;=0,"",IF(ROW()-1&lt;=$L$2,IFERROR(INDEX(MCQ!$A:$K,ROW()-1+1,4),""),IF(ROW()-1&lt;=$L$2+$M$2,IFERROR(INDEX(CLOZE_AB!$A:$K,ROW()-1-$L$2+1,4),""),IF(ROW()-1&lt;=$L$2+$M$2+$N$2,IFERROR(INDEX(CLOZE_LIST!$A:$K,ROW()-1-$L$2-$M$2+1,4),""),IF(ROW()-1&lt;=$L$2+$M$2+$N$2+$O$2,IFERROR(INDEX(PROFORMA!$A:$K,ROW()-1-$L$2-$M$2-$N$2+1,4),""),"")))))</f>
        <v>Split-year treatment</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3</v>
      </c>
      <c r="G36" s="3" t="str">
        <f>IF(ROW()-1&lt;=0,"",IF(ROW()-1&lt;=$L$2,IFERROR(INDEX(MCQ!$A:$K,ROW()-1+1,7),""),IF(ROW()-1&lt;=$L$2+$M$2,IFERROR(INDEX(CLOZE_AB!$A:$K,ROW()-1-$L$2+1,7),""),IF(ROW()-1&lt;=$L$2+$M$2+$N$2,IFERROR(INDEX(CLOZE_LIST!$A:$K,ROW()-1-$L$2-$M$2+1,7),""),IF(ROW()-1&lt;=$L$2+$M$2+$N$2+$O$2,IFERROR(INDEX(PROFORMA!$A:$K,ROW()-1-$L$2-$M$2-$N$2+1,7),""),"")))))</f>
        <v>core</v>
      </c>
      <c r="H36" s="3" t="str">
        <f>IF(ROW()-1&lt;=0,"",IF(ROW()-1&lt;=$L$2,IFERROR(INDEX(MCQ!$A:$K,ROW()-1+1,8),""),IF(ROW()-1&lt;=$L$2+$M$2,IFERROR(INDEX(CLOZE_AB!$A:$K,ROW()-1-$L$2+1,8),""),IF(ROW()-1&lt;=$L$2+$M$2+$N$2,IFERROR(INDEX(CLOZE_LIST!$A:$K,ROW()-1-$L$2-$M$2+1,8),""),IF(ROW()-1&lt;=$L$2+$M$2+$N$2+$O$2,IFERROR(INDEX(PROFORMA!$A:$K,ROW()-1-$L$2-$M$2-$N$2+1,8),""),"")))))</f>
        <v>Y</v>
      </c>
      <c r="I36" s="3" t="str">
        <f>IF(ROW()-1&lt;=0,"",IF(ROW()-1&lt;=$L$2,IFERROR(INDEX(MCQ!$A:$K,ROW()-1+1,9),""),IF(ROW()-1&lt;=$L$2+$M$2,IFERROR(INDEX(CLOZE_AB!$A:$K,ROW()-1-$L$2+1,9),""),IF(ROW()-1&lt;=$L$2+$M$2+$N$2,IFERROR(INDEX(CLOZE_LIST!$A:$K,ROW()-1-$L$2-$M$2+1,9),""),IF(ROW()-1&lt;=$L$2+$M$2+$N$2+$O$2,IFERROR(INDEX(PROFORMA!$A:$K,ROW()-1-$L$2-$M$2-$N$2+1,9),""),"")))))</f>
        <v>split_year|overview</v>
      </c>
      <c r="J36" s="3" t="str">
        <f>IF(ROW()-1&lt;=0,"",IF(ROW()-1&lt;=$L$2,IFERROR(INDEX(MCQ!$A:$K,ROW()-1+1,10),""),IF(ROW()-1&lt;=$L$2+$M$2,IFERROR(INDEX(CLOZE_AB!$A:$K,ROW()-1-$L$2+1,10),""),IF(ROW()-1&lt;=$L$2+$M$2+$N$2,IFERROR(INDEX(CLOZE_LIST!$A:$K,ROW()-1-$L$2-$M$2+1,10),""),IF(ROW()-1&lt;=$L$2+$M$2+$N$2+$O$2,IFERROR(INDEX(PROFORMA!$A:$K,ROW()-1-$L$2-$M$2-$N$2+1,10),""),"")))))</f>
        <v>notes_user</v>
      </c>
      <c r="K36" s="3">
        <f>IF(ROW()-1&lt;=0,"",IF(ROW()-1&lt;=$L$2,IFERROR(INDEX(MCQ!$A:$K,ROW()-1+1,11),""),IF(ROW()-1&lt;=$L$2+$M$2,IFERROR(INDEX(CLOZE_AB!$A:$K,ROW()-1-$L$2+1,11),""),IF(ROW()-1&lt;=$L$2+$M$2+$N$2,IFERROR(INDEX(CLOZE_LIST!$A:$K,ROW()-1-$L$2-$M$2+1,11),""),IF(ROW()-1&lt;=$L$2+$M$2+$N$2+$O$2,IFERROR(INDEX(PROFORMA!$A:$K,ROW()-1-$L$2-$M$2-$N$2+1,11),""),"")))))</f>
        <v>1</v>
      </c>
      <c r="L36" s="3">
        <f>COUNTA(MCQ!$A:$A)-1</f>
        <v>143</v>
      </c>
      <c r="M36" s="3">
        <f>COUNTA(CLOZE_AB!$A:$A)-1</f>
        <v>168</v>
      </c>
      <c r="N36" s="3">
        <f>COUNTA(CLOZE_LIST!$A:$A)-1</f>
        <v>199</v>
      </c>
      <c r="O36" s="3">
        <f>COUNTA(PROFORMA!$A:$A)-1</f>
        <v>199</v>
      </c>
    </row>
    <row r="37" spans="1:15" ht="28.8" x14ac:dyDescent="0.3">
      <c r="A37" s="3" t="str">
        <f>IF(ROW()-1&lt;=0,"",IF(ROW()-1&lt;=$L$2,IFERROR(INDEX(MCQ!$A:$K,ROW()-1+1,1),""),IF(ROW()-1&lt;=$L$2+$M$2,IFERROR(INDEX(CLOZE_AB!$A:$K,ROW()-1-$L$2+1,1),""),IF(ROW()-1&lt;=$L$2+$M$2+$N$2,IFERROR(INDEX(CLOZE_LIST!$A:$K,ROW()-1-$L$2-$M$2+1,1),""),IF(ROW()-1&lt;=$L$2+$M$2+$N$2+$O$2,IFERROR(INDEX(PROFORMA!$A:$K,ROW()-1-$L$2-$M$2-$N$2+1,1),""),"")))))</f>
        <v>MCQ_CGT_P_SPLITYR_002</v>
      </c>
      <c r="B37" s="3" t="str">
        <f>IF(ROW()-1&lt;=0,"",IF(ROW()-1&lt;=$L$2,IFERROR(INDEX(MCQ!$A:$K,ROW()-1+1,2),""),IF(ROW()-1&lt;=$L$2+$M$2,IFERROR(INDEX(CLOZE_AB!$A:$K,ROW()-1-$L$2+1,2),""),IF(ROW()-1&lt;=$L$2+$M$2+$N$2,IFERROR(INDEX(CLOZE_LIST!$A:$K,ROW()-1-$L$2-$M$2+1,2),""),IF(ROW()-1&lt;=$L$2+$M$2+$N$2+$O$2,IFERROR(INDEX(PROFORMA!$A:$K,ROW()-1-$L$2-$M$2-$N$2+1,2),""),"")))))</f>
        <v>Capital gains</v>
      </c>
      <c r="C37" s="3" t="str">
        <f>IF(ROW()-1&lt;=0,"",IF(ROW()-1&lt;=$L$2,IFERROR(INDEX(MCQ!$A:$K,ROW()-1+1,3),""),IF(ROW()-1&lt;=$L$2+$M$2,IFERROR(INDEX(CLOZE_AB!$A:$K,ROW()-1-$L$2+1,3),""),IF(ROW()-1&lt;=$L$2+$M$2+$N$2,IFERROR(INDEX(CLOZE_LIST!$A:$K,ROW()-1-$L$2-$M$2+1,3),""),IF(ROW()-1&lt;=$L$2+$M$2+$N$2+$O$2,IFERROR(INDEX(PROFORMA!$A:$K,ROW()-1-$L$2-$M$2-$N$2+1,3),""),"")))))</f>
        <v>planning</v>
      </c>
      <c r="D37" s="3" t="str">
        <f>IF(ROW()-1&lt;=0,"",IF(ROW()-1&lt;=$L$2,IFERROR(INDEX(MCQ!$A:$K,ROW()-1+1,4),""),IF(ROW()-1&lt;=$L$2+$M$2,IFERROR(INDEX(CLOZE_AB!$A:$K,ROW()-1-$L$2+1,4),""),IF(ROW()-1&lt;=$L$2+$M$2+$N$2,IFERROR(INDEX(CLOZE_LIST!$A:$K,ROW()-1-$L$2-$M$2+1,4),""),IF(ROW()-1&lt;=$L$2+$M$2+$N$2+$O$2,IFERROR(INDEX(PROFORMA!$A:$K,ROW()-1-$L$2-$M$2-$N$2+1,4),""),"")))))</f>
        <v>Split-year treatment</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3</v>
      </c>
      <c r="G37" s="3" t="str">
        <f>IF(ROW()-1&lt;=0,"",IF(ROW()-1&lt;=$L$2,IFERROR(INDEX(MCQ!$A:$K,ROW()-1+1,7),""),IF(ROW()-1&lt;=$L$2+$M$2,IFERROR(INDEX(CLOZE_AB!$A:$K,ROW()-1-$L$2+1,7),""),IF(ROW()-1&lt;=$L$2+$M$2+$N$2,IFERROR(INDEX(CLOZE_LIST!$A:$K,ROW()-1-$L$2-$M$2+1,7),""),IF(ROW()-1&lt;=$L$2+$M$2+$N$2+$O$2,IFERROR(INDEX(PROFORMA!$A:$K,ROW()-1-$L$2-$M$2-$N$2+1,7),""),"")))))</f>
        <v>core</v>
      </c>
      <c r="H37" s="3" t="str">
        <f>IF(ROW()-1&lt;=0,"",IF(ROW()-1&lt;=$L$2,IFERROR(INDEX(MCQ!$A:$K,ROW()-1+1,8),""),IF(ROW()-1&lt;=$L$2+$M$2,IFERROR(INDEX(CLOZE_AB!$A:$K,ROW()-1-$L$2+1,8),""),IF(ROW()-1&lt;=$L$2+$M$2+$N$2,IFERROR(INDEX(CLOZE_LIST!$A:$K,ROW()-1-$L$2-$M$2+1,8),""),IF(ROW()-1&lt;=$L$2+$M$2+$N$2+$O$2,IFERROR(INDEX(PROFORMA!$A:$K,ROW()-1-$L$2-$M$2-$N$2+1,8),""),"")))))</f>
        <v>Y</v>
      </c>
      <c r="I37" s="3" t="str">
        <f>IF(ROW()-1&lt;=0,"",IF(ROW()-1&lt;=$L$2,IFERROR(INDEX(MCQ!$A:$K,ROW()-1+1,9),""),IF(ROW()-1&lt;=$L$2+$M$2,IFERROR(INDEX(CLOZE_AB!$A:$K,ROW()-1-$L$2+1,9),""),IF(ROW()-1&lt;=$L$2+$M$2+$N$2,IFERROR(INDEX(CLOZE_LIST!$A:$K,ROW()-1-$L$2-$M$2+1,9),""),IF(ROW()-1&lt;=$L$2+$M$2+$N$2+$O$2,IFERROR(INDEX(PROFORMA!$A:$K,ROW()-1-$L$2-$M$2-$N$2+1,9),""),"")))))</f>
        <v>split_year|leaving</v>
      </c>
      <c r="J37" s="3" t="str">
        <f>IF(ROW()-1&lt;=0,"",IF(ROW()-1&lt;=$L$2,IFERROR(INDEX(MCQ!$A:$K,ROW()-1+1,10),""),IF(ROW()-1&lt;=$L$2+$M$2,IFERROR(INDEX(CLOZE_AB!$A:$K,ROW()-1-$L$2+1,10),""),IF(ROW()-1&lt;=$L$2+$M$2+$N$2,IFERROR(INDEX(CLOZE_LIST!$A:$K,ROW()-1-$L$2-$M$2+1,10),""),IF(ROW()-1&lt;=$L$2+$M$2+$N$2+$O$2,IFERROR(INDEX(PROFORMA!$A:$K,ROW()-1-$L$2-$M$2-$N$2+1,10),""),"")))))</f>
        <v>notes_user</v>
      </c>
      <c r="K37" s="3">
        <f>IF(ROW()-1&lt;=0,"",IF(ROW()-1&lt;=$L$2,IFERROR(INDEX(MCQ!$A:$K,ROW()-1+1,11),""),IF(ROW()-1&lt;=$L$2+$M$2,IFERROR(INDEX(CLOZE_AB!$A:$K,ROW()-1-$L$2+1,11),""),IF(ROW()-1&lt;=$L$2+$M$2+$N$2,IFERROR(INDEX(CLOZE_LIST!$A:$K,ROW()-1-$L$2-$M$2+1,11),""),IF(ROW()-1&lt;=$L$2+$M$2+$N$2+$O$2,IFERROR(INDEX(PROFORMA!$A:$K,ROW()-1-$L$2-$M$2-$N$2+1,11),""),"")))))</f>
        <v>1</v>
      </c>
      <c r="L37" s="3">
        <f>COUNTA(MCQ!$A:$A)-1</f>
        <v>143</v>
      </c>
      <c r="M37" s="3">
        <f>COUNTA(CLOZE_AB!$A:$A)-1</f>
        <v>168</v>
      </c>
      <c r="N37" s="3">
        <f>COUNTA(CLOZE_LIST!$A:$A)-1</f>
        <v>199</v>
      </c>
      <c r="O37" s="3">
        <f>COUNTA(PROFORMA!$A:$A)-1</f>
        <v>199</v>
      </c>
    </row>
    <row r="38" spans="1:15" ht="28.8" x14ac:dyDescent="0.3">
      <c r="A38" s="3" t="str">
        <f>IF(ROW()-1&lt;=0,"",IF(ROW()-1&lt;=$L$2,IFERROR(INDEX(MCQ!$A:$K,ROW()-1+1,1),""),IF(ROW()-1&lt;=$L$2+$M$2,IFERROR(INDEX(CLOZE_AB!$A:$K,ROW()-1-$L$2+1,1),""),IF(ROW()-1&lt;=$L$2+$M$2+$N$2,IFERROR(INDEX(CLOZE_LIST!$A:$K,ROW()-1-$L$2-$M$2+1,1),""),IF(ROW()-1&lt;=$L$2+$M$2+$N$2+$O$2,IFERROR(INDEX(PROFORMA!$A:$K,ROW()-1-$L$2-$M$2-$N$2+1,1),""),"")))))</f>
        <v>MCQ_CGT_P_SPLITYR_003</v>
      </c>
      <c r="B38" s="3" t="str">
        <f>IF(ROW()-1&lt;=0,"",IF(ROW()-1&lt;=$L$2,IFERROR(INDEX(MCQ!$A:$K,ROW()-1+1,2),""),IF(ROW()-1&lt;=$L$2+$M$2,IFERROR(INDEX(CLOZE_AB!$A:$K,ROW()-1-$L$2+1,2),""),IF(ROW()-1&lt;=$L$2+$M$2+$N$2,IFERROR(INDEX(CLOZE_LIST!$A:$K,ROW()-1-$L$2-$M$2+1,2),""),IF(ROW()-1&lt;=$L$2+$M$2+$N$2+$O$2,IFERROR(INDEX(PROFORMA!$A:$K,ROW()-1-$L$2-$M$2-$N$2+1,2),""),"")))))</f>
        <v>Capital gains</v>
      </c>
      <c r="C38" s="3" t="str">
        <f>IF(ROW()-1&lt;=0,"",IF(ROW()-1&lt;=$L$2,IFERROR(INDEX(MCQ!$A:$K,ROW()-1+1,3),""),IF(ROW()-1&lt;=$L$2+$M$2,IFERROR(INDEX(CLOZE_AB!$A:$K,ROW()-1-$L$2+1,3),""),IF(ROW()-1&lt;=$L$2+$M$2+$N$2,IFERROR(INDEX(CLOZE_LIST!$A:$K,ROW()-1-$L$2-$M$2+1,3),""),IF(ROW()-1&lt;=$L$2+$M$2+$N$2+$O$2,IFERROR(INDEX(PROFORMA!$A:$K,ROW()-1-$L$2-$M$2-$N$2+1,3),""),"")))))</f>
        <v>planning</v>
      </c>
      <c r="D38" s="3" t="str">
        <f>IF(ROW()-1&lt;=0,"",IF(ROW()-1&lt;=$L$2,IFERROR(INDEX(MCQ!$A:$K,ROW()-1+1,4),""),IF(ROW()-1&lt;=$L$2+$M$2,IFERROR(INDEX(CLOZE_AB!$A:$K,ROW()-1-$L$2+1,4),""),IF(ROW()-1&lt;=$L$2+$M$2+$N$2,IFERROR(INDEX(CLOZE_LIST!$A:$K,ROW()-1-$L$2-$M$2+1,4),""),IF(ROW()-1&lt;=$L$2+$M$2+$N$2+$O$2,IFERROR(INDEX(PROFORMA!$A:$K,ROW()-1-$L$2-$M$2-$N$2+1,4),""),"")))))</f>
        <v>Split-year treatment</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3</v>
      </c>
      <c r="G38" s="3" t="str">
        <f>IF(ROW()-1&lt;=0,"",IF(ROW()-1&lt;=$L$2,IFERROR(INDEX(MCQ!$A:$K,ROW()-1+1,7),""),IF(ROW()-1&lt;=$L$2+$M$2,IFERROR(INDEX(CLOZE_AB!$A:$K,ROW()-1-$L$2+1,7),""),IF(ROW()-1&lt;=$L$2+$M$2+$N$2,IFERROR(INDEX(CLOZE_LIST!$A:$K,ROW()-1-$L$2-$M$2+1,7),""),IF(ROW()-1&lt;=$L$2+$M$2+$N$2+$O$2,IFERROR(INDEX(PROFORMA!$A:$K,ROW()-1-$L$2-$M$2-$N$2+1,7),""),"")))))</f>
        <v>core</v>
      </c>
      <c r="H38" s="3" t="str">
        <f>IF(ROW()-1&lt;=0,"",IF(ROW()-1&lt;=$L$2,IFERROR(INDEX(MCQ!$A:$K,ROW()-1+1,8),""),IF(ROW()-1&lt;=$L$2+$M$2,IFERROR(INDEX(CLOZE_AB!$A:$K,ROW()-1-$L$2+1,8),""),IF(ROW()-1&lt;=$L$2+$M$2+$N$2,IFERROR(INDEX(CLOZE_LIST!$A:$K,ROW()-1-$L$2-$M$2+1,8),""),IF(ROW()-1&lt;=$L$2+$M$2+$N$2+$O$2,IFERROR(INDEX(PROFORMA!$A:$K,ROW()-1-$L$2-$M$2-$N$2+1,8),""),"")))))</f>
        <v>Y</v>
      </c>
      <c r="I38" s="3" t="str">
        <f>IF(ROW()-1&lt;=0,"",IF(ROW()-1&lt;=$L$2,IFERROR(INDEX(MCQ!$A:$K,ROW()-1+1,9),""),IF(ROW()-1&lt;=$L$2+$M$2,IFERROR(INDEX(CLOZE_AB!$A:$K,ROW()-1-$L$2+1,9),""),IF(ROW()-1&lt;=$L$2+$M$2+$N$2,IFERROR(INDEX(CLOZE_LIST!$A:$K,ROW()-1-$L$2-$M$2+1,9),""),IF(ROW()-1&lt;=$L$2+$M$2+$N$2+$O$2,IFERROR(INDEX(PROFORMA!$A:$K,ROW()-1-$L$2-$M$2-$N$2+1,9),""),"")))))</f>
        <v>split_year|leaving_spouse</v>
      </c>
      <c r="J38" s="3" t="str">
        <f>IF(ROW()-1&lt;=0,"",IF(ROW()-1&lt;=$L$2,IFERROR(INDEX(MCQ!$A:$K,ROW()-1+1,10),""),IF(ROW()-1&lt;=$L$2+$M$2,IFERROR(INDEX(CLOZE_AB!$A:$K,ROW()-1-$L$2+1,10),""),IF(ROW()-1&lt;=$L$2+$M$2+$N$2,IFERROR(INDEX(CLOZE_LIST!$A:$K,ROW()-1-$L$2-$M$2+1,10),""),IF(ROW()-1&lt;=$L$2+$M$2+$N$2+$O$2,IFERROR(INDEX(PROFORMA!$A:$K,ROW()-1-$L$2-$M$2-$N$2+1,10),""),"")))))</f>
        <v>notes_user</v>
      </c>
      <c r="K38" s="3">
        <f>IF(ROW()-1&lt;=0,"",IF(ROW()-1&lt;=$L$2,IFERROR(INDEX(MCQ!$A:$K,ROW()-1+1,11),""),IF(ROW()-1&lt;=$L$2+$M$2,IFERROR(INDEX(CLOZE_AB!$A:$K,ROW()-1-$L$2+1,11),""),IF(ROW()-1&lt;=$L$2+$M$2+$N$2,IFERROR(INDEX(CLOZE_LIST!$A:$K,ROW()-1-$L$2-$M$2+1,11),""),IF(ROW()-1&lt;=$L$2+$M$2+$N$2+$O$2,IFERROR(INDEX(PROFORMA!$A:$K,ROW()-1-$L$2-$M$2-$N$2+1,11),""),"")))))</f>
        <v>1</v>
      </c>
      <c r="L38" s="3">
        <f>COUNTA(MCQ!$A:$A)-1</f>
        <v>143</v>
      </c>
      <c r="M38" s="3">
        <f>COUNTA(CLOZE_AB!$A:$A)-1</f>
        <v>168</v>
      </c>
      <c r="N38" s="3">
        <f>COUNTA(CLOZE_LIST!$A:$A)-1</f>
        <v>199</v>
      </c>
      <c r="O38" s="3">
        <f>COUNTA(PROFORMA!$A:$A)-1</f>
        <v>199</v>
      </c>
    </row>
    <row r="39" spans="1:15" ht="28.8" x14ac:dyDescent="0.3">
      <c r="A39" s="3" t="str">
        <f>IF(ROW()-1&lt;=0,"",IF(ROW()-1&lt;=$L$2,IFERROR(INDEX(MCQ!$A:$K,ROW()-1+1,1),""),IF(ROW()-1&lt;=$L$2+$M$2,IFERROR(INDEX(CLOZE_AB!$A:$K,ROW()-1-$L$2+1,1),""),IF(ROW()-1&lt;=$L$2+$M$2+$N$2,IFERROR(INDEX(CLOZE_LIST!$A:$K,ROW()-1-$L$2-$M$2+1,1),""),IF(ROW()-1&lt;=$L$2+$M$2+$N$2+$O$2,IFERROR(INDEX(PROFORMA!$A:$K,ROW()-1-$L$2-$M$2-$N$2+1,1),""),"")))))</f>
        <v>MCQ_CGT_P_SPLITYR_004</v>
      </c>
      <c r="B39" s="3" t="str">
        <f>IF(ROW()-1&lt;=0,"",IF(ROW()-1&lt;=$L$2,IFERROR(INDEX(MCQ!$A:$K,ROW()-1+1,2),""),IF(ROW()-1&lt;=$L$2+$M$2,IFERROR(INDEX(CLOZE_AB!$A:$K,ROW()-1-$L$2+1,2),""),IF(ROW()-1&lt;=$L$2+$M$2+$N$2,IFERROR(INDEX(CLOZE_LIST!$A:$K,ROW()-1-$L$2-$M$2+1,2),""),IF(ROW()-1&lt;=$L$2+$M$2+$N$2+$O$2,IFERROR(INDEX(PROFORMA!$A:$K,ROW()-1-$L$2-$M$2-$N$2+1,2),""),"")))))</f>
        <v>Capital gains</v>
      </c>
      <c r="C39" s="3" t="str">
        <f>IF(ROW()-1&lt;=0,"",IF(ROW()-1&lt;=$L$2,IFERROR(INDEX(MCQ!$A:$K,ROW()-1+1,3),""),IF(ROW()-1&lt;=$L$2+$M$2,IFERROR(INDEX(CLOZE_AB!$A:$K,ROW()-1-$L$2+1,3),""),IF(ROW()-1&lt;=$L$2+$M$2+$N$2,IFERROR(INDEX(CLOZE_LIST!$A:$K,ROW()-1-$L$2-$M$2+1,3),""),IF(ROW()-1&lt;=$L$2+$M$2+$N$2+$O$2,IFERROR(INDEX(PROFORMA!$A:$K,ROW()-1-$L$2-$M$2-$N$2+1,3),""),"")))))</f>
        <v>planning</v>
      </c>
      <c r="D39" s="3" t="str">
        <f>IF(ROW()-1&lt;=0,"",IF(ROW()-1&lt;=$L$2,IFERROR(INDEX(MCQ!$A:$K,ROW()-1+1,4),""),IF(ROW()-1&lt;=$L$2+$M$2,IFERROR(INDEX(CLOZE_AB!$A:$K,ROW()-1-$L$2+1,4),""),IF(ROW()-1&lt;=$L$2+$M$2+$N$2,IFERROR(INDEX(CLOZE_LIST!$A:$K,ROW()-1-$L$2-$M$2+1,4),""),IF(ROW()-1&lt;=$L$2+$M$2+$N$2+$O$2,IFERROR(INDEX(PROFORMA!$A:$K,ROW()-1-$L$2-$M$2-$N$2+1,4),""),"")))))</f>
        <v>Split-year treatment</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3</v>
      </c>
      <c r="G39" s="3" t="str">
        <f>IF(ROW()-1&lt;=0,"",IF(ROW()-1&lt;=$L$2,IFERROR(INDEX(MCQ!$A:$K,ROW()-1+1,7),""),IF(ROW()-1&lt;=$L$2+$M$2,IFERROR(INDEX(CLOZE_AB!$A:$K,ROW()-1-$L$2+1,7),""),IF(ROW()-1&lt;=$L$2+$M$2+$N$2,IFERROR(INDEX(CLOZE_LIST!$A:$K,ROW()-1-$L$2-$M$2+1,7),""),IF(ROW()-1&lt;=$L$2+$M$2+$N$2+$O$2,IFERROR(INDEX(PROFORMA!$A:$K,ROW()-1-$L$2-$M$2-$N$2+1,7),""),"")))))</f>
        <v>core</v>
      </c>
      <c r="H39" s="3" t="str">
        <f>IF(ROW()-1&lt;=0,"",IF(ROW()-1&lt;=$L$2,IFERROR(INDEX(MCQ!$A:$K,ROW()-1+1,8),""),IF(ROW()-1&lt;=$L$2+$M$2,IFERROR(INDEX(CLOZE_AB!$A:$K,ROW()-1-$L$2+1,8),""),IF(ROW()-1&lt;=$L$2+$M$2+$N$2,IFERROR(INDEX(CLOZE_LIST!$A:$K,ROW()-1-$L$2-$M$2+1,8),""),IF(ROW()-1&lt;=$L$2+$M$2+$N$2+$O$2,IFERROR(INDEX(PROFORMA!$A:$K,ROW()-1-$L$2-$M$2-$N$2+1,8),""),"")))))</f>
        <v>Y</v>
      </c>
      <c r="I39" s="3" t="str">
        <f>IF(ROW()-1&lt;=0,"",IF(ROW()-1&lt;=$L$2,IFERROR(INDEX(MCQ!$A:$K,ROW()-1+1,9),""),IF(ROW()-1&lt;=$L$2+$M$2,IFERROR(INDEX(CLOZE_AB!$A:$K,ROW()-1-$L$2+1,9),""),IF(ROW()-1&lt;=$L$2+$M$2+$N$2,IFERROR(INDEX(CLOZE_LIST!$A:$K,ROW()-1-$L$2-$M$2+1,9),""),IF(ROW()-1&lt;=$L$2+$M$2+$N$2+$O$2,IFERROR(INDEX(PROFORMA!$A:$K,ROW()-1-$L$2-$M$2-$N$2+1,9),""),"")))))</f>
        <v>split_year|leaving_ties</v>
      </c>
      <c r="J39" s="3" t="str">
        <f>IF(ROW()-1&lt;=0,"",IF(ROW()-1&lt;=$L$2,IFERROR(INDEX(MCQ!$A:$K,ROW()-1+1,10),""),IF(ROW()-1&lt;=$L$2+$M$2,IFERROR(INDEX(CLOZE_AB!$A:$K,ROW()-1-$L$2+1,10),""),IF(ROW()-1&lt;=$L$2+$M$2+$N$2,IFERROR(INDEX(CLOZE_LIST!$A:$K,ROW()-1-$L$2-$M$2+1,10),""),IF(ROW()-1&lt;=$L$2+$M$2+$N$2+$O$2,IFERROR(INDEX(PROFORMA!$A:$K,ROW()-1-$L$2-$M$2-$N$2+1,10),""),"")))))</f>
        <v>notes_user</v>
      </c>
      <c r="K39" s="3">
        <f>IF(ROW()-1&lt;=0,"",IF(ROW()-1&lt;=$L$2,IFERROR(INDEX(MCQ!$A:$K,ROW()-1+1,11),""),IF(ROW()-1&lt;=$L$2+$M$2,IFERROR(INDEX(CLOZE_AB!$A:$K,ROW()-1-$L$2+1,11),""),IF(ROW()-1&lt;=$L$2+$M$2+$N$2,IFERROR(INDEX(CLOZE_LIST!$A:$K,ROW()-1-$L$2-$M$2+1,11),""),IF(ROW()-1&lt;=$L$2+$M$2+$N$2+$O$2,IFERROR(INDEX(PROFORMA!$A:$K,ROW()-1-$L$2-$M$2-$N$2+1,11),""),"")))))</f>
        <v>1</v>
      </c>
      <c r="L39" s="3">
        <f>COUNTA(MCQ!$A:$A)-1</f>
        <v>143</v>
      </c>
      <c r="M39" s="3">
        <f>COUNTA(CLOZE_AB!$A:$A)-1</f>
        <v>168</v>
      </c>
      <c r="N39" s="3">
        <f>COUNTA(CLOZE_LIST!$A:$A)-1</f>
        <v>199</v>
      </c>
      <c r="O39" s="3">
        <f>COUNTA(PROFORMA!$A:$A)-1</f>
        <v>199</v>
      </c>
    </row>
    <row r="40" spans="1:15" ht="28.8" x14ac:dyDescent="0.3">
      <c r="A40" s="3" t="str">
        <f>IF(ROW()-1&lt;=0,"",IF(ROW()-1&lt;=$L$2,IFERROR(INDEX(MCQ!$A:$K,ROW()-1+1,1),""),IF(ROW()-1&lt;=$L$2+$M$2,IFERROR(INDEX(CLOZE_AB!$A:$K,ROW()-1-$L$2+1,1),""),IF(ROW()-1&lt;=$L$2+$M$2+$N$2,IFERROR(INDEX(CLOZE_LIST!$A:$K,ROW()-1-$L$2-$M$2+1,1),""),IF(ROW()-1&lt;=$L$2+$M$2+$N$2+$O$2,IFERROR(INDEX(PROFORMA!$A:$K,ROW()-1-$L$2-$M$2-$N$2+1,1),""),"")))))</f>
        <v>MCQ_CGT_REQ_SPLITYR_001</v>
      </c>
      <c r="B40" s="3" t="str">
        <f>IF(ROW()-1&lt;=0,"",IF(ROW()-1&lt;=$L$2,IFERROR(INDEX(MCQ!$A:$K,ROW()-1+1,2),""),IF(ROW()-1&lt;=$L$2+$M$2,IFERROR(INDEX(CLOZE_AB!$A:$K,ROW()-1-$L$2+1,2),""),IF(ROW()-1&lt;=$L$2+$M$2+$N$2,IFERROR(INDEX(CLOZE_LIST!$A:$K,ROW()-1-$L$2-$M$2+1,2),""),IF(ROW()-1&lt;=$L$2+$M$2+$N$2+$O$2,IFERROR(INDEX(PROFORMA!$A:$K,ROW()-1-$L$2-$M$2-$N$2+1,2),""),"")))))</f>
        <v>Capital gains</v>
      </c>
      <c r="C40" s="3" t="str">
        <f>IF(ROW()-1&lt;=0,"",IF(ROW()-1&lt;=$L$2,IFERROR(INDEX(MCQ!$A:$K,ROW()-1+1,3),""),IF(ROW()-1&lt;=$L$2+$M$2,IFERROR(INDEX(CLOZE_AB!$A:$K,ROW()-1-$L$2+1,3),""),IF(ROW()-1&lt;=$L$2+$M$2+$N$2,IFERROR(INDEX(CLOZE_LIST!$A:$K,ROW()-1-$L$2-$M$2+1,3),""),IF(ROW()-1&lt;=$L$2+$M$2+$N$2+$O$2,IFERROR(INDEX(PROFORMA!$A:$K,ROW()-1-$L$2-$M$2-$N$2+1,3),""),"")))))</f>
        <v>requirements</v>
      </c>
      <c r="D40" s="3" t="str">
        <f>IF(ROW()-1&lt;=0,"",IF(ROW()-1&lt;=$L$2,IFERROR(INDEX(MCQ!$A:$K,ROW()-1+1,4),""),IF(ROW()-1&lt;=$L$2+$M$2,IFERROR(INDEX(CLOZE_AB!$A:$K,ROW()-1-$L$2+1,4),""),IF(ROW()-1&lt;=$L$2+$M$2+$N$2,IFERROR(INDEX(CLOZE_LIST!$A:$K,ROW()-1-$L$2-$M$2+1,4),""),IF(ROW()-1&lt;=$L$2+$M$2+$N$2+$O$2,IFERROR(INDEX(PROFORMA!$A:$K,ROW()-1-$L$2-$M$2-$N$2+1,4),""),"")))))</f>
        <v>Split-year treatment</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3</v>
      </c>
      <c r="G40" s="3" t="str">
        <f>IF(ROW()-1&lt;=0,"",IF(ROW()-1&lt;=$L$2,IFERROR(INDEX(MCQ!$A:$K,ROW()-1+1,7),""),IF(ROW()-1&lt;=$L$2+$M$2,IFERROR(INDEX(CLOZE_AB!$A:$K,ROW()-1-$L$2+1,7),""),IF(ROW()-1&lt;=$L$2+$M$2+$N$2,IFERROR(INDEX(CLOZE_LIST!$A:$K,ROW()-1-$L$2-$M$2+1,7),""),IF(ROW()-1&lt;=$L$2+$M$2+$N$2+$O$2,IFERROR(INDEX(PROFORMA!$A:$K,ROW()-1-$L$2-$M$2-$N$2+1,7),""),"")))))</f>
        <v>core</v>
      </c>
      <c r="H40" s="3" t="str">
        <f>IF(ROW()-1&lt;=0,"",IF(ROW()-1&lt;=$L$2,IFERROR(INDEX(MCQ!$A:$K,ROW()-1+1,8),""),IF(ROW()-1&lt;=$L$2+$M$2,IFERROR(INDEX(CLOZE_AB!$A:$K,ROW()-1-$L$2+1,8),""),IF(ROW()-1&lt;=$L$2+$M$2+$N$2,IFERROR(INDEX(CLOZE_LIST!$A:$K,ROW()-1-$L$2-$M$2+1,8),""),IF(ROW()-1&lt;=$L$2+$M$2+$N$2+$O$2,IFERROR(INDEX(PROFORMA!$A:$K,ROW()-1-$L$2-$M$2-$N$2+1,8),""),"")))))</f>
        <v>Y</v>
      </c>
      <c r="I40" s="3" t="str">
        <f>IF(ROW()-1&lt;=0,"",IF(ROW()-1&lt;=$L$2,IFERROR(INDEX(MCQ!$A:$K,ROW()-1+1,9),""),IF(ROW()-1&lt;=$L$2+$M$2,IFERROR(INDEX(CLOZE_AB!$A:$K,ROW()-1-$L$2+1,9),""),IF(ROW()-1&lt;=$L$2+$M$2+$N$2,IFERROR(INDEX(CLOZE_LIST!$A:$K,ROW()-1-$L$2-$M$2+1,9),""),IF(ROW()-1&lt;=$L$2+$M$2+$N$2+$O$2,IFERROR(INDEX(PROFORMA!$A:$K,ROW()-1-$L$2-$M$2-$N$2+1,9),""),"")))))</f>
        <v>split_year|coming_home</v>
      </c>
      <c r="J40" s="3" t="str">
        <f>IF(ROW()-1&lt;=0,"",IF(ROW()-1&lt;=$L$2,IFERROR(INDEX(MCQ!$A:$K,ROW()-1+1,10),""),IF(ROW()-1&lt;=$L$2+$M$2,IFERROR(INDEX(CLOZE_AB!$A:$K,ROW()-1-$L$2+1,10),""),IF(ROW()-1&lt;=$L$2+$M$2+$N$2,IFERROR(INDEX(CLOZE_LIST!$A:$K,ROW()-1-$L$2-$M$2+1,10),""),IF(ROW()-1&lt;=$L$2+$M$2+$N$2+$O$2,IFERROR(INDEX(PROFORMA!$A:$K,ROW()-1-$L$2-$M$2-$N$2+1,10),""),"")))))</f>
        <v>notes_user</v>
      </c>
      <c r="K40" s="3">
        <f>IF(ROW()-1&lt;=0,"",IF(ROW()-1&lt;=$L$2,IFERROR(INDEX(MCQ!$A:$K,ROW()-1+1,11),""),IF(ROW()-1&lt;=$L$2+$M$2,IFERROR(INDEX(CLOZE_AB!$A:$K,ROW()-1-$L$2+1,11),""),IF(ROW()-1&lt;=$L$2+$M$2+$N$2,IFERROR(INDEX(CLOZE_LIST!$A:$K,ROW()-1-$L$2-$M$2+1,11),""),IF(ROW()-1&lt;=$L$2+$M$2+$N$2+$O$2,IFERROR(INDEX(PROFORMA!$A:$K,ROW()-1-$L$2-$M$2-$N$2+1,11),""),"")))))</f>
        <v>1</v>
      </c>
      <c r="L40" s="3">
        <f>COUNTA(MCQ!$A:$A)-1</f>
        <v>143</v>
      </c>
      <c r="M40" s="3">
        <f>COUNTA(CLOZE_AB!$A:$A)-1</f>
        <v>168</v>
      </c>
      <c r="N40" s="3">
        <f>COUNTA(CLOZE_LIST!$A:$A)-1</f>
        <v>199</v>
      </c>
      <c r="O40" s="3">
        <f>COUNTA(PROFORMA!$A:$A)-1</f>
        <v>199</v>
      </c>
    </row>
    <row r="41" spans="1:15" ht="28.8" x14ac:dyDescent="0.3">
      <c r="A41" s="3" t="str">
        <f>IF(ROW()-1&lt;=0,"",IF(ROW()-1&lt;=$L$2,IFERROR(INDEX(MCQ!$A:$K,ROW()-1+1,1),""),IF(ROW()-1&lt;=$L$2+$M$2,IFERROR(INDEX(CLOZE_AB!$A:$K,ROW()-1-$L$2+1,1),""),IF(ROW()-1&lt;=$L$2+$M$2+$N$2,IFERROR(INDEX(CLOZE_LIST!$A:$K,ROW()-1-$L$2-$M$2+1,1),""),IF(ROW()-1&lt;=$L$2+$M$2+$N$2+$O$2,IFERROR(INDEX(PROFORMA!$A:$K,ROW()-1-$L$2-$M$2-$N$2+1,1),""),"")))))</f>
        <v>MCQ_CGT_REQ_SPLITYR_002</v>
      </c>
      <c r="B41" s="3" t="str">
        <f>IF(ROW()-1&lt;=0,"",IF(ROW()-1&lt;=$L$2,IFERROR(INDEX(MCQ!$A:$K,ROW()-1+1,2),""),IF(ROW()-1&lt;=$L$2+$M$2,IFERROR(INDEX(CLOZE_AB!$A:$K,ROW()-1-$L$2+1,2),""),IF(ROW()-1&lt;=$L$2+$M$2+$N$2,IFERROR(INDEX(CLOZE_LIST!$A:$K,ROW()-1-$L$2-$M$2+1,2),""),IF(ROW()-1&lt;=$L$2+$M$2+$N$2+$O$2,IFERROR(INDEX(PROFORMA!$A:$K,ROW()-1-$L$2-$M$2-$N$2+1,2),""),"")))))</f>
        <v>Capital gains</v>
      </c>
      <c r="C41" s="3" t="str">
        <f>IF(ROW()-1&lt;=0,"",IF(ROW()-1&lt;=$L$2,IFERROR(INDEX(MCQ!$A:$K,ROW()-1+1,3),""),IF(ROW()-1&lt;=$L$2+$M$2,IFERROR(INDEX(CLOZE_AB!$A:$K,ROW()-1-$L$2+1,3),""),IF(ROW()-1&lt;=$L$2+$M$2+$N$2,IFERROR(INDEX(CLOZE_LIST!$A:$K,ROW()-1-$L$2-$M$2+1,3),""),IF(ROW()-1&lt;=$L$2+$M$2+$N$2+$O$2,IFERROR(INDEX(PROFORMA!$A:$K,ROW()-1-$L$2-$M$2-$N$2+1,3),""),"")))))</f>
        <v>requirements</v>
      </c>
      <c r="D41" s="3" t="str">
        <f>IF(ROW()-1&lt;=0,"",IF(ROW()-1&lt;=$L$2,IFERROR(INDEX(MCQ!$A:$K,ROW()-1+1,4),""),IF(ROW()-1&lt;=$L$2+$M$2,IFERROR(INDEX(CLOZE_AB!$A:$K,ROW()-1-$L$2+1,4),""),IF(ROW()-1&lt;=$L$2+$M$2+$N$2,IFERROR(INDEX(CLOZE_LIST!$A:$K,ROW()-1-$L$2-$M$2+1,4),""),IF(ROW()-1&lt;=$L$2+$M$2+$N$2+$O$2,IFERROR(INDEX(PROFORMA!$A:$K,ROW()-1-$L$2-$M$2-$N$2+1,4),""),"")))))</f>
        <v>Split-year treatment</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3</v>
      </c>
      <c r="G41" s="3" t="str">
        <f>IF(ROW()-1&lt;=0,"",IF(ROW()-1&lt;=$L$2,IFERROR(INDEX(MCQ!$A:$K,ROW()-1+1,7),""),IF(ROW()-1&lt;=$L$2+$M$2,IFERROR(INDEX(CLOZE_AB!$A:$K,ROW()-1-$L$2+1,7),""),IF(ROW()-1&lt;=$L$2+$M$2+$N$2,IFERROR(INDEX(CLOZE_LIST!$A:$K,ROW()-1-$L$2-$M$2+1,7),""),IF(ROW()-1&lt;=$L$2+$M$2+$N$2+$O$2,IFERROR(INDEX(PROFORMA!$A:$K,ROW()-1-$L$2-$M$2-$N$2+1,7),""),"")))))</f>
        <v>core</v>
      </c>
      <c r="H41" s="3" t="str">
        <f>IF(ROW()-1&lt;=0,"",IF(ROW()-1&lt;=$L$2,IFERROR(INDEX(MCQ!$A:$K,ROW()-1+1,8),""),IF(ROW()-1&lt;=$L$2+$M$2,IFERROR(INDEX(CLOZE_AB!$A:$K,ROW()-1-$L$2+1,8),""),IF(ROW()-1&lt;=$L$2+$M$2+$N$2,IFERROR(INDEX(CLOZE_LIST!$A:$K,ROW()-1-$L$2-$M$2+1,8),""),IF(ROW()-1&lt;=$L$2+$M$2+$N$2+$O$2,IFERROR(INDEX(PROFORMA!$A:$K,ROW()-1-$L$2-$M$2-$N$2+1,8),""),"")))))</f>
        <v>Y</v>
      </c>
      <c r="I41" s="3" t="str">
        <f>IF(ROW()-1&lt;=0,"",IF(ROW()-1&lt;=$L$2,IFERROR(INDEX(MCQ!$A:$K,ROW()-1+1,9),""),IF(ROW()-1&lt;=$L$2+$M$2,IFERROR(INDEX(CLOZE_AB!$A:$K,ROW()-1-$L$2+1,9),""),IF(ROW()-1&lt;=$L$2+$M$2+$N$2,IFERROR(INDEX(CLOZE_LIST!$A:$K,ROW()-1-$L$2-$M$2+1,9),""),IF(ROW()-1&lt;=$L$2+$M$2+$N$2+$O$2,IFERROR(INDEX(PROFORMA!$A:$K,ROW()-1-$L$2-$M$2-$N$2+1,9),""),"")))))</f>
        <v>split_year|coming_work</v>
      </c>
      <c r="J41" s="3" t="str">
        <f>IF(ROW()-1&lt;=0,"",IF(ROW()-1&lt;=$L$2,IFERROR(INDEX(MCQ!$A:$K,ROW()-1+1,10),""),IF(ROW()-1&lt;=$L$2+$M$2,IFERROR(INDEX(CLOZE_AB!$A:$K,ROW()-1-$L$2+1,10),""),IF(ROW()-1&lt;=$L$2+$M$2+$N$2,IFERROR(INDEX(CLOZE_LIST!$A:$K,ROW()-1-$L$2-$M$2+1,10),""),IF(ROW()-1&lt;=$L$2+$M$2+$N$2+$O$2,IFERROR(INDEX(PROFORMA!$A:$K,ROW()-1-$L$2-$M$2-$N$2+1,10),""),"")))))</f>
        <v>notes_user</v>
      </c>
      <c r="K41" s="3">
        <f>IF(ROW()-1&lt;=0,"",IF(ROW()-1&lt;=$L$2,IFERROR(INDEX(MCQ!$A:$K,ROW()-1+1,11),""),IF(ROW()-1&lt;=$L$2+$M$2,IFERROR(INDEX(CLOZE_AB!$A:$K,ROW()-1-$L$2+1,11),""),IF(ROW()-1&lt;=$L$2+$M$2+$N$2,IFERROR(INDEX(CLOZE_LIST!$A:$K,ROW()-1-$L$2-$M$2+1,11),""),IF(ROW()-1&lt;=$L$2+$M$2+$N$2+$O$2,IFERROR(INDEX(PROFORMA!$A:$K,ROW()-1-$L$2-$M$2-$N$2+1,11),""),"")))))</f>
        <v>1</v>
      </c>
      <c r="L41" s="3">
        <f>COUNTA(MCQ!$A:$A)-1</f>
        <v>143</v>
      </c>
      <c r="M41" s="3">
        <f>COUNTA(CLOZE_AB!$A:$A)-1</f>
        <v>168</v>
      </c>
      <c r="N41" s="3">
        <f>COUNTA(CLOZE_LIST!$A:$A)-1</f>
        <v>199</v>
      </c>
      <c r="O41" s="3">
        <f>COUNTA(PROFORMA!$A:$A)-1</f>
        <v>199</v>
      </c>
    </row>
    <row r="42" spans="1:15" ht="28.8" x14ac:dyDescent="0.3">
      <c r="A42" s="3" t="str">
        <f>IF(ROW()-1&lt;=0,"",IF(ROW()-1&lt;=$L$2,IFERROR(INDEX(MCQ!$A:$K,ROW()-1+1,1),""),IF(ROW()-1&lt;=$L$2+$M$2,IFERROR(INDEX(CLOZE_AB!$A:$K,ROW()-1-$L$2+1,1),""),IF(ROW()-1&lt;=$L$2+$M$2+$N$2,IFERROR(INDEX(CLOZE_LIST!$A:$K,ROW()-1-$L$2-$M$2+1,1),""),IF(ROW()-1&lt;=$L$2+$M$2+$N$2+$O$2,IFERROR(INDEX(PROFORMA!$A:$K,ROW()-1-$L$2-$M$2-$N$2+1,1),""),"")))))</f>
        <v>MCQ_CGT_P_SPLITYR_005</v>
      </c>
      <c r="B42" s="3" t="str">
        <f>IF(ROW()-1&lt;=0,"",IF(ROW()-1&lt;=$L$2,IFERROR(INDEX(MCQ!$A:$K,ROW()-1+1,2),""),IF(ROW()-1&lt;=$L$2+$M$2,IFERROR(INDEX(CLOZE_AB!$A:$K,ROW()-1-$L$2+1,2),""),IF(ROW()-1&lt;=$L$2+$M$2+$N$2,IFERROR(INDEX(CLOZE_LIST!$A:$K,ROW()-1-$L$2-$M$2+1,2),""),IF(ROW()-1&lt;=$L$2+$M$2+$N$2+$O$2,IFERROR(INDEX(PROFORMA!$A:$K,ROW()-1-$L$2-$M$2-$N$2+1,2),""),"")))))</f>
        <v>Capital gains</v>
      </c>
      <c r="C42" s="3" t="str">
        <f>IF(ROW()-1&lt;=0,"",IF(ROW()-1&lt;=$L$2,IFERROR(INDEX(MCQ!$A:$K,ROW()-1+1,3),""),IF(ROW()-1&lt;=$L$2+$M$2,IFERROR(INDEX(CLOZE_AB!$A:$K,ROW()-1-$L$2+1,3),""),IF(ROW()-1&lt;=$L$2+$M$2+$N$2,IFERROR(INDEX(CLOZE_LIST!$A:$K,ROW()-1-$L$2-$M$2+1,3),""),IF(ROW()-1&lt;=$L$2+$M$2+$N$2+$O$2,IFERROR(INDEX(PROFORMA!$A:$K,ROW()-1-$L$2-$M$2-$N$2+1,3),""),"")))))</f>
        <v>planning</v>
      </c>
      <c r="D42" s="3" t="str">
        <f>IF(ROW()-1&lt;=0,"",IF(ROW()-1&lt;=$L$2,IFERROR(INDEX(MCQ!$A:$K,ROW()-1+1,4),""),IF(ROW()-1&lt;=$L$2+$M$2,IFERROR(INDEX(CLOZE_AB!$A:$K,ROW()-1-$L$2+1,4),""),IF(ROW()-1&lt;=$L$2+$M$2+$N$2,IFERROR(INDEX(CLOZE_LIST!$A:$K,ROW()-1-$L$2-$M$2+1,4),""),IF(ROW()-1&lt;=$L$2+$M$2+$N$2+$O$2,IFERROR(INDEX(PROFORMA!$A:$K,ROW()-1-$L$2-$M$2-$N$2+1,4),""),"")))))</f>
        <v>Split-year treatment</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3</v>
      </c>
      <c r="G42" s="3" t="str">
        <f>IF(ROW()-1&lt;=0,"",IF(ROW()-1&lt;=$L$2,IFERROR(INDEX(MCQ!$A:$K,ROW()-1+1,7),""),IF(ROW()-1&lt;=$L$2+$M$2,IFERROR(INDEX(CLOZE_AB!$A:$K,ROW()-1-$L$2+1,7),""),IF(ROW()-1&lt;=$L$2+$M$2+$N$2,IFERROR(INDEX(CLOZE_LIST!$A:$K,ROW()-1-$L$2-$M$2+1,7),""),IF(ROW()-1&lt;=$L$2+$M$2+$N$2+$O$2,IFERROR(INDEX(PROFORMA!$A:$K,ROW()-1-$L$2-$M$2-$N$2+1,7),""),"")))))</f>
        <v>core</v>
      </c>
      <c r="H42" s="3" t="str">
        <f>IF(ROW()-1&lt;=0,"",IF(ROW()-1&lt;=$L$2,IFERROR(INDEX(MCQ!$A:$K,ROW()-1+1,8),""),IF(ROW()-1&lt;=$L$2+$M$2,IFERROR(INDEX(CLOZE_AB!$A:$K,ROW()-1-$L$2+1,8),""),IF(ROW()-1&lt;=$L$2+$M$2+$N$2,IFERROR(INDEX(CLOZE_LIST!$A:$K,ROW()-1-$L$2-$M$2+1,8),""),IF(ROW()-1&lt;=$L$2+$M$2+$N$2+$O$2,IFERROR(INDEX(PROFORMA!$A:$K,ROW()-1-$L$2-$M$2-$N$2+1,8),""),"")))))</f>
        <v>Y</v>
      </c>
      <c r="I42" s="3" t="str">
        <f>IF(ROW()-1&lt;=0,"",IF(ROW()-1&lt;=$L$2,IFERROR(INDEX(MCQ!$A:$K,ROW()-1+1,9),""),IF(ROW()-1&lt;=$L$2+$M$2,IFERROR(INDEX(CLOZE_AB!$A:$K,ROW()-1-$L$2+1,9),""),IF(ROW()-1&lt;=$L$2+$M$2+$N$2,IFERROR(INDEX(CLOZE_LIST!$A:$K,ROW()-1-$L$2-$M$2+1,9),""),IF(ROW()-1&lt;=$L$2+$M$2+$N$2+$O$2,IFERROR(INDEX(PROFORMA!$A:$K,ROW()-1-$L$2-$M$2-$N$2+1,9),""),"")))))</f>
        <v>split_year|returning</v>
      </c>
      <c r="J42" s="3" t="str">
        <f>IF(ROW()-1&lt;=0,"",IF(ROW()-1&lt;=$L$2,IFERROR(INDEX(MCQ!$A:$K,ROW()-1+1,10),""),IF(ROW()-1&lt;=$L$2+$M$2,IFERROR(INDEX(CLOZE_AB!$A:$K,ROW()-1-$L$2+1,10),""),IF(ROW()-1&lt;=$L$2+$M$2+$N$2,IFERROR(INDEX(CLOZE_LIST!$A:$K,ROW()-1-$L$2-$M$2+1,10),""),IF(ROW()-1&lt;=$L$2+$M$2+$N$2+$O$2,IFERROR(INDEX(PROFORMA!$A:$K,ROW()-1-$L$2-$M$2-$N$2+1,10),""),"")))))</f>
        <v>notes_user</v>
      </c>
      <c r="K42" s="3">
        <f>IF(ROW()-1&lt;=0,"",IF(ROW()-1&lt;=$L$2,IFERROR(INDEX(MCQ!$A:$K,ROW()-1+1,11),""),IF(ROW()-1&lt;=$L$2+$M$2,IFERROR(INDEX(CLOZE_AB!$A:$K,ROW()-1-$L$2+1,11),""),IF(ROW()-1&lt;=$L$2+$M$2+$N$2,IFERROR(INDEX(CLOZE_LIST!$A:$K,ROW()-1-$L$2-$M$2+1,11),""),IF(ROW()-1&lt;=$L$2+$M$2+$N$2+$O$2,IFERROR(INDEX(PROFORMA!$A:$K,ROW()-1-$L$2-$M$2-$N$2+1,11),""),"")))))</f>
        <v>1</v>
      </c>
      <c r="L42" s="3">
        <f>COUNTA(MCQ!$A:$A)-1</f>
        <v>143</v>
      </c>
      <c r="M42" s="3">
        <f>COUNTA(CLOZE_AB!$A:$A)-1</f>
        <v>168</v>
      </c>
      <c r="N42" s="3">
        <f>COUNTA(CLOZE_LIST!$A:$A)-1</f>
        <v>199</v>
      </c>
      <c r="O42" s="3">
        <f>COUNTA(PROFORMA!$A:$A)-1</f>
        <v>199</v>
      </c>
    </row>
    <row r="43" spans="1:15" ht="28.8" x14ac:dyDescent="0.3">
      <c r="A43" s="3" t="str">
        <f>IF(ROW()-1&lt;=0,"",IF(ROW()-1&lt;=$L$2,IFERROR(INDEX(MCQ!$A:$K,ROW()-1+1,1),""),IF(ROW()-1&lt;=$L$2+$M$2,IFERROR(INDEX(CLOZE_AB!$A:$K,ROW()-1-$L$2+1,1),""),IF(ROW()-1&lt;=$L$2+$M$2+$N$2,IFERROR(INDEX(CLOZE_LIST!$A:$K,ROW()-1-$L$2-$M$2+1,1),""),IF(ROW()-1&lt;=$L$2+$M$2+$N$2+$O$2,IFERROR(INDEX(PROFORMA!$A:$K,ROW()-1-$L$2-$M$2-$N$2+1,1),""),"")))))</f>
        <v>MCQ_IHT_REQ_DOMICILE_001</v>
      </c>
      <c r="B43" s="3" t="str">
        <f>IF(ROW()-1&lt;=0,"",IF(ROW()-1&lt;=$L$2,IFERROR(INDEX(MCQ!$A:$K,ROW()-1+1,2),""),IF(ROW()-1&lt;=$L$2+$M$2,IFERROR(INDEX(CLOZE_AB!$A:$K,ROW()-1-$L$2+1,2),""),IF(ROW()-1&lt;=$L$2+$M$2+$N$2,IFERROR(INDEX(CLOZE_LIST!$A:$K,ROW()-1-$L$2-$M$2+1,2),""),IF(ROW()-1&lt;=$L$2+$M$2+$N$2+$O$2,IFERROR(INDEX(PROFORMA!$A:$K,ROW()-1-$L$2-$M$2-$N$2+1,2),""),"")))))</f>
        <v>Inheritance tax</v>
      </c>
      <c r="C43" s="3" t="str">
        <f>IF(ROW()-1&lt;=0,"",IF(ROW()-1&lt;=$L$2,IFERROR(INDEX(MCQ!$A:$K,ROW()-1+1,3),""),IF(ROW()-1&lt;=$L$2+$M$2,IFERROR(INDEX(CLOZE_AB!$A:$K,ROW()-1-$L$2+1,3),""),IF(ROW()-1&lt;=$L$2+$M$2+$N$2,IFERROR(INDEX(CLOZE_LIST!$A:$K,ROW()-1-$L$2-$M$2+1,3),""),IF(ROW()-1&lt;=$L$2+$M$2+$N$2+$O$2,IFERROR(INDEX(PROFORMA!$A:$K,ROW()-1-$L$2-$M$2-$N$2+1,3),""),"")))))</f>
        <v>requirements</v>
      </c>
      <c r="D43" s="3" t="str">
        <f>IF(ROW()-1&lt;=0,"",IF(ROW()-1&lt;=$L$2,IFERROR(INDEX(MCQ!$A:$K,ROW()-1+1,4),""),IF(ROW()-1&lt;=$L$2+$M$2,IFERROR(INDEX(CLOZE_AB!$A:$K,ROW()-1-$L$2+1,4),""),IF(ROW()-1&lt;=$L$2+$M$2+$N$2,IFERROR(INDEX(CLOZE_LIST!$A:$K,ROW()-1-$L$2-$M$2+1,4),""),IF(ROW()-1&lt;=$L$2+$M$2+$N$2+$O$2,IFERROR(INDEX(PROFORMA!$A:$K,ROW()-1-$L$2-$M$2-$N$2+1,4),""),"")))))</f>
        <v>Deemed domicile (IHT vs CGT/IT)</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3</v>
      </c>
      <c r="G43" s="3" t="str">
        <f>IF(ROW()-1&lt;=0,"",IF(ROW()-1&lt;=$L$2,IFERROR(INDEX(MCQ!$A:$K,ROW()-1+1,7),""),IF(ROW()-1&lt;=$L$2+$M$2,IFERROR(INDEX(CLOZE_AB!$A:$K,ROW()-1-$L$2+1,7),""),IF(ROW()-1&lt;=$L$2+$M$2+$N$2,IFERROR(INDEX(CLOZE_LIST!$A:$K,ROW()-1-$L$2-$M$2+1,7),""),IF(ROW()-1&lt;=$L$2+$M$2+$N$2+$O$2,IFERROR(INDEX(PROFORMA!$A:$K,ROW()-1-$L$2-$M$2-$N$2+1,7),""),"")))))</f>
        <v>core</v>
      </c>
      <c r="H43" s="3" t="str">
        <f>IF(ROW()-1&lt;=0,"",IF(ROW()-1&lt;=$L$2,IFERROR(INDEX(MCQ!$A:$K,ROW()-1+1,8),""),IF(ROW()-1&lt;=$L$2+$M$2,IFERROR(INDEX(CLOZE_AB!$A:$K,ROW()-1-$L$2+1,8),""),IF(ROW()-1&lt;=$L$2+$M$2+$N$2,IFERROR(INDEX(CLOZE_LIST!$A:$K,ROW()-1-$L$2-$M$2+1,8),""),IF(ROW()-1&lt;=$L$2+$M$2+$N$2+$O$2,IFERROR(INDEX(PROFORMA!$A:$K,ROW()-1-$L$2-$M$2-$N$2+1,8),""),"")))))</f>
        <v>Y</v>
      </c>
      <c r="I43" s="3" t="str">
        <f>IF(ROW()-1&lt;=0,"",IF(ROW()-1&lt;=$L$2,IFERROR(INDEX(MCQ!$A:$K,ROW()-1+1,9),""),IF(ROW()-1&lt;=$L$2+$M$2,IFERROR(INDEX(CLOZE_AB!$A:$K,ROW()-1-$L$2+1,9),""),IF(ROW()-1&lt;=$L$2+$M$2+$N$2,IFERROR(INDEX(CLOZE_LIST!$A:$K,ROW()-1-$L$2-$M$2+1,9),""),IF(ROW()-1&lt;=$L$2+$M$2+$N$2+$O$2,IFERROR(INDEX(PROFORMA!$A:$K,ROW()-1-$L$2-$M$2-$N$2+1,9),""),"")))))</f>
        <v>iht|deemed_domicile|overview</v>
      </c>
      <c r="J43" s="3" t="str">
        <f>IF(ROW()-1&lt;=0,"",IF(ROW()-1&lt;=$L$2,IFERROR(INDEX(MCQ!$A:$K,ROW()-1+1,10),""),IF(ROW()-1&lt;=$L$2+$M$2,IFERROR(INDEX(CLOZE_AB!$A:$K,ROW()-1-$L$2+1,10),""),IF(ROW()-1&lt;=$L$2+$M$2+$N$2,IFERROR(INDEX(CLOZE_LIST!$A:$K,ROW()-1-$L$2-$M$2+1,10),""),IF(ROW()-1&lt;=$L$2+$M$2+$N$2+$O$2,IFERROR(INDEX(PROFORMA!$A:$K,ROW()-1-$L$2-$M$2-$N$2+1,10),""),"")))))</f>
        <v>image_notes</v>
      </c>
      <c r="K43" s="3">
        <f>IF(ROW()-1&lt;=0,"",IF(ROW()-1&lt;=$L$2,IFERROR(INDEX(MCQ!$A:$K,ROW()-1+1,11),""),IF(ROW()-1&lt;=$L$2+$M$2,IFERROR(INDEX(CLOZE_AB!$A:$K,ROW()-1-$L$2+1,11),""),IF(ROW()-1&lt;=$L$2+$M$2+$N$2,IFERROR(INDEX(CLOZE_LIST!$A:$K,ROW()-1-$L$2-$M$2+1,11),""),IF(ROW()-1&lt;=$L$2+$M$2+$N$2+$O$2,IFERROR(INDEX(PROFORMA!$A:$K,ROW()-1-$L$2-$M$2-$N$2+1,11),""),"")))))</f>
        <v>1</v>
      </c>
      <c r="L43" s="3">
        <f>COUNTA(MCQ!$A:$A)-1</f>
        <v>143</v>
      </c>
      <c r="M43" s="3">
        <f>COUNTA(CLOZE_AB!$A:$A)-1</f>
        <v>168</v>
      </c>
      <c r="N43" s="3">
        <f>COUNTA(CLOZE_LIST!$A:$A)-1</f>
        <v>199</v>
      </c>
      <c r="O43" s="3">
        <f>COUNTA(PROFORMA!$A:$A)-1</f>
        <v>199</v>
      </c>
    </row>
    <row r="44" spans="1:15" ht="28.8" x14ac:dyDescent="0.3">
      <c r="A44" s="3" t="str">
        <f>IF(ROW()-1&lt;=0,"",IF(ROW()-1&lt;=$L$2,IFERROR(INDEX(MCQ!$A:$K,ROW()-1+1,1),""),IF(ROW()-1&lt;=$L$2+$M$2,IFERROR(INDEX(CLOZE_AB!$A:$K,ROW()-1-$L$2+1,1),""),IF(ROW()-1&lt;=$L$2+$M$2+$N$2,IFERROR(INDEX(CLOZE_LIST!$A:$K,ROW()-1-$L$2-$M$2+1,1),""),IF(ROW()-1&lt;=$L$2+$M$2+$N$2+$O$2,IFERROR(INDEX(PROFORMA!$A:$K,ROW()-1-$L$2-$M$2-$N$2+1,1),""),"")))))</f>
        <v>MCQ_IHT_REQ_DOMICILE_002</v>
      </c>
      <c r="B44" s="3" t="str">
        <f>IF(ROW()-1&lt;=0,"",IF(ROW()-1&lt;=$L$2,IFERROR(INDEX(MCQ!$A:$K,ROW()-1+1,2),""),IF(ROW()-1&lt;=$L$2+$M$2,IFERROR(INDEX(CLOZE_AB!$A:$K,ROW()-1-$L$2+1,2),""),IF(ROW()-1&lt;=$L$2+$M$2+$N$2,IFERROR(INDEX(CLOZE_LIST!$A:$K,ROW()-1-$L$2-$M$2+1,2),""),IF(ROW()-1&lt;=$L$2+$M$2+$N$2+$O$2,IFERROR(INDEX(PROFORMA!$A:$K,ROW()-1-$L$2-$M$2-$N$2+1,2),""),"")))))</f>
        <v>Inheritance tax</v>
      </c>
      <c r="C44" s="3" t="str">
        <f>IF(ROW()-1&lt;=0,"",IF(ROW()-1&lt;=$L$2,IFERROR(INDEX(MCQ!$A:$K,ROW()-1+1,3),""),IF(ROW()-1&lt;=$L$2+$M$2,IFERROR(INDEX(CLOZE_AB!$A:$K,ROW()-1-$L$2+1,3),""),IF(ROW()-1&lt;=$L$2+$M$2+$N$2,IFERROR(INDEX(CLOZE_LIST!$A:$K,ROW()-1-$L$2-$M$2+1,3),""),IF(ROW()-1&lt;=$L$2+$M$2+$N$2+$O$2,IFERROR(INDEX(PROFORMA!$A:$K,ROW()-1-$L$2-$M$2-$N$2+1,3),""),"")))))</f>
        <v>requirements</v>
      </c>
      <c r="D44" s="3" t="str">
        <f>IF(ROW()-1&lt;=0,"",IF(ROW()-1&lt;=$L$2,IFERROR(INDEX(MCQ!$A:$K,ROW()-1+1,4),""),IF(ROW()-1&lt;=$L$2+$M$2,IFERROR(INDEX(CLOZE_AB!$A:$K,ROW()-1-$L$2+1,4),""),IF(ROW()-1&lt;=$L$2+$M$2+$N$2,IFERROR(INDEX(CLOZE_LIST!$A:$K,ROW()-1-$L$2-$M$2+1,4),""),IF(ROW()-1&lt;=$L$2+$M$2+$N$2+$O$2,IFERROR(INDEX(PROFORMA!$A:$K,ROW()-1-$L$2-$M$2-$N$2+1,4),""),"")))))</f>
        <v>Deemed domicile (IHT vs CGT/IT)</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3</v>
      </c>
      <c r="G44" s="3" t="str">
        <f>IF(ROW()-1&lt;=0,"",IF(ROW()-1&lt;=$L$2,IFERROR(INDEX(MCQ!$A:$K,ROW()-1+1,7),""),IF(ROW()-1&lt;=$L$2+$M$2,IFERROR(INDEX(CLOZE_AB!$A:$K,ROW()-1-$L$2+1,7),""),IF(ROW()-1&lt;=$L$2+$M$2+$N$2,IFERROR(INDEX(CLOZE_LIST!$A:$K,ROW()-1-$L$2-$M$2+1,7),""),IF(ROW()-1&lt;=$L$2+$M$2+$N$2+$O$2,IFERROR(INDEX(PROFORMA!$A:$K,ROW()-1-$L$2-$M$2-$N$2+1,7),""),"")))))</f>
        <v>core</v>
      </c>
      <c r="H44" s="3" t="str">
        <f>IF(ROW()-1&lt;=0,"",IF(ROW()-1&lt;=$L$2,IFERROR(INDEX(MCQ!$A:$K,ROW()-1+1,8),""),IF(ROW()-1&lt;=$L$2+$M$2,IFERROR(INDEX(CLOZE_AB!$A:$K,ROW()-1-$L$2+1,8),""),IF(ROW()-1&lt;=$L$2+$M$2+$N$2,IFERROR(INDEX(CLOZE_LIST!$A:$K,ROW()-1-$L$2-$M$2+1,8),""),IF(ROW()-1&lt;=$L$2+$M$2+$N$2+$O$2,IFERROR(INDEX(PROFORMA!$A:$K,ROW()-1-$L$2-$M$2-$N$2+1,8),""),"")))))</f>
        <v>Y</v>
      </c>
      <c r="I44" s="3" t="str">
        <f>IF(ROW()-1&lt;=0,"",IF(ROW()-1&lt;=$L$2,IFERROR(INDEX(MCQ!$A:$K,ROW()-1+1,9),""),IF(ROW()-1&lt;=$L$2+$M$2,IFERROR(INDEX(CLOZE_AB!$A:$K,ROW()-1-$L$2+1,9),""),IF(ROW()-1&lt;=$L$2+$M$2+$N$2,IFERROR(INDEX(CLOZE_LIST!$A:$K,ROW()-1-$L$2-$M$2+1,9),""),IF(ROW()-1&lt;=$L$2+$M$2+$N$2+$O$2,IFERROR(INDEX(PROFORMA!$A:$K,ROW()-1-$L$2-$M$2-$N$2+1,9),""),"")))))</f>
        <v>iht|three_year</v>
      </c>
      <c r="J44" s="3" t="str">
        <f>IF(ROW()-1&lt;=0,"",IF(ROW()-1&lt;=$L$2,IFERROR(INDEX(MCQ!$A:$K,ROW()-1+1,10),""),IF(ROW()-1&lt;=$L$2+$M$2,IFERROR(INDEX(CLOZE_AB!$A:$K,ROW()-1-$L$2+1,10),""),IF(ROW()-1&lt;=$L$2+$M$2+$N$2,IFERROR(INDEX(CLOZE_LIST!$A:$K,ROW()-1-$L$2-$M$2+1,10),""),IF(ROW()-1&lt;=$L$2+$M$2+$N$2+$O$2,IFERROR(INDEX(PROFORMA!$A:$K,ROW()-1-$L$2-$M$2-$N$2+1,10),""),"")))))</f>
        <v>image_notes</v>
      </c>
      <c r="K44" s="3">
        <f>IF(ROW()-1&lt;=0,"",IF(ROW()-1&lt;=$L$2,IFERROR(INDEX(MCQ!$A:$K,ROW()-1+1,11),""),IF(ROW()-1&lt;=$L$2+$M$2,IFERROR(INDEX(CLOZE_AB!$A:$K,ROW()-1-$L$2+1,11),""),IF(ROW()-1&lt;=$L$2+$M$2+$N$2,IFERROR(INDEX(CLOZE_LIST!$A:$K,ROW()-1-$L$2-$M$2+1,11),""),IF(ROW()-1&lt;=$L$2+$M$2+$N$2+$O$2,IFERROR(INDEX(PROFORMA!$A:$K,ROW()-1-$L$2-$M$2-$N$2+1,11),""),"")))))</f>
        <v>1</v>
      </c>
      <c r="L44" s="3">
        <f>COUNTA(MCQ!$A:$A)-1</f>
        <v>143</v>
      </c>
      <c r="M44" s="3">
        <f>COUNTA(CLOZE_AB!$A:$A)-1</f>
        <v>168</v>
      </c>
      <c r="N44" s="3">
        <f>COUNTA(CLOZE_LIST!$A:$A)-1</f>
        <v>199</v>
      </c>
      <c r="O44" s="3">
        <f>COUNTA(PROFORMA!$A:$A)-1</f>
        <v>199</v>
      </c>
    </row>
    <row r="45" spans="1:15" ht="28.8" x14ac:dyDescent="0.3">
      <c r="A45" s="3" t="str">
        <f>IF(ROW()-1&lt;=0,"",IF(ROW()-1&lt;=$L$2,IFERROR(INDEX(MCQ!$A:$K,ROW()-1+1,1),""),IF(ROW()-1&lt;=$L$2+$M$2,IFERROR(INDEX(CLOZE_AB!$A:$K,ROW()-1-$L$2+1,1),""),IF(ROW()-1&lt;=$L$2+$M$2+$N$2,IFERROR(INDEX(CLOZE_LIST!$A:$K,ROW()-1-$L$2-$M$2+1,1),""),IF(ROW()-1&lt;=$L$2+$M$2+$N$2+$O$2,IFERROR(INDEX(PROFORMA!$A:$K,ROW()-1-$L$2-$M$2-$N$2+1,1),""),"")))))</f>
        <v>MCQ_IHT_REQ_DOMICILE_003</v>
      </c>
      <c r="B45" s="3" t="str">
        <f>IF(ROW()-1&lt;=0,"",IF(ROW()-1&lt;=$L$2,IFERROR(INDEX(MCQ!$A:$K,ROW()-1+1,2),""),IF(ROW()-1&lt;=$L$2+$M$2,IFERROR(INDEX(CLOZE_AB!$A:$K,ROW()-1-$L$2+1,2),""),IF(ROW()-1&lt;=$L$2+$M$2+$N$2,IFERROR(INDEX(CLOZE_LIST!$A:$K,ROW()-1-$L$2-$M$2+1,2),""),IF(ROW()-1&lt;=$L$2+$M$2+$N$2+$O$2,IFERROR(INDEX(PROFORMA!$A:$K,ROW()-1-$L$2-$M$2-$N$2+1,2),""),"")))))</f>
        <v>Inheritance tax</v>
      </c>
      <c r="C45" s="3" t="str">
        <f>IF(ROW()-1&lt;=0,"",IF(ROW()-1&lt;=$L$2,IFERROR(INDEX(MCQ!$A:$K,ROW()-1+1,3),""),IF(ROW()-1&lt;=$L$2+$M$2,IFERROR(INDEX(CLOZE_AB!$A:$K,ROW()-1-$L$2+1,3),""),IF(ROW()-1&lt;=$L$2+$M$2+$N$2,IFERROR(INDEX(CLOZE_LIST!$A:$K,ROW()-1-$L$2-$M$2+1,3),""),IF(ROW()-1&lt;=$L$2+$M$2+$N$2+$O$2,IFERROR(INDEX(PROFORMA!$A:$K,ROW()-1-$L$2-$M$2-$N$2+1,3),""),"")))))</f>
        <v>requirements</v>
      </c>
      <c r="D45" s="3" t="str">
        <f>IF(ROW()-1&lt;=0,"",IF(ROW()-1&lt;=$L$2,IFERROR(INDEX(MCQ!$A:$K,ROW()-1+1,4),""),IF(ROW()-1&lt;=$L$2+$M$2,IFERROR(INDEX(CLOZE_AB!$A:$K,ROW()-1-$L$2+1,4),""),IF(ROW()-1&lt;=$L$2+$M$2+$N$2,IFERROR(INDEX(CLOZE_LIST!$A:$K,ROW()-1-$L$2-$M$2+1,4),""),IF(ROW()-1&lt;=$L$2+$M$2+$N$2+$O$2,IFERROR(INDEX(PROFORMA!$A:$K,ROW()-1-$L$2-$M$2-$N$2+1,4),""),"")))))</f>
        <v>Deemed domicile (IHT vs CGT/IT)</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3</v>
      </c>
      <c r="G45" s="3" t="str">
        <f>IF(ROW()-1&lt;=0,"",IF(ROW()-1&lt;=$L$2,IFERROR(INDEX(MCQ!$A:$K,ROW()-1+1,7),""),IF(ROW()-1&lt;=$L$2+$M$2,IFERROR(INDEX(CLOZE_AB!$A:$K,ROW()-1-$L$2+1,7),""),IF(ROW()-1&lt;=$L$2+$M$2+$N$2,IFERROR(INDEX(CLOZE_LIST!$A:$K,ROW()-1-$L$2-$M$2+1,7),""),IF(ROW()-1&lt;=$L$2+$M$2+$N$2+$O$2,IFERROR(INDEX(PROFORMA!$A:$K,ROW()-1-$L$2-$M$2-$N$2+1,7),""),"")))))</f>
        <v>core</v>
      </c>
      <c r="H45" s="3" t="str">
        <f>IF(ROW()-1&lt;=0,"",IF(ROW()-1&lt;=$L$2,IFERROR(INDEX(MCQ!$A:$K,ROW()-1+1,8),""),IF(ROW()-1&lt;=$L$2+$M$2,IFERROR(INDEX(CLOZE_AB!$A:$K,ROW()-1-$L$2+1,8),""),IF(ROW()-1&lt;=$L$2+$M$2+$N$2,IFERROR(INDEX(CLOZE_LIST!$A:$K,ROW()-1-$L$2-$M$2+1,8),""),IF(ROW()-1&lt;=$L$2+$M$2+$N$2+$O$2,IFERROR(INDEX(PROFORMA!$A:$K,ROW()-1-$L$2-$M$2-$N$2+1,8),""),"")))))</f>
        <v>Y</v>
      </c>
      <c r="I45" s="3" t="str">
        <f>IF(ROW()-1&lt;=0,"",IF(ROW()-1&lt;=$L$2,IFERROR(INDEX(MCQ!$A:$K,ROW()-1+1,9),""),IF(ROW()-1&lt;=$L$2+$M$2,IFERROR(INDEX(CLOZE_AB!$A:$K,ROW()-1-$L$2+1,9),""),IF(ROW()-1&lt;=$L$2+$M$2+$N$2,IFERROR(INDEX(CLOZE_LIST!$A:$K,ROW()-1-$L$2-$M$2+1,9),""),IF(ROW()-1&lt;=$L$2+$M$2+$N$2+$O$2,IFERROR(INDEX(PROFORMA!$A:$K,ROW()-1-$L$2-$M$2-$N$2+1,9),""),"")))))</f>
        <v>iht|fukdi</v>
      </c>
      <c r="J45" s="3" t="str">
        <f>IF(ROW()-1&lt;=0,"",IF(ROW()-1&lt;=$L$2,IFERROR(INDEX(MCQ!$A:$K,ROW()-1+1,10),""),IF(ROW()-1&lt;=$L$2+$M$2,IFERROR(INDEX(CLOZE_AB!$A:$K,ROW()-1-$L$2+1,10),""),IF(ROW()-1&lt;=$L$2+$M$2+$N$2,IFERROR(INDEX(CLOZE_LIST!$A:$K,ROW()-1-$L$2-$M$2+1,10),""),IF(ROW()-1&lt;=$L$2+$M$2+$N$2+$O$2,IFERROR(INDEX(PROFORMA!$A:$K,ROW()-1-$L$2-$M$2-$N$2+1,10),""),"")))))</f>
        <v>image_notes</v>
      </c>
      <c r="K45" s="3">
        <f>IF(ROW()-1&lt;=0,"",IF(ROW()-1&lt;=$L$2,IFERROR(INDEX(MCQ!$A:$K,ROW()-1+1,11),""),IF(ROW()-1&lt;=$L$2+$M$2,IFERROR(INDEX(CLOZE_AB!$A:$K,ROW()-1-$L$2+1,11),""),IF(ROW()-1&lt;=$L$2+$M$2+$N$2,IFERROR(INDEX(CLOZE_LIST!$A:$K,ROW()-1-$L$2-$M$2+1,11),""),IF(ROW()-1&lt;=$L$2+$M$2+$N$2+$O$2,IFERROR(INDEX(PROFORMA!$A:$K,ROW()-1-$L$2-$M$2-$N$2+1,11),""),"")))))</f>
        <v>1</v>
      </c>
      <c r="L45" s="3">
        <f>COUNTA(MCQ!$A:$A)-1</f>
        <v>143</v>
      </c>
      <c r="M45" s="3">
        <f>COUNTA(CLOZE_AB!$A:$A)-1</f>
        <v>168</v>
      </c>
      <c r="N45" s="3">
        <f>COUNTA(CLOZE_LIST!$A:$A)-1</f>
        <v>199</v>
      </c>
      <c r="O45" s="3">
        <f>COUNTA(PROFORMA!$A:$A)-1</f>
        <v>199</v>
      </c>
    </row>
    <row r="46" spans="1:15" ht="28.8" x14ac:dyDescent="0.3">
      <c r="A46" s="3" t="str">
        <f>IF(ROW()-1&lt;=0,"",IF(ROW()-1&lt;=$L$2,IFERROR(INDEX(MCQ!$A:$K,ROW()-1+1,1),""),IF(ROW()-1&lt;=$L$2+$M$2,IFERROR(INDEX(CLOZE_AB!$A:$K,ROW()-1-$L$2+1,1),""),IF(ROW()-1&lt;=$L$2+$M$2+$N$2,IFERROR(INDEX(CLOZE_LIST!$A:$K,ROW()-1-$L$2-$M$2+1,1),""),IF(ROW()-1&lt;=$L$2+$M$2+$N$2+$O$2,IFERROR(INDEX(PROFORMA!$A:$K,ROW()-1-$L$2-$M$2-$N$2+1,1),""),"")))))</f>
        <v>MCQ_IHT_REQ_DOMICILE_004</v>
      </c>
      <c r="B46" s="3" t="str">
        <f>IF(ROW()-1&lt;=0,"",IF(ROW()-1&lt;=$L$2,IFERROR(INDEX(MCQ!$A:$K,ROW()-1+1,2),""),IF(ROW()-1&lt;=$L$2+$M$2,IFERROR(INDEX(CLOZE_AB!$A:$K,ROW()-1-$L$2+1,2),""),IF(ROW()-1&lt;=$L$2+$M$2+$N$2,IFERROR(INDEX(CLOZE_LIST!$A:$K,ROW()-1-$L$2-$M$2+1,2),""),IF(ROW()-1&lt;=$L$2+$M$2+$N$2+$O$2,IFERROR(INDEX(PROFORMA!$A:$K,ROW()-1-$L$2-$M$2-$N$2+1,2),""),"")))))</f>
        <v>Inheritance tax</v>
      </c>
      <c r="C46" s="3" t="str">
        <f>IF(ROW()-1&lt;=0,"",IF(ROW()-1&lt;=$L$2,IFERROR(INDEX(MCQ!$A:$K,ROW()-1+1,3),""),IF(ROW()-1&lt;=$L$2+$M$2,IFERROR(INDEX(CLOZE_AB!$A:$K,ROW()-1-$L$2+1,3),""),IF(ROW()-1&lt;=$L$2+$M$2+$N$2,IFERROR(INDEX(CLOZE_LIST!$A:$K,ROW()-1-$L$2-$M$2+1,3),""),IF(ROW()-1&lt;=$L$2+$M$2+$N$2+$O$2,IFERROR(INDEX(PROFORMA!$A:$K,ROW()-1-$L$2-$M$2-$N$2+1,3),""),"")))))</f>
        <v>requirements</v>
      </c>
      <c r="D46" s="3" t="str">
        <f>IF(ROW()-1&lt;=0,"",IF(ROW()-1&lt;=$L$2,IFERROR(INDEX(MCQ!$A:$K,ROW()-1+1,4),""),IF(ROW()-1&lt;=$L$2+$M$2,IFERROR(INDEX(CLOZE_AB!$A:$K,ROW()-1-$L$2+1,4),""),IF(ROW()-1&lt;=$L$2+$M$2+$N$2,IFERROR(INDEX(CLOZE_LIST!$A:$K,ROW()-1-$L$2-$M$2+1,4),""),IF(ROW()-1&lt;=$L$2+$M$2+$N$2+$O$2,IFERROR(INDEX(PROFORMA!$A:$K,ROW()-1-$L$2-$M$2-$N$2+1,4),""),"")))))</f>
        <v>Deemed domicile (IHT vs CGT/IT)</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3</v>
      </c>
      <c r="G46" s="3" t="str">
        <f>IF(ROW()-1&lt;=0,"",IF(ROW()-1&lt;=$L$2,IFERROR(INDEX(MCQ!$A:$K,ROW()-1+1,7),""),IF(ROW()-1&lt;=$L$2+$M$2,IFERROR(INDEX(CLOZE_AB!$A:$K,ROW()-1-$L$2+1,7),""),IF(ROW()-1&lt;=$L$2+$M$2+$N$2,IFERROR(INDEX(CLOZE_LIST!$A:$K,ROW()-1-$L$2-$M$2+1,7),""),IF(ROW()-1&lt;=$L$2+$M$2+$N$2+$O$2,IFERROR(INDEX(PROFORMA!$A:$K,ROW()-1-$L$2-$M$2-$N$2+1,7),""),"")))))</f>
        <v>core</v>
      </c>
      <c r="H46" s="3" t="str">
        <f>IF(ROW()-1&lt;=0,"",IF(ROW()-1&lt;=$L$2,IFERROR(INDEX(MCQ!$A:$K,ROW()-1+1,8),""),IF(ROW()-1&lt;=$L$2+$M$2,IFERROR(INDEX(CLOZE_AB!$A:$K,ROW()-1-$L$2+1,8),""),IF(ROW()-1&lt;=$L$2+$M$2+$N$2,IFERROR(INDEX(CLOZE_LIST!$A:$K,ROW()-1-$L$2-$M$2+1,8),""),IF(ROW()-1&lt;=$L$2+$M$2+$N$2+$O$2,IFERROR(INDEX(PROFORMA!$A:$K,ROW()-1-$L$2-$M$2-$N$2+1,8),""),"")))))</f>
        <v>Y</v>
      </c>
      <c r="I46" s="3" t="str">
        <f>IF(ROW()-1&lt;=0,"",IF(ROW()-1&lt;=$L$2,IFERROR(INDEX(MCQ!$A:$K,ROW()-1+1,9),""),IF(ROW()-1&lt;=$L$2+$M$2,IFERROR(INDEX(CLOZE_AB!$A:$K,ROW()-1-$L$2+1,9),""),IF(ROW()-1&lt;=$L$2+$M$2+$N$2,IFERROR(INDEX(CLOZE_LIST!$A:$K,ROW()-1-$L$2-$M$2+1,9),""),IF(ROW()-1&lt;=$L$2+$M$2+$N$2+$O$2,IFERROR(INDEX(PROFORMA!$A:$K,ROW()-1-$L$2-$M$2-$N$2+1,9),""),"")))))</f>
        <v>iht|residence_15_20</v>
      </c>
      <c r="J46" s="3" t="str">
        <f>IF(ROW()-1&lt;=0,"",IF(ROW()-1&lt;=$L$2,IFERROR(INDEX(MCQ!$A:$K,ROW()-1+1,10),""),IF(ROW()-1&lt;=$L$2+$M$2,IFERROR(INDEX(CLOZE_AB!$A:$K,ROW()-1-$L$2+1,10),""),IF(ROW()-1&lt;=$L$2+$M$2+$N$2,IFERROR(INDEX(CLOZE_LIST!$A:$K,ROW()-1-$L$2-$M$2+1,10),""),IF(ROW()-1&lt;=$L$2+$M$2+$N$2+$O$2,IFERROR(INDEX(PROFORMA!$A:$K,ROW()-1-$L$2-$M$2-$N$2+1,10),""),"")))))</f>
        <v>image_notes</v>
      </c>
      <c r="K46" s="3">
        <f>IF(ROW()-1&lt;=0,"",IF(ROW()-1&lt;=$L$2,IFERROR(INDEX(MCQ!$A:$K,ROW()-1+1,11),""),IF(ROW()-1&lt;=$L$2+$M$2,IFERROR(INDEX(CLOZE_AB!$A:$K,ROW()-1-$L$2+1,11),""),IF(ROW()-1&lt;=$L$2+$M$2+$N$2,IFERROR(INDEX(CLOZE_LIST!$A:$K,ROW()-1-$L$2-$M$2+1,11),""),IF(ROW()-1&lt;=$L$2+$M$2+$N$2+$O$2,IFERROR(INDEX(PROFORMA!$A:$K,ROW()-1-$L$2-$M$2-$N$2+1,11),""),"")))))</f>
        <v>1</v>
      </c>
      <c r="L46" s="3">
        <f>COUNTA(MCQ!$A:$A)-1</f>
        <v>143</v>
      </c>
      <c r="M46" s="3">
        <f>COUNTA(CLOZE_AB!$A:$A)-1</f>
        <v>168</v>
      </c>
      <c r="N46" s="3">
        <f>COUNTA(CLOZE_LIST!$A:$A)-1</f>
        <v>199</v>
      </c>
      <c r="O46" s="3">
        <f>COUNTA(PROFORMA!$A:$A)-1</f>
        <v>199</v>
      </c>
    </row>
    <row r="47" spans="1:15" ht="28.8" x14ac:dyDescent="0.3">
      <c r="A47" s="3" t="str">
        <f>IF(ROW()-1&lt;=0,"",IF(ROW()-1&lt;=$L$2,IFERROR(INDEX(MCQ!$A:$K,ROW()-1+1,1),""),IF(ROW()-1&lt;=$L$2+$M$2,IFERROR(INDEX(CLOZE_AB!$A:$K,ROW()-1-$L$2+1,1),""),IF(ROW()-1&lt;=$L$2+$M$2+$N$2,IFERROR(INDEX(CLOZE_LIST!$A:$K,ROW()-1-$L$2-$M$2+1,1),""),IF(ROW()-1&lt;=$L$2+$M$2+$N$2+$O$2,IFERROR(INDEX(PROFORMA!$A:$K,ROW()-1-$L$2-$M$2-$N$2+1,1),""),"")))))</f>
        <v>MCQ_IHT_REQ_DOMICILE_005</v>
      </c>
      <c r="B47" s="3" t="str">
        <f>IF(ROW()-1&lt;=0,"",IF(ROW()-1&lt;=$L$2,IFERROR(INDEX(MCQ!$A:$K,ROW()-1+1,2),""),IF(ROW()-1&lt;=$L$2+$M$2,IFERROR(INDEX(CLOZE_AB!$A:$K,ROW()-1-$L$2+1,2),""),IF(ROW()-1&lt;=$L$2+$M$2+$N$2,IFERROR(INDEX(CLOZE_LIST!$A:$K,ROW()-1-$L$2-$M$2+1,2),""),IF(ROW()-1&lt;=$L$2+$M$2+$N$2+$O$2,IFERROR(INDEX(PROFORMA!$A:$K,ROW()-1-$L$2-$M$2-$N$2+1,2),""),"")))))</f>
        <v>Inheritance tax</v>
      </c>
      <c r="C47" s="3" t="str">
        <f>IF(ROW()-1&lt;=0,"",IF(ROW()-1&lt;=$L$2,IFERROR(INDEX(MCQ!$A:$K,ROW()-1+1,3),""),IF(ROW()-1&lt;=$L$2+$M$2,IFERROR(INDEX(CLOZE_AB!$A:$K,ROW()-1-$L$2+1,3),""),IF(ROW()-1&lt;=$L$2+$M$2+$N$2,IFERROR(INDEX(CLOZE_LIST!$A:$K,ROW()-1-$L$2-$M$2+1,3),""),IF(ROW()-1&lt;=$L$2+$M$2+$N$2+$O$2,IFERROR(INDEX(PROFORMA!$A:$K,ROW()-1-$L$2-$M$2-$N$2+1,3),""),"")))))</f>
        <v>requirements</v>
      </c>
      <c r="D47" s="3" t="str">
        <f>IF(ROW()-1&lt;=0,"",IF(ROW()-1&lt;=$L$2,IFERROR(INDEX(MCQ!$A:$K,ROW()-1+1,4),""),IF(ROW()-1&lt;=$L$2+$M$2,IFERROR(INDEX(CLOZE_AB!$A:$K,ROW()-1-$L$2+1,4),""),IF(ROW()-1&lt;=$L$2+$M$2+$N$2,IFERROR(INDEX(CLOZE_LIST!$A:$K,ROW()-1-$L$2-$M$2+1,4),""),IF(ROW()-1&lt;=$L$2+$M$2+$N$2+$O$2,IFERROR(INDEX(PROFORMA!$A:$K,ROW()-1-$L$2-$M$2-$N$2+1,4),""),"")))))</f>
        <v>Deemed domicile (IHT vs CGT/IT)</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3</v>
      </c>
      <c r="G47" s="3" t="str">
        <f>IF(ROW()-1&lt;=0,"",IF(ROW()-1&lt;=$L$2,IFERROR(INDEX(MCQ!$A:$K,ROW()-1+1,7),""),IF(ROW()-1&lt;=$L$2+$M$2,IFERROR(INDEX(CLOZE_AB!$A:$K,ROW()-1-$L$2+1,7),""),IF(ROW()-1&lt;=$L$2+$M$2+$N$2,IFERROR(INDEX(CLOZE_LIST!$A:$K,ROW()-1-$L$2-$M$2+1,7),""),IF(ROW()-1&lt;=$L$2+$M$2+$N$2+$O$2,IFERROR(INDEX(PROFORMA!$A:$K,ROW()-1-$L$2-$M$2-$N$2+1,7),""),"")))))</f>
        <v>core</v>
      </c>
      <c r="H47" s="3" t="str">
        <f>IF(ROW()-1&lt;=0,"",IF(ROW()-1&lt;=$L$2,IFERROR(INDEX(MCQ!$A:$K,ROW()-1+1,8),""),IF(ROW()-1&lt;=$L$2+$M$2,IFERROR(INDEX(CLOZE_AB!$A:$K,ROW()-1-$L$2+1,8),""),IF(ROW()-1&lt;=$L$2+$M$2+$N$2,IFERROR(INDEX(CLOZE_LIST!$A:$K,ROW()-1-$L$2-$M$2+1,8),""),IF(ROW()-1&lt;=$L$2+$M$2+$N$2+$O$2,IFERROR(INDEX(PROFORMA!$A:$K,ROW()-1-$L$2-$M$2-$N$2+1,8),""),"")))))</f>
        <v>Y</v>
      </c>
      <c r="I47" s="3" t="str">
        <f>IF(ROW()-1&lt;=0,"",IF(ROW()-1&lt;=$L$2,IFERROR(INDEX(MCQ!$A:$K,ROW()-1+1,9),""),IF(ROW()-1&lt;=$L$2+$M$2,IFERROR(INDEX(CLOZE_AB!$A:$K,ROW()-1-$L$2+1,9),""),IF(ROW()-1&lt;=$L$2+$M$2+$N$2,IFERROR(INDEX(CLOZE_LIST!$A:$K,ROW()-1-$L$2-$M$2+1,9),""),IF(ROW()-1&lt;=$L$2+$M$2+$N$2+$O$2,IFERROR(INDEX(PROFORMA!$A:$K,ROW()-1-$L$2-$M$2-$N$2+1,9),""),"")))))</f>
        <v>iht|residence_1of4</v>
      </c>
      <c r="J47" s="3" t="str">
        <f>IF(ROW()-1&lt;=0,"",IF(ROW()-1&lt;=$L$2,IFERROR(INDEX(MCQ!$A:$K,ROW()-1+1,10),""),IF(ROW()-1&lt;=$L$2+$M$2,IFERROR(INDEX(CLOZE_AB!$A:$K,ROW()-1-$L$2+1,10),""),IF(ROW()-1&lt;=$L$2+$M$2+$N$2,IFERROR(INDEX(CLOZE_LIST!$A:$K,ROW()-1-$L$2-$M$2+1,10),""),IF(ROW()-1&lt;=$L$2+$M$2+$N$2+$O$2,IFERROR(INDEX(PROFORMA!$A:$K,ROW()-1-$L$2-$M$2-$N$2+1,10),""),"")))))</f>
        <v>image_notes</v>
      </c>
      <c r="K47" s="3">
        <f>IF(ROW()-1&lt;=0,"",IF(ROW()-1&lt;=$L$2,IFERROR(INDEX(MCQ!$A:$K,ROW()-1+1,11),""),IF(ROW()-1&lt;=$L$2+$M$2,IFERROR(INDEX(CLOZE_AB!$A:$K,ROW()-1-$L$2+1,11),""),IF(ROW()-1&lt;=$L$2+$M$2+$N$2,IFERROR(INDEX(CLOZE_LIST!$A:$K,ROW()-1-$L$2-$M$2+1,11),""),IF(ROW()-1&lt;=$L$2+$M$2+$N$2+$O$2,IFERROR(INDEX(PROFORMA!$A:$K,ROW()-1-$L$2-$M$2-$N$2+1,11),""),"")))))</f>
        <v>1</v>
      </c>
      <c r="L47" s="3">
        <f>COUNTA(MCQ!$A:$A)-1</f>
        <v>143</v>
      </c>
      <c r="M47" s="3">
        <f>COUNTA(CLOZE_AB!$A:$A)-1</f>
        <v>168</v>
      </c>
      <c r="N47" s="3">
        <f>COUNTA(CLOZE_LIST!$A:$A)-1</f>
        <v>199</v>
      </c>
      <c r="O47" s="3">
        <f>COUNTA(PROFORMA!$A:$A)-1</f>
        <v>199</v>
      </c>
    </row>
    <row r="48" spans="1:15" ht="28.8" x14ac:dyDescent="0.3">
      <c r="A48" s="3" t="str">
        <f>IF(ROW()-1&lt;=0,"",IF(ROW()-1&lt;=$L$2,IFERROR(INDEX(MCQ!$A:$K,ROW()-1+1,1),""),IF(ROW()-1&lt;=$L$2+$M$2,IFERROR(INDEX(CLOZE_AB!$A:$K,ROW()-1-$L$2+1,1),""),IF(ROW()-1&lt;=$L$2+$M$2+$N$2,IFERROR(INDEX(CLOZE_LIST!$A:$K,ROW()-1-$L$2-$M$2+1,1),""),IF(ROW()-1&lt;=$L$2+$M$2+$N$2+$O$2,IFERROR(INDEX(PROFORMA!$A:$K,ROW()-1-$L$2-$M$2-$N$2+1,1),""),"")))))</f>
        <v>MCQ_IHT_REQ_DOMICILE_006</v>
      </c>
      <c r="B48" s="3" t="str">
        <f>IF(ROW()-1&lt;=0,"",IF(ROW()-1&lt;=$L$2,IFERROR(INDEX(MCQ!$A:$K,ROW()-1+1,2),""),IF(ROW()-1&lt;=$L$2+$M$2,IFERROR(INDEX(CLOZE_AB!$A:$K,ROW()-1-$L$2+1,2),""),IF(ROW()-1&lt;=$L$2+$M$2+$N$2,IFERROR(INDEX(CLOZE_LIST!$A:$K,ROW()-1-$L$2-$M$2+1,2),""),IF(ROW()-1&lt;=$L$2+$M$2+$N$2+$O$2,IFERROR(INDEX(PROFORMA!$A:$K,ROW()-1-$L$2-$M$2-$N$2+1,2),""),"")))))</f>
        <v>Inheritance tax</v>
      </c>
      <c r="C48" s="3" t="str">
        <f>IF(ROW()-1&lt;=0,"",IF(ROW()-1&lt;=$L$2,IFERROR(INDEX(MCQ!$A:$K,ROW()-1+1,3),""),IF(ROW()-1&lt;=$L$2+$M$2,IFERROR(INDEX(CLOZE_AB!$A:$K,ROW()-1-$L$2+1,3),""),IF(ROW()-1&lt;=$L$2+$M$2+$N$2,IFERROR(INDEX(CLOZE_LIST!$A:$K,ROW()-1-$L$2-$M$2+1,3),""),IF(ROW()-1&lt;=$L$2+$M$2+$N$2+$O$2,IFERROR(INDEX(PROFORMA!$A:$K,ROW()-1-$L$2-$M$2-$N$2+1,3),""),"")))))</f>
        <v>requirements</v>
      </c>
      <c r="D48" s="3" t="str">
        <f>IF(ROW()-1&lt;=0,"",IF(ROW()-1&lt;=$L$2,IFERROR(INDEX(MCQ!$A:$K,ROW()-1+1,4),""),IF(ROW()-1&lt;=$L$2+$M$2,IFERROR(INDEX(CLOZE_AB!$A:$K,ROW()-1-$L$2+1,4),""),IF(ROW()-1&lt;=$L$2+$M$2+$N$2,IFERROR(INDEX(CLOZE_LIST!$A:$K,ROW()-1-$L$2-$M$2+1,4),""),IF(ROW()-1&lt;=$L$2+$M$2+$N$2+$O$2,IFERROR(INDEX(PROFORMA!$A:$K,ROW()-1-$L$2-$M$2-$N$2+1,4),""),"")))))</f>
        <v>Deemed domicile (IHT vs CGT/IT)</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3</v>
      </c>
      <c r="G48" s="3" t="str">
        <f>IF(ROW()-1&lt;=0,"",IF(ROW()-1&lt;=$L$2,IFERROR(INDEX(MCQ!$A:$K,ROW()-1+1,7),""),IF(ROW()-1&lt;=$L$2+$M$2,IFERROR(INDEX(CLOZE_AB!$A:$K,ROW()-1-$L$2+1,7),""),IF(ROW()-1&lt;=$L$2+$M$2+$N$2,IFERROR(INDEX(CLOZE_LIST!$A:$K,ROW()-1-$L$2-$M$2+1,7),""),IF(ROW()-1&lt;=$L$2+$M$2+$N$2+$O$2,IFERROR(INDEX(PROFORMA!$A:$K,ROW()-1-$L$2-$M$2-$N$2+1,7),""),"")))))</f>
        <v>core</v>
      </c>
      <c r="H48" s="3" t="str">
        <f>IF(ROW()-1&lt;=0,"",IF(ROW()-1&lt;=$L$2,IFERROR(INDEX(MCQ!$A:$K,ROW()-1+1,8),""),IF(ROW()-1&lt;=$L$2+$M$2,IFERROR(INDEX(CLOZE_AB!$A:$K,ROW()-1-$L$2+1,8),""),IF(ROW()-1&lt;=$L$2+$M$2+$N$2,IFERROR(INDEX(CLOZE_LIST!$A:$K,ROW()-1-$L$2-$M$2+1,8),""),IF(ROW()-1&lt;=$L$2+$M$2+$N$2+$O$2,IFERROR(INDEX(PROFORMA!$A:$K,ROW()-1-$L$2-$M$2-$N$2+1,8),""),"")))))</f>
        <v>Y</v>
      </c>
      <c r="I48" s="3" t="str">
        <f>IF(ROW()-1&lt;=0,"",IF(ROW()-1&lt;=$L$2,IFERROR(INDEX(MCQ!$A:$K,ROW()-1+1,9),""),IF(ROW()-1&lt;=$L$2+$M$2,IFERROR(INDEX(CLOZE_AB!$A:$K,ROW()-1-$L$2+1,9),""),IF(ROW()-1&lt;=$L$2+$M$2+$N$2,IFERROR(INDEX(CLOZE_LIST!$A:$K,ROW()-1-$L$2-$M$2+1,9),""),IF(ROW()-1&lt;=$L$2+$M$2+$N$2+$O$2,IFERROR(INDEX(PROFORMA!$A:$K,ROW()-1-$L$2-$M$2-$N$2+1,9),""),"")))))</f>
        <v>iht|comparison</v>
      </c>
      <c r="J48" s="3" t="str">
        <f>IF(ROW()-1&lt;=0,"",IF(ROW()-1&lt;=$L$2,IFERROR(INDEX(MCQ!$A:$K,ROW()-1+1,10),""),IF(ROW()-1&lt;=$L$2+$M$2,IFERROR(INDEX(CLOZE_AB!$A:$K,ROW()-1-$L$2+1,10),""),IF(ROW()-1&lt;=$L$2+$M$2+$N$2,IFERROR(INDEX(CLOZE_LIST!$A:$K,ROW()-1-$L$2-$M$2+1,10),""),IF(ROW()-1&lt;=$L$2+$M$2+$N$2+$O$2,IFERROR(INDEX(PROFORMA!$A:$K,ROW()-1-$L$2-$M$2-$N$2+1,10),""),"")))))</f>
        <v>image_notes</v>
      </c>
      <c r="K48" s="3">
        <f>IF(ROW()-1&lt;=0,"",IF(ROW()-1&lt;=$L$2,IFERROR(INDEX(MCQ!$A:$K,ROW()-1+1,11),""),IF(ROW()-1&lt;=$L$2+$M$2,IFERROR(INDEX(CLOZE_AB!$A:$K,ROW()-1-$L$2+1,11),""),IF(ROW()-1&lt;=$L$2+$M$2+$N$2,IFERROR(INDEX(CLOZE_LIST!$A:$K,ROW()-1-$L$2-$M$2+1,11),""),IF(ROW()-1&lt;=$L$2+$M$2+$N$2+$O$2,IFERROR(INDEX(PROFORMA!$A:$K,ROW()-1-$L$2-$M$2-$N$2+1,11),""),"")))))</f>
        <v>1</v>
      </c>
      <c r="L48" s="3">
        <f>COUNTA(MCQ!$A:$A)-1</f>
        <v>143</v>
      </c>
      <c r="M48" s="3">
        <f>COUNTA(CLOZE_AB!$A:$A)-1</f>
        <v>168</v>
      </c>
      <c r="N48" s="3">
        <f>COUNTA(CLOZE_LIST!$A:$A)-1</f>
        <v>199</v>
      </c>
      <c r="O48" s="3">
        <f>COUNTA(PROFORMA!$A:$A)-1</f>
        <v>199</v>
      </c>
    </row>
    <row r="49" spans="1:15" ht="28.8" x14ac:dyDescent="0.3">
      <c r="A49" s="3" t="str">
        <f>IF(ROW()-1&lt;=0,"",IF(ROW()-1&lt;=$L$2,IFERROR(INDEX(MCQ!$A:$K,ROW()-1+1,1),""),IF(ROW()-1&lt;=$L$2+$M$2,IFERROR(INDEX(CLOZE_AB!$A:$K,ROW()-1-$L$2+1,1),""),IF(ROW()-1&lt;=$L$2+$M$2+$N$2,IFERROR(INDEX(CLOZE_LIST!$A:$K,ROW()-1-$L$2-$M$2+1,1),""),IF(ROW()-1&lt;=$L$2+$M$2+$N$2+$O$2,IFERROR(INDEX(PROFORMA!$A:$K,ROW()-1-$L$2-$M$2-$N$2+1,1),""),"")))))</f>
        <v>MCQ_IHT_REQ_DOMICILE_007</v>
      </c>
      <c r="B49" s="3" t="str">
        <f>IF(ROW()-1&lt;=0,"",IF(ROW()-1&lt;=$L$2,IFERROR(INDEX(MCQ!$A:$K,ROW()-1+1,2),""),IF(ROW()-1&lt;=$L$2+$M$2,IFERROR(INDEX(CLOZE_AB!$A:$K,ROW()-1-$L$2+1,2),""),IF(ROW()-1&lt;=$L$2+$M$2+$N$2,IFERROR(INDEX(CLOZE_LIST!$A:$K,ROW()-1-$L$2-$M$2+1,2),""),IF(ROW()-1&lt;=$L$2+$M$2+$N$2+$O$2,IFERROR(INDEX(PROFORMA!$A:$K,ROW()-1-$L$2-$M$2-$N$2+1,2),""),"")))))</f>
        <v>Inheritance tax</v>
      </c>
      <c r="C49" s="3" t="str">
        <f>IF(ROW()-1&lt;=0,"",IF(ROW()-1&lt;=$L$2,IFERROR(INDEX(MCQ!$A:$K,ROW()-1+1,3),""),IF(ROW()-1&lt;=$L$2+$M$2,IFERROR(INDEX(CLOZE_AB!$A:$K,ROW()-1-$L$2+1,3),""),IF(ROW()-1&lt;=$L$2+$M$2+$N$2,IFERROR(INDEX(CLOZE_LIST!$A:$K,ROW()-1-$L$2-$M$2+1,3),""),IF(ROW()-1&lt;=$L$2+$M$2+$N$2+$O$2,IFERROR(INDEX(PROFORMA!$A:$K,ROW()-1-$L$2-$M$2-$N$2+1,3),""),"")))))</f>
        <v>requirements</v>
      </c>
      <c r="D49" s="3" t="str">
        <f>IF(ROW()-1&lt;=0,"",IF(ROW()-1&lt;=$L$2,IFERROR(INDEX(MCQ!$A:$K,ROW()-1+1,4),""),IF(ROW()-1&lt;=$L$2+$M$2,IFERROR(INDEX(CLOZE_AB!$A:$K,ROW()-1-$L$2+1,4),""),IF(ROW()-1&lt;=$L$2+$M$2+$N$2,IFERROR(INDEX(CLOZE_LIST!$A:$K,ROW()-1-$L$2-$M$2+1,4),""),IF(ROW()-1&lt;=$L$2+$M$2+$N$2+$O$2,IFERROR(INDEX(PROFORMA!$A:$K,ROW()-1-$L$2-$M$2-$N$2+1,4),""),"")))))</f>
        <v>Deemed domicile (IHT vs CGT/IT)</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3</v>
      </c>
      <c r="G49" s="3" t="str">
        <f>IF(ROW()-1&lt;=0,"",IF(ROW()-1&lt;=$L$2,IFERROR(INDEX(MCQ!$A:$K,ROW()-1+1,7),""),IF(ROW()-1&lt;=$L$2+$M$2,IFERROR(INDEX(CLOZE_AB!$A:$K,ROW()-1-$L$2+1,7),""),IF(ROW()-1&lt;=$L$2+$M$2+$N$2,IFERROR(INDEX(CLOZE_LIST!$A:$K,ROW()-1-$L$2-$M$2+1,7),""),IF(ROW()-1&lt;=$L$2+$M$2+$N$2+$O$2,IFERROR(INDEX(PROFORMA!$A:$K,ROW()-1-$L$2-$M$2-$N$2+1,7),""),"")))))</f>
        <v>core</v>
      </c>
      <c r="H49" s="3" t="str">
        <f>IF(ROW()-1&lt;=0,"",IF(ROW()-1&lt;=$L$2,IFERROR(INDEX(MCQ!$A:$K,ROW()-1+1,8),""),IF(ROW()-1&lt;=$L$2+$M$2,IFERROR(INDEX(CLOZE_AB!$A:$K,ROW()-1-$L$2+1,8),""),IF(ROW()-1&lt;=$L$2+$M$2+$N$2,IFERROR(INDEX(CLOZE_LIST!$A:$K,ROW()-1-$L$2-$M$2+1,8),""),IF(ROW()-1&lt;=$L$2+$M$2+$N$2+$O$2,IFERROR(INDEX(PROFORMA!$A:$K,ROW()-1-$L$2-$M$2-$N$2+1,8),""),"")))))</f>
        <v>Y</v>
      </c>
      <c r="I49" s="3" t="str">
        <f>IF(ROW()-1&lt;=0,"",IF(ROW()-1&lt;=$L$2,IFERROR(INDEX(MCQ!$A:$K,ROW()-1+1,9),""),IF(ROW()-1&lt;=$L$2+$M$2,IFERROR(INDEX(CLOZE_AB!$A:$K,ROW()-1-$L$2+1,9),""),IF(ROW()-1&lt;=$L$2+$M$2+$N$2,IFERROR(INDEX(CLOZE_LIST!$A:$K,ROW()-1-$L$2-$M$2+1,9),""),IF(ROW()-1&lt;=$L$2+$M$2+$N$2+$O$2,IFERROR(INDEX(PROFORMA!$A:$K,ROW()-1-$L$2-$M$2-$N$2+1,9),""),"")))))</f>
        <v>iht|fukdi|elements</v>
      </c>
      <c r="J49" s="3" t="str">
        <f>IF(ROW()-1&lt;=0,"",IF(ROW()-1&lt;=$L$2,IFERROR(INDEX(MCQ!$A:$K,ROW()-1+1,10),""),IF(ROW()-1&lt;=$L$2+$M$2,IFERROR(INDEX(CLOZE_AB!$A:$K,ROW()-1-$L$2+1,10),""),IF(ROW()-1&lt;=$L$2+$M$2+$N$2,IFERROR(INDEX(CLOZE_LIST!$A:$K,ROW()-1-$L$2-$M$2+1,10),""),IF(ROW()-1&lt;=$L$2+$M$2+$N$2+$O$2,IFERROR(INDEX(PROFORMA!$A:$K,ROW()-1-$L$2-$M$2-$N$2+1,10),""),"")))))</f>
        <v>image_notes</v>
      </c>
      <c r="K49" s="3">
        <f>IF(ROW()-1&lt;=0,"",IF(ROW()-1&lt;=$L$2,IFERROR(INDEX(MCQ!$A:$K,ROW()-1+1,11),""),IF(ROW()-1&lt;=$L$2+$M$2,IFERROR(INDEX(CLOZE_AB!$A:$K,ROW()-1-$L$2+1,11),""),IF(ROW()-1&lt;=$L$2+$M$2+$N$2,IFERROR(INDEX(CLOZE_LIST!$A:$K,ROW()-1-$L$2-$M$2+1,11),""),IF(ROW()-1&lt;=$L$2+$M$2+$N$2+$O$2,IFERROR(INDEX(PROFORMA!$A:$K,ROW()-1-$L$2-$M$2-$N$2+1,11),""),"")))))</f>
        <v>1</v>
      </c>
      <c r="L49" s="3">
        <f>COUNTA(MCQ!$A:$A)-1</f>
        <v>143</v>
      </c>
      <c r="M49" s="3">
        <f>COUNTA(CLOZE_AB!$A:$A)-1</f>
        <v>168</v>
      </c>
      <c r="N49" s="3">
        <f>COUNTA(CLOZE_LIST!$A:$A)-1</f>
        <v>199</v>
      </c>
      <c r="O49" s="3">
        <f>COUNTA(PROFORMA!$A:$A)-1</f>
        <v>199</v>
      </c>
    </row>
    <row r="50" spans="1:15" ht="28.8" x14ac:dyDescent="0.3">
      <c r="A50" s="3" t="str">
        <f>IF(ROW()-1&lt;=0,"",IF(ROW()-1&lt;=$L$2,IFERROR(INDEX(MCQ!$A:$K,ROW()-1+1,1),""),IF(ROW()-1&lt;=$L$2+$M$2,IFERROR(INDEX(CLOZE_AB!$A:$K,ROW()-1-$L$2+1,1),""),IF(ROW()-1&lt;=$L$2+$M$2+$N$2,IFERROR(INDEX(CLOZE_LIST!$A:$K,ROW()-1-$L$2-$M$2+1,1),""),IF(ROW()-1&lt;=$L$2+$M$2+$N$2+$O$2,IFERROR(INDEX(PROFORMA!$A:$K,ROW()-1-$L$2-$M$2-$N$2+1,1),""),"")))))</f>
        <v>MCQ_IHT_REQ_DOMICILE_008</v>
      </c>
      <c r="B50" s="3" t="str">
        <f>IF(ROW()-1&lt;=0,"",IF(ROW()-1&lt;=$L$2,IFERROR(INDEX(MCQ!$A:$K,ROW()-1+1,2),""),IF(ROW()-1&lt;=$L$2+$M$2,IFERROR(INDEX(CLOZE_AB!$A:$K,ROW()-1-$L$2+1,2),""),IF(ROW()-1&lt;=$L$2+$M$2+$N$2,IFERROR(INDEX(CLOZE_LIST!$A:$K,ROW()-1-$L$2-$M$2+1,2),""),IF(ROW()-1&lt;=$L$2+$M$2+$N$2+$O$2,IFERROR(INDEX(PROFORMA!$A:$K,ROW()-1-$L$2-$M$2-$N$2+1,2),""),"")))))</f>
        <v>Inheritance tax</v>
      </c>
      <c r="C50" s="3" t="str">
        <f>IF(ROW()-1&lt;=0,"",IF(ROW()-1&lt;=$L$2,IFERROR(INDEX(MCQ!$A:$K,ROW()-1+1,3),""),IF(ROW()-1&lt;=$L$2+$M$2,IFERROR(INDEX(CLOZE_AB!$A:$K,ROW()-1-$L$2+1,3),""),IF(ROW()-1&lt;=$L$2+$M$2+$N$2,IFERROR(INDEX(CLOZE_LIST!$A:$K,ROW()-1-$L$2-$M$2+1,3),""),IF(ROW()-1&lt;=$L$2+$M$2+$N$2+$O$2,IFERROR(INDEX(PROFORMA!$A:$K,ROW()-1-$L$2-$M$2-$N$2+1,3),""),"")))))</f>
        <v>requirements</v>
      </c>
      <c r="D50" s="3" t="str">
        <f>IF(ROW()-1&lt;=0,"",IF(ROW()-1&lt;=$L$2,IFERROR(INDEX(MCQ!$A:$K,ROW()-1+1,4),""),IF(ROW()-1&lt;=$L$2+$M$2,IFERROR(INDEX(CLOZE_AB!$A:$K,ROW()-1-$L$2+1,4),""),IF(ROW()-1&lt;=$L$2+$M$2+$N$2,IFERROR(INDEX(CLOZE_LIST!$A:$K,ROW()-1-$L$2-$M$2+1,4),""),IF(ROW()-1&lt;=$L$2+$M$2+$N$2+$O$2,IFERROR(INDEX(PROFORMA!$A:$K,ROW()-1-$L$2-$M$2-$N$2+1,4),""),"")))))</f>
        <v>Deemed domicile (IHT vs CGT/IT)</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3</v>
      </c>
      <c r="G50" s="3" t="str">
        <f>IF(ROW()-1&lt;=0,"",IF(ROW()-1&lt;=$L$2,IFERROR(INDEX(MCQ!$A:$K,ROW()-1+1,7),""),IF(ROW()-1&lt;=$L$2+$M$2,IFERROR(INDEX(CLOZE_AB!$A:$K,ROW()-1-$L$2+1,7),""),IF(ROW()-1&lt;=$L$2+$M$2+$N$2,IFERROR(INDEX(CLOZE_LIST!$A:$K,ROW()-1-$L$2-$M$2+1,7),""),IF(ROW()-1&lt;=$L$2+$M$2+$N$2+$O$2,IFERROR(INDEX(PROFORMA!$A:$K,ROW()-1-$L$2-$M$2-$N$2+1,7),""),"")))))</f>
        <v>core</v>
      </c>
      <c r="H50" s="3" t="str">
        <f>IF(ROW()-1&lt;=0,"",IF(ROW()-1&lt;=$L$2,IFERROR(INDEX(MCQ!$A:$K,ROW()-1+1,8),""),IF(ROW()-1&lt;=$L$2+$M$2,IFERROR(INDEX(CLOZE_AB!$A:$K,ROW()-1-$L$2+1,8),""),IF(ROW()-1&lt;=$L$2+$M$2+$N$2,IFERROR(INDEX(CLOZE_LIST!$A:$K,ROW()-1-$L$2-$M$2+1,8),""),IF(ROW()-1&lt;=$L$2+$M$2+$N$2+$O$2,IFERROR(INDEX(PROFORMA!$A:$K,ROW()-1-$L$2-$M$2-$N$2+1,8),""),"")))))</f>
        <v>Y</v>
      </c>
      <c r="I50" s="3" t="str">
        <f>IF(ROW()-1&lt;=0,"",IF(ROW()-1&lt;=$L$2,IFERROR(INDEX(MCQ!$A:$K,ROW()-1+1,9),""),IF(ROW()-1&lt;=$L$2+$M$2,IFERROR(INDEX(CLOZE_AB!$A:$K,ROW()-1-$L$2+1,9),""),IF(ROW()-1&lt;=$L$2+$M$2+$N$2,IFERROR(INDEX(CLOZE_LIST!$A:$K,ROW()-1-$L$2-$M$2+1,9),""),IF(ROW()-1&lt;=$L$2+$M$2+$N$2+$O$2,IFERROR(INDEX(PROFORMA!$A:$K,ROW()-1-$L$2-$M$2-$N$2+1,9),""),"")))))</f>
        <v>iht|trigger_time</v>
      </c>
      <c r="J50" s="3" t="str">
        <f>IF(ROW()-1&lt;=0,"",IF(ROW()-1&lt;=$L$2,IFERROR(INDEX(MCQ!$A:$K,ROW()-1+1,10),""),IF(ROW()-1&lt;=$L$2+$M$2,IFERROR(INDEX(CLOZE_AB!$A:$K,ROW()-1-$L$2+1,10),""),IF(ROW()-1&lt;=$L$2+$M$2+$N$2,IFERROR(INDEX(CLOZE_LIST!$A:$K,ROW()-1-$L$2-$M$2+1,10),""),IF(ROW()-1&lt;=$L$2+$M$2+$N$2+$O$2,IFERROR(INDEX(PROFORMA!$A:$K,ROW()-1-$L$2-$M$2-$N$2+1,10),""),"")))))</f>
        <v>image_notes</v>
      </c>
      <c r="K50" s="3">
        <f>IF(ROW()-1&lt;=0,"",IF(ROW()-1&lt;=$L$2,IFERROR(INDEX(MCQ!$A:$K,ROW()-1+1,11),""),IF(ROW()-1&lt;=$L$2+$M$2,IFERROR(INDEX(CLOZE_AB!$A:$K,ROW()-1-$L$2+1,11),""),IF(ROW()-1&lt;=$L$2+$M$2+$N$2,IFERROR(INDEX(CLOZE_LIST!$A:$K,ROW()-1-$L$2-$M$2+1,11),""),IF(ROW()-1&lt;=$L$2+$M$2+$N$2+$O$2,IFERROR(INDEX(PROFORMA!$A:$K,ROW()-1-$L$2-$M$2-$N$2+1,11),""),"")))))</f>
        <v>1</v>
      </c>
      <c r="L50" s="3">
        <f>COUNTA(MCQ!$A:$A)-1</f>
        <v>143</v>
      </c>
      <c r="M50" s="3">
        <f>COUNTA(CLOZE_AB!$A:$A)-1</f>
        <v>168</v>
      </c>
      <c r="N50" s="3">
        <f>COUNTA(CLOZE_LIST!$A:$A)-1</f>
        <v>199</v>
      </c>
      <c r="O50" s="3">
        <f>COUNTA(PROFORMA!$A:$A)-1</f>
        <v>199</v>
      </c>
    </row>
    <row r="51" spans="1:15" x14ac:dyDescent="0.3">
      <c r="A51" s="3" t="str">
        <f>IF(ROW()-1&lt;=0,"",IF(ROW()-1&lt;=$L$2,IFERROR(INDEX(MCQ!$A:$K,ROW()-1+1,1),""),IF(ROW()-1&lt;=$L$2+$M$2,IFERROR(INDEX(CLOZE_AB!$A:$K,ROW()-1-$L$2+1,1),""),IF(ROW()-1&lt;=$L$2+$M$2+$N$2,IFERROR(INDEX(CLOZE_LIST!$A:$K,ROW()-1-$L$2-$M$2+1,1),""),IF(ROW()-1&lt;=$L$2+$M$2+$N$2+$O$2,IFERROR(INDEX(PROFORMA!$A:$K,ROW()-1-$L$2-$M$2-$N$2+1,1),""),"")))))</f>
        <v>MCQ_ITNIC_CALC_DISALLOW_001</v>
      </c>
      <c r="B51" s="3" t="str">
        <f>IF(ROW()-1&lt;=0,"",IF(ROW()-1&lt;=$L$2,IFERROR(INDEX(MCQ!$A:$K,ROW()-1+1,2),""),IF(ROW()-1&lt;=$L$2+$M$2,IFERROR(INDEX(CLOZE_AB!$A:$K,ROW()-1-$L$2+1,2),""),IF(ROW()-1&lt;=$L$2+$M$2+$N$2,IFERROR(INDEX(CLOZE_LIST!$A:$K,ROW()-1-$L$2-$M$2+1,2),""),IF(ROW()-1&lt;=$L$2+$M$2+$N$2+$O$2,IFERROR(INDEX(PROFORMA!$A:$K,ROW()-1-$L$2-$M$2-$N$2+1,2),""),"")))))</f>
        <v>Income tax &amp; NIC</v>
      </c>
      <c r="C51" s="3" t="str">
        <f>IF(ROW()-1&lt;=0,"",IF(ROW()-1&lt;=$L$2,IFERROR(INDEX(MCQ!$A:$K,ROW()-1+1,3),""),IF(ROW()-1&lt;=$L$2+$M$2,IFERROR(INDEX(CLOZE_AB!$A:$K,ROW()-1-$L$2+1,3),""),IF(ROW()-1&lt;=$L$2+$M$2+$N$2,IFERROR(INDEX(CLOZE_LIST!$A:$K,ROW()-1-$L$2-$M$2+1,3),""),IF(ROW()-1&lt;=$L$2+$M$2+$N$2+$O$2,IFERROR(INDEX(PROFORMA!$A:$K,ROW()-1-$L$2-$M$2-$N$2+1,3),""),"")))))</f>
        <v>calculations</v>
      </c>
      <c r="D51" s="3" t="str">
        <f>IF(ROW()-1&lt;=0,"",IF(ROW()-1&lt;=$L$2,IFERROR(INDEX(MCQ!$A:$K,ROW()-1+1,4),""),IF(ROW()-1&lt;=$L$2+$M$2,IFERROR(INDEX(CLOZE_AB!$A:$K,ROW()-1-$L$2+1,4),""),IF(ROW()-1&lt;=$L$2+$M$2+$N$2,IFERROR(INDEX(CLOZE_LIST!$A:$K,ROW()-1-$L$2-$M$2+1,4),""),IF(ROW()-1&lt;=$L$2+$M$2+$N$2+$O$2,IFERROR(INDEX(PROFORMA!$A:$K,ROW()-1-$L$2-$M$2-$N$2+1,4),""),"")))))</f>
        <v>Disallowable trading expenses</v>
      </c>
      <c r="E51" s="3" t="str">
        <f>IF(ROW()-1&lt;=0,"",IF(ROW()-1&lt;=$L$2,IFERROR(INDEX(MCQ!$A:$K,ROW()-1+1,5),""),IF(ROW()-1&lt;=$L$2+$M$2,IFERROR(INDEX(CLOZE_AB!$A:$K,ROW()-1-$L$2+1,5),""),IF(ROW()-1&lt;=$L$2+$M$2+$N$2,IFERROR(INDEX(CLOZE_LIST!$A:$K,ROW()-1-$L$2-$M$2+1,5),""),IF(ROW()-1&lt;=$L$2+$M$2+$N$2+$O$2,IFERROR(INDEX(PROFORMA!$A:$K,ROW()-1-$L$2-$M$2-$N$2+1,5),""),"")))))</f>
        <v>mcq_radio</v>
      </c>
      <c r="F51" s="3">
        <f>IF(ROW()-1&lt;=0,"",IF(ROW()-1&lt;=$L$2,IFERROR(INDEX(MCQ!$A:$K,ROW()-1+1,6),""),IF(ROW()-1&lt;=$L$2+$M$2,IFERROR(INDEX(CLOZE_AB!$A:$K,ROW()-1-$L$2+1,6),""),IF(ROW()-1&lt;=$L$2+$M$2+$N$2,IFERROR(INDEX(CLOZE_LIST!$A:$K,ROW()-1-$L$2-$M$2+1,6),""),IF(ROW()-1&lt;=$L$2+$M$2+$N$2+$O$2,IFERROR(INDEX(PROFORMA!$A:$K,ROW()-1-$L$2-$M$2-$N$2+1,6),""),"")))))</f>
        <v>3</v>
      </c>
      <c r="G51" s="3" t="str">
        <f>IF(ROW()-1&lt;=0,"",IF(ROW()-1&lt;=$L$2,IFERROR(INDEX(MCQ!$A:$K,ROW()-1+1,7),""),IF(ROW()-1&lt;=$L$2+$M$2,IFERROR(INDEX(CLOZE_AB!$A:$K,ROW()-1-$L$2+1,7),""),IF(ROW()-1&lt;=$L$2+$M$2+$N$2,IFERROR(INDEX(CLOZE_LIST!$A:$K,ROW()-1-$L$2-$M$2+1,7),""),IF(ROW()-1&lt;=$L$2+$M$2+$N$2+$O$2,IFERROR(INDEX(PROFORMA!$A:$K,ROW()-1-$L$2-$M$2-$N$2+1,7),""),"")))))</f>
        <v>core</v>
      </c>
      <c r="H51" s="3" t="str">
        <f>IF(ROW()-1&lt;=0,"",IF(ROW()-1&lt;=$L$2,IFERROR(INDEX(MCQ!$A:$K,ROW()-1+1,8),""),IF(ROW()-1&lt;=$L$2+$M$2,IFERROR(INDEX(CLOZE_AB!$A:$K,ROW()-1-$L$2+1,8),""),IF(ROW()-1&lt;=$L$2+$M$2+$N$2,IFERROR(INDEX(CLOZE_LIST!$A:$K,ROW()-1-$L$2-$M$2+1,8),""),IF(ROW()-1&lt;=$L$2+$M$2+$N$2+$O$2,IFERROR(INDEX(PROFORMA!$A:$K,ROW()-1-$L$2-$M$2-$N$2+1,8),""),"")))))</f>
        <v>Y</v>
      </c>
      <c r="I51" s="3" t="str">
        <f>IF(ROW()-1&lt;=0,"",IF(ROW()-1&lt;=$L$2,IFERROR(INDEX(MCQ!$A:$K,ROW()-1+1,9),""),IF(ROW()-1&lt;=$L$2+$M$2,IFERROR(INDEX(CLOZE_AB!$A:$K,ROW()-1-$L$2+1,9),""),IF(ROW()-1&lt;=$L$2+$M$2+$N$2,IFERROR(INDEX(CLOZE_LIST!$A:$K,ROW()-1-$L$2-$M$2+1,9),""),IF(ROW()-1&lt;=$L$2+$M$2+$N$2+$O$2,IFERROR(INDEX(PROFORMA!$A:$K,ROW()-1-$L$2-$M$2-$N$2+1,9),""),"")))))</f>
        <v>disallowable;drawings</v>
      </c>
      <c r="J51" s="3" t="str">
        <f>IF(ROW()-1&lt;=0,"",IF(ROW()-1&lt;=$L$2,IFERROR(INDEX(MCQ!$A:$K,ROW()-1+1,10),""),IF(ROW()-1&lt;=$L$2+$M$2,IFERROR(INDEX(CLOZE_AB!$A:$K,ROW()-1-$L$2+1,10),""),IF(ROW()-1&lt;=$L$2+$M$2+$N$2,IFERROR(INDEX(CLOZE_LIST!$A:$K,ROW()-1-$L$2-$M$2+1,10),""),IF(ROW()-1&lt;=$L$2+$M$2+$N$2+$O$2,IFERROR(INDEX(PROFORMA!$A:$K,ROW()-1-$L$2-$M$2-$N$2+1,10),""),"")))))</f>
        <v>assistant_generated</v>
      </c>
      <c r="K51" s="3">
        <f>IF(ROW()-1&lt;=0,"",IF(ROW()-1&lt;=$L$2,IFERROR(INDEX(MCQ!$A:$K,ROW()-1+1,11),""),IF(ROW()-1&lt;=$L$2+$M$2,IFERROR(INDEX(CLOZE_AB!$A:$K,ROW()-1-$L$2+1,11),""),IF(ROW()-1&lt;=$L$2+$M$2+$N$2,IFERROR(INDEX(CLOZE_LIST!$A:$K,ROW()-1-$L$2-$M$2+1,11),""),IF(ROW()-1&lt;=$L$2+$M$2+$N$2+$O$2,IFERROR(INDEX(PROFORMA!$A:$K,ROW()-1-$L$2-$M$2-$N$2+1,11),""),"")))))</f>
        <v>1</v>
      </c>
      <c r="L51" s="3">
        <f>COUNTA(MCQ!$A:$A)-1</f>
        <v>143</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MCQ_ITNIC_CALC_DISALLOW_002</v>
      </c>
      <c r="B52" s="3" t="str">
        <f>IF(ROW()-1&lt;=0,"",IF(ROW()-1&lt;=$L$2,IFERROR(INDEX(MCQ!$A:$K,ROW()-1+1,2),""),IF(ROW()-1&lt;=$L$2+$M$2,IFERROR(INDEX(CLOZE_AB!$A:$K,ROW()-1-$L$2+1,2),""),IF(ROW()-1&lt;=$L$2+$M$2+$N$2,IFERROR(INDEX(CLOZE_LIST!$A:$K,ROW()-1-$L$2-$M$2+1,2),""),IF(ROW()-1&lt;=$L$2+$M$2+$N$2+$O$2,IFERROR(INDEX(PROFORMA!$A:$K,ROW()-1-$L$2-$M$2-$N$2+1,2),""),"")))))</f>
        <v>Income tax &amp; NIC</v>
      </c>
      <c r="C52" s="3" t="str">
        <f>IF(ROW()-1&lt;=0,"",IF(ROW()-1&lt;=$L$2,IFERROR(INDEX(MCQ!$A:$K,ROW()-1+1,3),""),IF(ROW()-1&lt;=$L$2+$M$2,IFERROR(INDEX(CLOZE_AB!$A:$K,ROW()-1-$L$2+1,3),""),IF(ROW()-1&lt;=$L$2+$M$2+$N$2,IFERROR(INDEX(CLOZE_LIST!$A:$K,ROW()-1-$L$2-$M$2+1,3),""),IF(ROW()-1&lt;=$L$2+$M$2+$N$2+$O$2,IFERROR(INDEX(PROFORMA!$A:$K,ROW()-1-$L$2-$M$2-$N$2+1,3),""),"")))))</f>
        <v>calculations</v>
      </c>
      <c r="D52" s="3" t="str">
        <f>IF(ROW()-1&lt;=0,"",IF(ROW()-1&lt;=$L$2,IFERROR(INDEX(MCQ!$A:$K,ROW()-1+1,4),""),IF(ROW()-1&lt;=$L$2+$M$2,IFERROR(INDEX(CLOZE_AB!$A:$K,ROW()-1-$L$2+1,4),""),IF(ROW()-1&lt;=$L$2+$M$2+$N$2,IFERROR(INDEX(CLOZE_LIST!$A:$K,ROW()-1-$L$2-$M$2+1,4),""),IF(ROW()-1&lt;=$L$2+$M$2+$N$2+$O$2,IFERROR(INDEX(PROFORMA!$A:$K,ROW()-1-$L$2-$M$2-$N$2+1,4),""),"")))))</f>
        <v>Disallowable trading expenses</v>
      </c>
      <c r="E52" s="3" t="str">
        <f>IF(ROW()-1&lt;=0,"",IF(ROW()-1&lt;=$L$2,IFERROR(INDEX(MCQ!$A:$K,ROW()-1+1,5),""),IF(ROW()-1&lt;=$L$2+$M$2,IFERROR(INDEX(CLOZE_AB!$A:$K,ROW()-1-$L$2+1,5),""),IF(ROW()-1&lt;=$L$2+$M$2+$N$2,IFERROR(INDEX(CLOZE_LIST!$A:$K,ROW()-1-$L$2-$M$2+1,5),""),IF(ROW()-1&lt;=$L$2+$M$2+$N$2+$O$2,IFERROR(INDEX(PROFORMA!$A:$K,ROW()-1-$L$2-$M$2-$N$2+1,5),""),"")))))</f>
        <v>mcq_radio</v>
      </c>
      <c r="F52" s="3">
        <f>IF(ROW()-1&lt;=0,"",IF(ROW()-1&lt;=$L$2,IFERROR(INDEX(MCQ!$A:$K,ROW()-1+1,6),""),IF(ROW()-1&lt;=$L$2+$M$2,IFERROR(INDEX(CLOZE_AB!$A:$K,ROW()-1-$L$2+1,6),""),IF(ROW()-1&lt;=$L$2+$M$2+$N$2,IFERROR(INDEX(CLOZE_LIST!$A:$K,ROW()-1-$L$2-$M$2+1,6),""),IF(ROW()-1&lt;=$L$2+$M$2+$N$2+$O$2,IFERROR(INDEX(PROFORMA!$A:$K,ROW()-1-$L$2-$M$2-$N$2+1,6),""),"")))))</f>
        <v>3</v>
      </c>
      <c r="G52" s="3" t="str">
        <f>IF(ROW()-1&lt;=0,"",IF(ROW()-1&lt;=$L$2,IFERROR(INDEX(MCQ!$A:$K,ROW()-1+1,7),""),IF(ROW()-1&lt;=$L$2+$M$2,IFERROR(INDEX(CLOZE_AB!$A:$K,ROW()-1-$L$2+1,7),""),IF(ROW()-1&lt;=$L$2+$M$2+$N$2,IFERROR(INDEX(CLOZE_LIST!$A:$K,ROW()-1-$L$2-$M$2+1,7),""),IF(ROW()-1&lt;=$L$2+$M$2+$N$2+$O$2,IFERROR(INDEX(PROFORMA!$A:$K,ROW()-1-$L$2-$M$2-$N$2+1,7),""),"")))))</f>
        <v>core</v>
      </c>
      <c r="H52" s="3" t="str">
        <f>IF(ROW()-1&lt;=0,"",IF(ROW()-1&lt;=$L$2,IFERROR(INDEX(MCQ!$A:$K,ROW()-1+1,8),""),IF(ROW()-1&lt;=$L$2+$M$2,IFERROR(INDEX(CLOZE_AB!$A:$K,ROW()-1-$L$2+1,8),""),IF(ROW()-1&lt;=$L$2+$M$2+$N$2,IFERROR(INDEX(CLOZE_LIST!$A:$K,ROW()-1-$L$2-$M$2+1,8),""),IF(ROW()-1&lt;=$L$2+$M$2+$N$2+$O$2,IFERROR(INDEX(PROFORMA!$A:$K,ROW()-1-$L$2-$M$2-$N$2+1,8),""),"")))))</f>
        <v>Y</v>
      </c>
      <c r="I52" s="3" t="str">
        <f>IF(ROW()-1&lt;=0,"",IF(ROW()-1&lt;=$L$2,IFERROR(INDEX(MCQ!$A:$K,ROW()-1+1,9),""),IF(ROW()-1&lt;=$L$2+$M$2,IFERROR(INDEX(CLOZE_AB!$A:$K,ROW()-1-$L$2+1,9),""),IF(ROW()-1&lt;=$L$2+$M$2+$N$2,IFERROR(INDEX(CLOZE_LIST!$A:$K,ROW()-1-$L$2-$M$2+1,9),""),IF(ROW()-1&lt;=$L$2+$M$2+$N$2+$O$2,IFERROR(INDEX(PROFORMA!$A:$K,ROW()-1-$L$2-$M$2-$N$2+1,9),""),"")))))</f>
        <v>disallowable;wages</v>
      </c>
      <c r="J52" s="3" t="str">
        <f>IF(ROW()-1&lt;=0,"",IF(ROW()-1&lt;=$L$2,IFERROR(INDEX(MCQ!$A:$K,ROW()-1+1,10),""),IF(ROW()-1&lt;=$L$2+$M$2,IFERROR(INDEX(CLOZE_AB!$A:$K,ROW()-1-$L$2+1,10),""),IF(ROW()-1&lt;=$L$2+$M$2+$N$2,IFERROR(INDEX(CLOZE_LIST!$A:$K,ROW()-1-$L$2-$M$2+1,10),""),IF(ROW()-1&lt;=$L$2+$M$2+$N$2+$O$2,IFERROR(INDEX(PROFORMA!$A:$K,ROW()-1-$L$2-$M$2-$N$2+1,10),""),"")))))</f>
        <v>assistant_generated</v>
      </c>
      <c r="K52" s="3">
        <f>IF(ROW()-1&lt;=0,"",IF(ROW()-1&lt;=$L$2,IFERROR(INDEX(MCQ!$A:$K,ROW()-1+1,11),""),IF(ROW()-1&lt;=$L$2+$M$2,IFERROR(INDEX(CLOZE_AB!$A:$K,ROW()-1-$L$2+1,11),""),IF(ROW()-1&lt;=$L$2+$M$2+$N$2,IFERROR(INDEX(CLOZE_LIST!$A:$K,ROW()-1-$L$2-$M$2+1,11),""),IF(ROW()-1&lt;=$L$2+$M$2+$N$2+$O$2,IFERROR(INDEX(PROFORMA!$A:$K,ROW()-1-$L$2-$M$2-$N$2+1,11),""),"")))))</f>
        <v>1</v>
      </c>
      <c r="L52" s="3">
        <f>COUNTA(MCQ!$A:$A)-1</f>
        <v>143</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MCQ_ITNIC_CALC_DISALLOW_003</v>
      </c>
      <c r="B53" s="3" t="str">
        <f>IF(ROW()-1&lt;=0,"",IF(ROW()-1&lt;=$L$2,IFERROR(INDEX(MCQ!$A:$K,ROW()-1+1,2),""),IF(ROW()-1&lt;=$L$2+$M$2,IFERROR(INDEX(CLOZE_AB!$A:$K,ROW()-1-$L$2+1,2),""),IF(ROW()-1&lt;=$L$2+$M$2+$N$2,IFERROR(INDEX(CLOZE_LIST!$A:$K,ROW()-1-$L$2-$M$2+1,2),""),IF(ROW()-1&lt;=$L$2+$M$2+$N$2+$O$2,IFERROR(INDEX(PROFORMA!$A:$K,ROW()-1-$L$2-$M$2-$N$2+1,2),""),"")))))</f>
        <v>Income tax &amp; NIC</v>
      </c>
      <c r="C53" s="3" t="str">
        <f>IF(ROW()-1&lt;=0,"",IF(ROW()-1&lt;=$L$2,IFERROR(INDEX(MCQ!$A:$K,ROW()-1+1,3),""),IF(ROW()-1&lt;=$L$2+$M$2,IFERROR(INDEX(CLOZE_AB!$A:$K,ROW()-1-$L$2+1,3),""),IF(ROW()-1&lt;=$L$2+$M$2+$N$2,IFERROR(INDEX(CLOZE_LIST!$A:$K,ROW()-1-$L$2-$M$2+1,3),""),IF(ROW()-1&lt;=$L$2+$M$2+$N$2+$O$2,IFERROR(INDEX(PROFORMA!$A:$K,ROW()-1-$L$2-$M$2-$N$2+1,3),""),"")))))</f>
        <v>calculations</v>
      </c>
      <c r="D53" s="3" t="str">
        <f>IF(ROW()-1&lt;=0,"",IF(ROW()-1&lt;=$L$2,IFERROR(INDEX(MCQ!$A:$K,ROW()-1+1,4),""),IF(ROW()-1&lt;=$L$2+$M$2,IFERROR(INDEX(CLOZE_AB!$A:$K,ROW()-1-$L$2+1,4),""),IF(ROW()-1&lt;=$L$2+$M$2+$N$2,IFERROR(INDEX(CLOZE_LIST!$A:$K,ROW()-1-$L$2-$M$2+1,4),""),IF(ROW()-1&lt;=$L$2+$M$2+$N$2+$O$2,IFERROR(INDEX(PROFORMA!$A:$K,ROW()-1-$L$2-$M$2-$N$2+1,4),""),"")))))</f>
        <v>Disallowable trading expenses</v>
      </c>
      <c r="E53" s="3" t="str">
        <f>IF(ROW()-1&lt;=0,"",IF(ROW()-1&lt;=$L$2,IFERROR(INDEX(MCQ!$A:$K,ROW()-1+1,5),""),IF(ROW()-1&lt;=$L$2+$M$2,IFERROR(INDEX(CLOZE_AB!$A:$K,ROW()-1-$L$2+1,5),""),IF(ROW()-1&lt;=$L$2+$M$2+$N$2,IFERROR(INDEX(CLOZE_LIST!$A:$K,ROW()-1-$L$2-$M$2+1,5),""),IF(ROW()-1&lt;=$L$2+$M$2+$N$2+$O$2,IFERROR(INDEX(PROFORMA!$A:$K,ROW()-1-$L$2-$M$2-$N$2+1,5),""),"")))))</f>
        <v>mcq_radio</v>
      </c>
      <c r="F53" s="3">
        <f>IF(ROW()-1&lt;=0,"",IF(ROW()-1&lt;=$L$2,IFERROR(INDEX(MCQ!$A:$K,ROW()-1+1,6),""),IF(ROW()-1&lt;=$L$2+$M$2,IFERROR(INDEX(CLOZE_AB!$A:$K,ROW()-1-$L$2+1,6),""),IF(ROW()-1&lt;=$L$2+$M$2+$N$2,IFERROR(INDEX(CLOZE_LIST!$A:$K,ROW()-1-$L$2-$M$2+1,6),""),IF(ROW()-1&lt;=$L$2+$M$2+$N$2+$O$2,IFERROR(INDEX(PROFORMA!$A:$K,ROW()-1-$L$2-$M$2-$N$2+1,6),""),"")))))</f>
        <v>3</v>
      </c>
      <c r="G53" s="3" t="str">
        <f>IF(ROW()-1&lt;=0,"",IF(ROW()-1&lt;=$L$2,IFERROR(INDEX(MCQ!$A:$K,ROW()-1+1,7),""),IF(ROW()-1&lt;=$L$2+$M$2,IFERROR(INDEX(CLOZE_AB!$A:$K,ROW()-1-$L$2+1,7),""),IF(ROW()-1&lt;=$L$2+$M$2+$N$2,IFERROR(INDEX(CLOZE_LIST!$A:$K,ROW()-1-$L$2-$M$2+1,7),""),IF(ROW()-1&lt;=$L$2+$M$2+$N$2+$O$2,IFERROR(INDEX(PROFORMA!$A:$K,ROW()-1-$L$2-$M$2-$N$2+1,7),""),"")))))</f>
        <v>core</v>
      </c>
      <c r="H53" s="3" t="str">
        <f>IF(ROW()-1&lt;=0,"",IF(ROW()-1&lt;=$L$2,IFERROR(INDEX(MCQ!$A:$K,ROW()-1+1,8),""),IF(ROW()-1&lt;=$L$2+$M$2,IFERROR(INDEX(CLOZE_AB!$A:$K,ROW()-1-$L$2+1,8),""),IF(ROW()-1&lt;=$L$2+$M$2+$N$2,IFERROR(INDEX(CLOZE_LIST!$A:$K,ROW()-1-$L$2-$M$2+1,8),""),IF(ROW()-1&lt;=$L$2+$M$2+$N$2+$O$2,IFERROR(INDEX(PROFORMA!$A:$K,ROW()-1-$L$2-$M$2-$N$2+1,8),""),"")))))</f>
        <v>Y</v>
      </c>
      <c r="I53" s="3" t="str">
        <f>IF(ROW()-1&lt;=0,"",IF(ROW()-1&lt;=$L$2,IFERROR(INDEX(MCQ!$A:$K,ROW()-1+1,9),""),IF(ROW()-1&lt;=$L$2+$M$2,IFERROR(INDEX(CLOZE_AB!$A:$K,ROW()-1-$L$2+1,9),""),IF(ROW()-1&lt;=$L$2+$M$2+$N$2,IFERROR(INDEX(CLOZE_LIST!$A:$K,ROW()-1-$L$2-$M$2+1,9),""),IF(ROW()-1&lt;=$L$2+$M$2+$N$2+$O$2,IFERROR(INDEX(PROFORMA!$A:$K,ROW()-1-$L$2-$M$2-$N$2+1,9),""),"")))))</f>
        <v>disallowable;capital</v>
      </c>
      <c r="J53" s="3" t="str">
        <f>IF(ROW()-1&lt;=0,"",IF(ROW()-1&lt;=$L$2,IFERROR(INDEX(MCQ!$A:$K,ROW()-1+1,10),""),IF(ROW()-1&lt;=$L$2+$M$2,IFERROR(INDEX(CLOZE_AB!$A:$K,ROW()-1-$L$2+1,10),""),IF(ROW()-1&lt;=$L$2+$M$2+$N$2,IFERROR(INDEX(CLOZE_LIST!$A:$K,ROW()-1-$L$2-$M$2+1,10),""),IF(ROW()-1&lt;=$L$2+$M$2+$N$2+$O$2,IFERROR(INDEX(PROFORMA!$A:$K,ROW()-1-$L$2-$M$2-$N$2+1,10),""),"")))))</f>
        <v>assistant_generated</v>
      </c>
      <c r="K53" s="3">
        <f>IF(ROW()-1&lt;=0,"",IF(ROW()-1&lt;=$L$2,IFERROR(INDEX(MCQ!$A:$K,ROW()-1+1,11),""),IF(ROW()-1&lt;=$L$2+$M$2,IFERROR(INDEX(CLOZE_AB!$A:$K,ROW()-1-$L$2+1,11),""),IF(ROW()-1&lt;=$L$2+$M$2+$N$2,IFERROR(INDEX(CLOZE_LIST!$A:$K,ROW()-1-$L$2-$M$2+1,11),""),IF(ROW()-1&lt;=$L$2+$M$2+$N$2+$O$2,IFERROR(INDEX(PROFORMA!$A:$K,ROW()-1-$L$2-$M$2-$N$2+1,11),""),"")))))</f>
        <v>1</v>
      </c>
      <c r="L53" s="3">
        <f>COUNTA(MCQ!$A:$A)-1</f>
        <v>143</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MCQ_ITNIC_CALC_DISALLOW_004</v>
      </c>
      <c r="B54" s="3" t="str">
        <f>IF(ROW()-1&lt;=0,"",IF(ROW()-1&lt;=$L$2,IFERROR(INDEX(MCQ!$A:$K,ROW()-1+1,2),""),IF(ROW()-1&lt;=$L$2+$M$2,IFERROR(INDEX(CLOZE_AB!$A:$K,ROW()-1-$L$2+1,2),""),IF(ROW()-1&lt;=$L$2+$M$2+$N$2,IFERROR(INDEX(CLOZE_LIST!$A:$K,ROW()-1-$L$2-$M$2+1,2),""),IF(ROW()-1&lt;=$L$2+$M$2+$N$2+$O$2,IFERROR(INDEX(PROFORMA!$A:$K,ROW()-1-$L$2-$M$2-$N$2+1,2),""),"")))))</f>
        <v>Income tax &amp; NIC</v>
      </c>
      <c r="C54" s="3" t="str">
        <f>IF(ROW()-1&lt;=0,"",IF(ROW()-1&lt;=$L$2,IFERROR(INDEX(MCQ!$A:$K,ROW()-1+1,3),""),IF(ROW()-1&lt;=$L$2+$M$2,IFERROR(INDEX(CLOZE_AB!$A:$K,ROW()-1-$L$2+1,3),""),IF(ROW()-1&lt;=$L$2+$M$2+$N$2,IFERROR(INDEX(CLOZE_LIST!$A:$K,ROW()-1-$L$2-$M$2+1,3),""),IF(ROW()-1&lt;=$L$2+$M$2+$N$2+$O$2,IFERROR(INDEX(PROFORMA!$A:$K,ROW()-1-$L$2-$M$2-$N$2+1,3),""),"")))))</f>
        <v>calculations</v>
      </c>
      <c r="D54" s="3" t="str">
        <f>IF(ROW()-1&lt;=0,"",IF(ROW()-1&lt;=$L$2,IFERROR(INDEX(MCQ!$A:$K,ROW()-1+1,4),""),IF(ROW()-1&lt;=$L$2+$M$2,IFERROR(INDEX(CLOZE_AB!$A:$K,ROW()-1-$L$2+1,4),""),IF(ROW()-1&lt;=$L$2+$M$2+$N$2,IFERROR(INDEX(CLOZE_LIST!$A:$K,ROW()-1-$L$2-$M$2+1,4),""),IF(ROW()-1&lt;=$L$2+$M$2+$N$2+$O$2,IFERROR(INDEX(PROFORMA!$A:$K,ROW()-1-$L$2-$M$2-$N$2+1,4),""),"")))))</f>
        <v>Disallowable trading expenses</v>
      </c>
      <c r="E54" s="3" t="str">
        <f>IF(ROW()-1&lt;=0,"",IF(ROW()-1&lt;=$L$2,IFERROR(INDEX(MCQ!$A:$K,ROW()-1+1,5),""),IF(ROW()-1&lt;=$L$2+$M$2,IFERROR(INDEX(CLOZE_AB!$A:$K,ROW()-1-$L$2+1,5),""),IF(ROW()-1&lt;=$L$2+$M$2+$N$2,IFERROR(INDEX(CLOZE_LIST!$A:$K,ROW()-1-$L$2-$M$2+1,5),""),IF(ROW()-1&lt;=$L$2+$M$2+$N$2+$O$2,IFERROR(INDEX(PROFORMA!$A:$K,ROW()-1-$L$2-$M$2-$N$2+1,5),""),"")))))</f>
        <v>mcq_radio</v>
      </c>
      <c r="F54" s="3">
        <f>IF(ROW()-1&lt;=0,"",IF(ROW()-1&lt;=$L$2,IFERROR(INDEX(MCQ!$A:$K,ROW()-1+1,6),""),IF(ROW()-1&lt;=$L$2+$M$2,IFERROR(INDEX(CLOZE_AB!$A:$K,ROW()-1-$L$2+1,6),""),IF(ROW()-1&lt;=$L$2+$M$2+$N$2,IFERROR(INDEX(CLOZE_LIST!$A:$K,ROW()-1-$L$2-$M$2+1,6),""),IF(ROW()-1&lt;=$L$2+$M$2+$N$2+$O$2,IFERROR(INDEX(PROFORMA!$A:$K,ROW()-1-$L$2-$M$2-$N$2+1,6),""),"")))))</f>
        <v>3</v>
      </c>
      <c r="G54" s="3" t="str">
        <f>IF(ROW()-1&lt;=0,"",IF(ROW()-1&lt;=$L$2,IFERROR(INDEX(MCQ!$A:$K,ROW()-1+1,7),""),IF(ROW()-1&lt;=$L$2+$M$2,IFERROR(INDEX(CLOZE_AB!$A:$K,ROW()-1-$L$2+1,7),""),IF(ROW()-1&lt;=$L$2+$M$2+$N$2,IFERROR(INDEX(CLOZE_LIST!$A:$K,ROW()-1-$L$2-$M$2+1,7),""),IF(ROW()-1&lt;=$L$2+$M$2+$N$2+$O$2,IFERROR(INDEX(PROFORMA!$A:$K,ROW()-1-$L$2-$M$2-$N$2+1,7),""),"")))))</f>
        <v>core</v>
      </c>
      <c r="H54" s="3" t="str">
        <f>IF(ROW()-1&lt;=0,"",IF(ROW()-1&lt;=$L$2,IFERROR(INDEX(MCQ!$A:$K,ROW()-1+1,8),""),IF(ROW()-1&lt;=$L$2+$M$2,IFERROR(INDEX(CLOZE_AB!$A:$K,ROW()-1-$L$2+1,8),""),IF(ROW()-1&lt;=$L$2+$M$2+$N$2,IFERROR(INDEX(CLOZE_LIST!$A:$K,ROW()-1-$L$2-$M$2+1,8),""),IF(ROW()-1&lt;=$L$2+$M$2+$N$2+$O$2,IFERROR(INDEX(PROFORMA!$A:$K,ROW()-1-$L$2-$M$2-$N$2+1,8),""),"")))))</f>
        <v>Y</v>
      </c>
      <c r="I54" s="3" t="str">
        <f>IF(ROW()-1&lt;=0,"",IF(ROW()-1&lt;=$L$2,IFERROR(INDEX(MCQ!$A:$K,ROW()-1+1,9),""),IF(ROW()-1&lt;=$L$2+$M$2,IFERROR(INDEX(CLOZE_AB!$A:$K,ROW()-1-$L$2+1,9),""),IF(ROW()-1&lt;=$L$2+$M$2+$N$2,IFERROR(INDEX(CLOZE_LIST!$A:$K,ROW()-1-$L$2-$M$2+1,9),""),IF(ROW()-1&lt;=$L$2+$M$2+$N$2+$O$2,IFERROR(INDEX(PROFORMA!$A:$K,ROW()-1-$L$2-$M$2-$N$2+1,9),""),"")))))</f>
        <v>disallowable;donations</v>
      </c>
      <c r="J54" s="3" t="str">
        <f>IF(ROW()-1&lt;=0,"",IF(ROW()-1&lt;=$L$2,IFERROR(INDEX(MCQ!$A:$K,ROW()-1+1,10),""),IF(ROW()-1&lt;=$L$2+$M$2,IFERROR(INDEX(CLOZE_AB!$A:$K,ROW()-1-$L$2+1,10),""),IF(ROW()-1&lt;=$L$2+$M$2+$N$2,IFERROR(INDEX(CLOZE_LIST!$A:$K,ROW()-1-$L$2-$M$2+1,10),""),IF(ROW()-1&lt;=$L$2+$M$2+$N$2+$O$2,IFERROR(INDEX(PROFORMA!$A:$K,ROW()-1-$L$2-$M$2-$N$2+1,10),""),"")))))</f>
        <v>assistant_generated</v>
      </c>
      <c r="K54" s="3">
        <f>IF(ROW()-1&lt;=0,"",IF(ROW()-1&lt;=$L$2,IFERROR(INDEX(MCQ!$A:$K,ROW()-1+1,11),""),IF(ROW()-1&lt;=$L$2+$M$2,IFERROR(INDEX(CLOZE_AB!$A:$K,ROW()-1-$L$2+1,11),""),IF(ROW()-1&lt;=$L$2+$M$2+$N$2,IFERROR(INDEX(CLOZE_LIST!$A:$K,ROW()-1-$L$2-$M$2+1,11),""),IF(ROW()-1&lt;=$L$2+$M$2+$N$2+$O$2,IFERROR(INDEX(PROFORMA!$A:$K,ROW()-1-$L$2-$M$2-$N$2+1,11),""),"")))))</f>
        <v>1</v>
      </c>
      <c r="L54" s="3">
        <f>COUNTA(MCQ!$A:$A)-1</f>
        <v>143</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MCQ_ITNIC_CALC_DISALLOW_005</v>
      </c>
      <c r="B55" s="3" t="str">
        <f>IF(ROW()-1&lt;=0,"",IF(ROW()-1&lt;=$L$2,IFERROR(INDEX(MCQ!$A:$K,ROW()-1+1,2),""),IF(ROW()-1&lt;=$L$2+$M$2,IFERROR(INDEX(CLOZE_AB!$A:$K,ROW()-1-$L$2+1,2),""),IF(ROW()-1&lt;=$L$2+$M$2+$N$2,IFERROR(INDEX(CLOZE_LIST!$A:$K,ROW()-1-$L$2-$M$2+1,2),""),IF(ROW()-1&lt;=$L$2+$M$2+$N$2+$O$2,IFERROR(INDEX(PROFORMA!$A:$K,ROW()-1-$L$2-$M$2-$N$2+1,2),""),"")))))</f>
        <v>Income tax &amp; NIC</v>
      </c>
      <c r="C55" s="3" t="str">
        <f>IF(ROW()-1&lt;=0,"",IF(ROW()-1&lt;=$L$2,IFERROR(INDEX(MCQ!$A:$K,ROW()-1+1,3),""),IF(ROW()-1&lt;=$L$2+$M$2,IFERROR(INDEX(CLOZE_AB!$A:$K,ROW()-1-$L$2+1,3),""),IF(ROW()-1&lt;=$L$2+$M$2+$N$2,IFERROR(INDEX(CLOZE_LIST!$A:$K,ROW()-1-$L$2-$M$2+1,3),""),IF(ROW()-1&lt;=$L$2+$M$2+$N$2+$O$2,IFERROR(INDEX(PROFORMA!$A:$K,ROW()-1-$L$2-$M$2-$N$2+1,3),""),"")))))</f>
        <v>calculations</v>
      </c>
      <c r="D55" s="3" t="str">
        <f>IF(ROW()-1&lt;=0,"",IF(ROW()-1&lt;=$L$2,IFERROR(INDEX(MCQ!$A:$K,ROW()-1+1,4),""),IF(ROW()-1&lt;=$L$2+$M$2,IFERROR(INDEX(CLOZE_AB!$A:$K,ROW()-1-$L$2+1,4),""),IF(ROW()-1&lt;=$L$2+$M$2+$N$2,IFERROR(INDEX(CLOZE_LIST!$A:$K,ROW()-1-$L$2-$M$2+1,4),""),IF(ROW()-1&lt;=$L$2+$M$2+$N$2+$O$2,IFERROR(INDEX(PROFORMA!$A:$K,ROW()-1-$L$2-$M$2-$N$2+1,4),""),"")))))</f>
        <v>Disallowable trading expenses</v>
      </c>
      <c r="E55" s="3" t="str">
        <f>IF(ROW()-1&lt;=0,"",IF(ROW()-1&lt;=$L$2,IFERROR(INDEX(MCQ!$A:$K,ROW()-1+1,5),""),IF(ROW()-1&lt;=$L$2+$M$2,IFERROR(INDEX(CLOZE_AB!$A:$K,ROW()-1-$L$2+1,5),""),IF(ROW()-1&lt;=$L$2+$M$2+$N$2,IFERROR(INDEX(CLOZE_LIST!$A:$K,ROW()-1-$L$2-$M$2+1,5),""),IF(ROW()-1&lt;=$L$2+$M$2+$N$2+$O$2,IFERROR(INDEX(PROFORMA!$A:$K,ROW()-1-$L$2-$M$2-$N$2+1,5),""),"")))))</f>
        <v>mcq_radio</v>
      </c>
      <c r="F55" s="3">
        <f>IF(ROW()-1&lt;=0,"",IF(ROW()-1&lt;=$L$2,IFERROR(INDEX(MCQ!$A:$K,ROW()-1+1,6),""),IF(ROW()-1&lt;=$L$2+$M$2,IFERROR(INDEX(CLOZE_AB!$A:$K,ROW()-1-$L$2+1,6),""),IF(ROW()-1&lt;=$L$2+$M$2+$N$2,IFERROR(INDEX(CLOZE_LIST!$A:$K,ROW()-1-$L$2-$M$2+1,6),""),IF(ROW()-1&lt;=$L$2+$M$2+$N$2+$O$2,IFERROR(INDEX(PROFORMA!$A:$K,ROW()-1-$L$2-$M$2-$N$2+1,6),""),"")))))</f>
        <v>3</v>
      </c>
      <c r="G55" s="3" t="str">
        <f>IF(ROW()-1&lt;=0,"",IF(ROW()-1&lt;=$L$2,IFERROR(INDEX(MCQ!$A:$K,ROW()-1+1,7),""),IF(ROW()-1&lt;=$L$2+$M$2,IFERROR(INDEX(CLOZE_AB!$A:$K,ROW()-1-$L$2+1,7),""),IF(ROW()-1&lt;=$L$2+$M$2+$N$2,IFERROR(INDEX(CLOZE_LIST!$A:$K,ROW()-1-$L$2-$M$2+1,7),""),IF(ROW()-1&lt;=$L$2+$M$2+$N$2+$O$2,IFERROR(INDEX(PROFORMA!$A:$K,ROW()-1-$L$2-$M$2-$N$2+1,7),""),"")))))</f>
        <v>core</v>
      </c>
      <c r="H55" s="3" t="str">
        <f>IF(ROW()-1&lt;=0,"",IF(ROW()-1&lt;=$L$2,IFERROR(INDEX(MCQ!$A:$K,ROW()-1+1,8),""),IF(ROW()-1&lt;=$L$2+$M$2,IFERROR(INDEX(CLOZE_AB!$A:$K,ROW()-1-$L$2+1,8),""),IF(ROW()-1&lt;=$L$2+$M$2+$N$2,IFERROR(INDEX(CLOZE_LIST!$A:$K,ROW()-1-$L$2-$M$2+1,8),""),IF(ROW()-1&lt;=$L$2+$M$2+$N$2+$O$2,IFERROR(INDEX(PROFORMA!$A:$K,ROW()-1-$L$2-$M$2-$N$2+1,8),""),"")))))</f>
        <v>Y</v>
      </c>
      <c r="I55" s="3" t="str">
        <f>IF(ROW()-1&lt;=0,"",IF(ROW()-1&lt;=$L$2,IFERROR(INDEX(MCQ!$A:$K,ROW()-1+1,9),""),IF(ROW()-1&lt;=$L$2+$M$2,IFERROR(INDEX(CLOZE_AB!$A:$K,ROW()-1-$L$2+1,9),""),IF(ROW()-1&lt;=$L$2+$M$2+$N$2,IFERROR(INDEX(CLOZE_LIST!$A:$K,ROW()-1-$L$2-$M$2+1,9),""),IF(ROW()-1&lt;=$L$2+$M$2+$N$2+$O$2,IFERROR(INDEX(PROFORMA!$A:$K,ROW()-1-$L$2-$M$2-$N$2+1,9),""),"")))))</f>
        <v>disallowable;medical</v>
      </c>
      <c r="J55" s="3" t="str">
        <f>IF(ROW()-1&lt;=0,"",IF(ROW()-1&lt;=$L$2,IFERROR(INDEX(MCQ!$A:$K,ROW()-1+1,10),""),IF(ROW()-1&lt;=$L$2+$M$2,IFERROR(INDEX(CLOZE_AB!$A:$K,ROW()-1-$L$2+1,10),""),IF(ROW()-1&lt;=$L$2+$M$2+$N$2,IFERROR(INDEX(CLOZE_LIST!$A:$K,ROW()-1-$L$2-$M$2+1,10),""),IF(ROW()-1&lt;=$L$2+$M$2+$N$2+$O$2,IFERROR(INDEX(PROFORMA!$A:$K,ROW()-1-$L$2-$M$2-$N$2+1,10),""),"")))))</f>
        <v>assistant_generated</v>
      </c>
      <c r="K55" s="3">
        <f>IF(ROW()-1&lt;=0,"",IF(ROW()-1&lt;=$L$2,IFERROR(INDEX(MCQ!$A:$K,ROW()-1+1,11),""),IF(ROW()-1&lt;=$L$2+$M$2,IFERROR(INDEX(CLOZE_AB!$A:$K,ROW()-1-$L$2+1,11),""),IF(ROW()-1&lt;=$L$2+$M$2+$N$2,IFERROR(INDEX(CLOZE_LIST!$A:$K,ROW()-1-$L$2-$M$2+1,11),""),IF(ROW()-1&lt;=$L$2+$M$2+$N$2+$O$2,IFERROR(INDEX(PROFORMA!$A:$K,ROW()-1-$L$2-$M$2-$N$2+1,11),""),"")))))</f>
        <v>1</v>
      </c>
      <c r="L55" s="3">
        <f>COUNTA(MCQ!$A:$A)-1</f>
        <v>143</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MCQ_ITNIC_CALC_DISALLOW_006</v>
      </c>
      <c r="B56" s="3" t="str">
        <f>IF(ROW()-1&lt;=0,"",IF(ROW()-1&lt;=$L$2,IFERROR(INDEX(MCQ!$A:$K,ROW()-1+1,2),""),IF(ROW()-1&lt;=$L$2+$M$2,IFERROR(INDEX(CLOZE_AB!$A:$K,ROW()-1-$L$2+1,2),""),IF(ROW()-1&lt;=$L$2+$M$2+$N$2,IFERROR(INDEX(CLOZE_LIST!$A:$K,ROW()-1-$L$2-$M$2+1,2),""),IF(ROW()-1&lt;=$L$2+$M$2+$N$2+$O$2,IFERROR(INDEX(PROFORMA!$A:$K,ROW()-1-$L$2-$M$2-$N$2+1,2),""),"")))))</f>
        <v>Income tax &amp; NIC</v>
      </c>
      <c r="C56" s="3" t="str">
        <f>IF(ROW()-1&lt;=0,"",IF(ROW()-1&lt;=$L$2,IFERROR(INDEX(MCQ!$A:$K,ROW()-1+1,3),""),IF(ROW()-1&lt;=$L$2+$M$2,IFERROR(INDEX(CLOZE_AB!$A:$K,ROW()-1-$L$2+1,3),""),IF(ROW()-1&lt;=$L$2+$M$2+$N$2,IFERROR(INDEX(CLOZE_LIST!$A:$K,ROW()-1-$L$2-$M$2+1,3),""),IF(ROW()-1&lt;=$L$2+$M$2+$N$2+$O$2,IFERROR(INDEX(PROFORMA!$A:$K,ROW()-1-$L$2-$M$2-$N$2+1,3),""),"")))))</f>
        <v>calculations</v>
      </c>
      <c r="D56" s="3" t="str">
        <f>IF(ROW()-1&lt;=0,"",IF(ROW()-1&lt;=$L$2,IFERROR(INDEX(MCQ!$A:$K,ROW()-1+1,4),""),IF(ROW()-1&lt;=$L$2+$M$2,IFERROR(INDEX(CLOZE_AB!$A:$K,ROW()-1-$L$2+1,4),""),IF(ROW()-1&lt;=$L$2+$M$2+$N$2,IFERROR(INDEX(CLOZE_LIST!$A:$K,ROW()-1-$L$2-$M$2+1,4),""),IF(ROW()-1&lt;=$L$2+$M$2+$N$2+$O$2,IFERROR(INDEX(PROFORMA!$A:$K,ROW()-1-$L$2-$M$2-$N$2+1,4),""),"")))))</f>
        <v>Disallowable trading expenses</v>
      </c>
      <c r="E56" s="3" t="str">
        <f>IF(ROW()-1&lt;=0,"",IF(ROW()-1&lt;=$L$2,IFERROR(INDEX(MCQ!$A:$K,ROW()-1+1,5),""),IF(ROW()-1&lt;=$L$2+$M$2,IFERROR(INDEX(CLOZE_AB!$A:$K,ROW()-1-$L$2+1,5),""),IF(ROW()-1&lt;=$L$2+$M$2+$N$2,IFERROR(INDEX(CLOZE_LIST!$A:$K,ROW()-1-$L$2-$M$2+1,5),""),IF(ROW()-1&lt;=$L$2+$M$2+$N$2+$O$2,IFERROR(INDEX(PROFORMA!$A:$K,ROW()-1-$L$2-$M$2-$N$2+1,5),""),"")))))</f>
        <v>mcq_radio</v>
      </c>
      <c r="F56" s="3">
        <f>IF(ROW()-1&lt;=0,"",IF(ROW()-1&lt;=$L$2,IFERROR(INDEX(MCQ!$A:$K,ROW()-1+1,6),""),IF(ROW()-1&lt;=$L$2+$M$2,IFERROR(INDEX(CLOZE_AB!$A:$K,ROW()-1-$L$2+1,6),""),IF(ROW()-1&lt;=$L$2+$M$2+$N$2,IFERROR(INDEX(CLOZE_LIST!$A:$K,ROW()-1-$L$2-$M$2+1,6),""),IF(ROW()-1&lt;=$L$2+$M$2+$N$2+$O$2,IFERROR(INDEX(PROFORMA!$A:$K,ROW()-1-$L$2-$M$2-$N$2+1,6),""),"")))))</f>
        <v>3</v>
      </c>
      <c r="G56" s="3" t="str">
        <f>IF(ROW()-1&lt;=0,"",IF(ROW()-1&lt;=$L$2,IFERROR(INDEX(MCQ!$A:$K,ROW()-1+1,7),""),IF(ROW()-1&lt;=$L$2+$M$2,IFERROR(INDEX(CLOZE_AB!$A:$K,ROW()-1-$L$2+1,7),""),IF(ROW()-1&lt;=$L$2+$M$2+$N$2,IFERROR(INDEX(CLOZE_LIST!$A:$K,ROW()-1-$L$2-$M$2+1,7),""),IF(ROW()-1&lt;=$L$2+$M$2+$N$2+$O$2,IFERROR(INDEX(PROFORMA!$A:$K,ROW()-1-$L$2-$M$2-$N$2+1,7),""),"")))))</f>
        <v>core</v>
      </c>
      <c r="H56" s="3" t="str">
        <f>IF(ROW()-1&lt;=0,"",IF(ROW()-1&lt;=$L$2,IFERROR(INDEX(MCQ!$A:$K,ROW()-1+1,8),""),IF(ROW()-1&lt;=$L$2+$M$2,IFERROR(INDEX(CLOZE_AB!$A:$K,ROW()-1-$L$2+1,8),""),IF(ROW()-1&lt;=$L$2+$M$2+$N$2,IFERROR(INDEX(CLOZE_LIST!$A:$K,ROW()-1-$L$2-$M$2+1,8),""),IF(ROW()-1&lt;=$L$2+$M$2+$N$2+$O$2,IFERROR(INDEX(PROFORMA!$A:$K,ROW()-1-$L$2-$M$2-$N$2+1,8),""),"")))))</f>
        <v>Y</v>
      </c>
      <c r="I56" s="3" t="str">
        <f>IF(ROW()-1&lt;=0,"",IF(ROW()-1&lt;=$L$2,IFERROR(INDEX(MCQ!$A:$K,ROW()-1+1,9),""),IF(ROW()-1&lt;=$L$2+$M$2,IFERROR(INDEX(CLOZE_AB!$A:$K,ROW()-1-$L$2+1,9),""),IF(ROW()-1&lt;=$L$2+$M$2+$N$2,IFERROR(INDEX(CLOZE_LIST!$A:$K,ROW()-1-$L$2-$M$2+1,9),""),IF(ROW()-1&lt;=$L$2+$M$2+$N$2+$O$2,IFERROR(INDEX(PROFORMA!$A:$K,ROW()-1-$L$2-$M$2-$N$2+1,9),""),"")))))</f>
        <v>disallowable;bad_debt</v>
      </c>
      <c r="J56" s="3" t="str">
        <f>IF(ROW()-1&lt;=0,"",IF(ROW()-1&lt;=$L$2,IFERROR(INDEX(MCQ!$A:$K,ROW()-1+1,10),""),IF(ROW()-1&lt;=$L$2+$M$2,IFERROR(INDEX(CLOZE_AB!$A:$K,ROW()-1-$L$2+1,10),""),IF(ROW()-1&lt;=$L$2+$M$2+$N$2,IFERROR(INDEX(CLOZE_LIST!$A:$K,ROW()-1-$L$2-$M$2+1,10),""),IF(ROW()-1&lt;=$L$2+$M$2+$N$2+$O$2,IFERROR(INDEX(PROFORMA!$A:$K,ROW()-1-$L$2-$M$2-$N$2+1,10),""),"")))))</f>
        <v>assistant_generated</v>
      </c>
      <c r="K56" s="3">
        <f>IF(ROW()-1&lt;=0,"",IF(ROW()-1&lt;=$L$2,IFERROR(INDEX(MCQ!$A:$K,ROW()-1+1,11),""),IF(ROW()-1&lt;=$L$2+$M$2,IFERROR(INDEX(CLOZE_AB!$A:$K,ROW()-1-$L$2+1,11),""),IF(ROW()-1&lt;=$L$2+$M$2+$N$2,IFERROR(INDEX(CLOZE_LIST!$A:$K,ROW()-1-$L$2-$M$2+1,11),""),IF(ROW()-1&lt;=$L$2+$M$2+$N$2+$O$2,IFERROR(INDEX(PROFORMA!$A:$K,ROW()-1-$L$2-$M$2-$N$2+1,11),""),"")))))</f>
        <v>1</v>
      </c>
      <c r="L56" s="3">
        <f>COUNTA(MCQ!$A:$A)-1</f>
        <v>143</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MCQ_ITNIC_CALC_DISALLOW_007</v>
      </c>
      <c r="B57" s="3" t="str">
        <f>IF(ROW()-1&lt;=0,"",IF(ROW()-1&lt;=$L$2,IFERROR(INDEX(MCQ!$A:$K,ROW()-1+1,2),""),IF(ROW()-1&lt;=$L$2+$M$2,IFERROR(INDEX(CLOZE_AB!$A:$K,ROW()-1-$L$2+1,2),""),IF(ROW()-1&lt;=$L$2+$M$2+$N$2,IFERROR(INDEX(CLOZE_LIST!$A:$K,ROW()-1-$L$2-$M$2+1,2),""),IF(ROW()-1&lt;=$L$2+$M$2+$N$2+$O$2,IFERROR(INDEX(PROFORMA!$A:$K,ROW()-1-$L$2-$M$2-$N$2+1,2),""),"")))))</f>
        <v>Income tax &amp; NIC</v>
      </c>
      <c r="C57" s="3" t="str">
        <f>IF(ROW()-1&lt;=0,"",IF(ROW()-1&lt;=$L$2,IFERROR(INDEX(MCQ!$A:$K,ROW()-1+1,3),""),IF(ROW()-1&lt;=$L$2+$M$2,IFERROR(INDEX(CLOZE_AB!$A:$K,ROW()-1-$L$2+1,3),""),IF(ROW()-1&lt;=$L$2+$M$2+$N$2,IFERROR(INDEX(CLOZE_LIST!$A:$K,ROW()-1-$L$2-$M$2+1,3),""),IF(ROW()-1&lt;=$L$2+$M$2+$N$2+$O$2,IFERROR(INDEX(PROFORMA!$A:$K,ROW()-1-$L$2-$M$2-$N$2+1,3),""),"")))))</f>
        <v>calculations</v>
      </c>
      <c r="D57" s="3" t="str">
        <f>IF(ROW()-1&lt;=0,"",IF(ROW()-1&lt;=$L$2,IFERROR(INDEX(MCQ!$A:$K,ROW()-1+1,4),""),IF(ROW()-1&lt;=$L$2+$M$2,IFERROR(INDEX(CLOZE_AB!$A:$K,ROW()-1-$L$2+1,4),""),IF(ROW()-1&lt;=$L$2+$M$2+$N$2,IFERROR(INDEX(CLOZE_LIST!$A:$K,ROW()-1-$L$2-$M$2+1,4),""),IF(ROW()-1&lt;=$L$2+$M$2+$N$2+$O$2,IFERROR(INDEX(PROFORMA!$A:$K,ROW()-1-$L$2-$M$2-$N$2+1,4),""),"")))))</f>
        <v>Disallowable trading expenses</v>
      </c>
      <c r="E57" s="3" t="str">
        <f>IF(ROW()-1&lt;=0,"",IF(ROW()-1&lt;=$L$2,IFERROR(INDEX(MCQ!$A:$K,ROW()-1+1,5),""),IF(ROW()-1&lt;=$L$2+$M$2,IFERROR(INDEX(CLOZE_AB!$A:$K,ROW()-1-$L$2+1,5),""),IF(ROW()-1&lt;=$L$2+$M$2+$N$2,IFERROR(INDEX(CLOZE_LIST!$A:$K,ROW()-1-$L$2-$M$2+1,5),""),IF(ROW()-1&lt;=$L$2+$M$2+$N$2+$O$2,IFERROR(INDEX(PROFORMA!$A:$K,ROW()-1-$L$2-$M$2-$N$2+1,5),""),"")))))</f>
        <v>mcq_radio</v>
      </c>
      <c r="F57" s="3">
        <f>IF(ROW()-1&lt;=0,"",IF(ROW()-1&lt;=$L$2,IFERROR(INDEX(MCQ!$A:$K,ROW()-1+1,6),""),IF(ROW()-1&lt;=$L$2+$M$2,IFERROR(INDEX(CLOZE_AB!$A:$K,ROW()-1-$L$2+1,6),""),IF(ROW()-1&lt;=$L$2+$M$2+$N$2,IFERROR(INDEX(CLOZE_LIST!$A:$K,ROW()-1-$L$2-$M$2+1,6),""),IF(ROW()-1&lt;=$L$2+$M$2+$N$2+$O$2,IFERROR(INDEX(PROFORMA!$A:$K,ROW()-1-$L$2-$M$2-$N$2+1,6),""),"")))))</f>
        <v>3</v>
      </c>
      <c r="G57" s="3" t="str">
        <f>IF(ROW()-1&lt;=0,"",IF(ROW()-1&lt;=$L$2,IFERROR(INDEX(MCQ!$A:$K,ROW()-1+1,7),""),IF(ROW()-1&lt;=$L$2+$M$2,IFERROR(INDEX(CLOZE_AB!$A:$K,ROW()-1-$L$2+1,7),""),IF(ROW()-1&lt;=$L$2+$M$2+$N$2,IFERROR(INDEX(CLOZE_LIST!$A:$K,ROW()-1-$L$2-$M$2+1,7),""),IF(ROW()-1&lt;=$L$2+$M$2+$N$2+$O$2,IFERROR(INDEX(PROFORMA!$A:$K,ROW()-1-$L$2-$M$2-$N$2+1,7),""),"")))))</f>
        <v>core</v>
      </c>
      <c r="H57" s="3" t="str">
        <f>IF(ROW()-1&lt;=0,"",IF(ROW()-1&lt;=$L$2,IFERROR(INDEX(MCQ!$A:$K,ROW()-1+1,8),""),IF(ROW()-1&lt;=$L$2+$M$2,IFERROR(INDEX(CLOZE_AB!$A:$K,ROW()-1-$L$2+1,8),""),IF(ROW()-1&lt;=$L$2+$M$2+$N$2,IFERROR(INDEX(CLOZE_LIST!$A:$K,ROW()-1-$L$2-$M$2+1,8),""),IF(ROW()-1&lt;=$L$2+$M$2+$N$2+$O$2,IFERROR(INDEX(PROFORMA!$A:$K,ROW()-1-$L$2-$M$2-$N$2+1,8),""),"")))))</f>
        <v>Y</v>
      </c>
      <c r="I57" s="3" t="str">
        <f>IF(ROW()-1&lt;=0,"",IF(ROW()-1&lt;=$L$2,IFERROR(INDEX(MCQ!$A:$K,ROW()-1+1,9),""),IF(ROW()-1&lt;=$L$2+$M$2,IFERROR(INDEX(CLOZE_AB!$A:$K,ROW()-1-$L$2+1,9),""),IF(ROW()-1&lt;=$L$2+$M$2+$N$2,IFERROR(INDEX(CLOZE_LIST!$A:$K,ROW()-1-$L$2-$M$2+1,9),""),IF(ROW()-1&lt;=$L$2+$M$2+$N$2+$O$2,IFERROR(INDEX(PROFORMA!$A:$K,ROW()-1-$L$2-$M$2-$N$2+1,9),""),"")))))</f>
        <v>disallowable;provision</v>
      </c>
      <c r="J57" s="3" t="str">
        <f>IF(ROW()-1&lt;=0,"",IF(ROW()-1&lt;=$L$2,IFERROR(INDEX(MCQ!$A:$K,ROW()-1+1,10),""),IF(ROW()-1&lt;=$L$2+$M$2,IFERROR(INDEX(CLOZE_AB!$A:$K,ROW()-1-$L$2+1,10),""),IF(ROW()-1&lt;=$L$2+$M$2+$N$2,IFERROR(INDEX(CLOZE_LIST!$A:$K,ROW()-1-$L$2-$M$2+1,10),""),IF(ROW()-1&lt;=$L$2+$M$2+$N$2+$O$2,IFERROR(INDEX(PROFORMA!$A:$K,ROW()-1-$L$2-$M$2-$N$2+1,10),""),"")))))</f>
        <v>assistant_generated</v>
      </c>
      <c r="K57" s="3">
        <f>IF(ROW()-1&lt;=0,"",IF(ROW()-1&lt;=$L$2,IFERROR(INDEX(MCQ!$A:$K,ROW()-1+1,11),""),IF(ROW()-1&lt;=$L$2+$M$2,IFERROR(INDEX(CLOZE_AB!$A:$K,ROW()-1-$L$2+1,11),""),IF(ROW()-1&lt;=$L$2+$M$2+$N$2,IFERROR(INDEX(CLOZE_LIST!$A:$K,ROW()-1-$L$2-$M$2+1,11),""),IF(ROW()-1&lt;=$L$2+$M$2+$N$2+$O$2,IFERROR(INDEX(PROFORMA!$A:$K,ROW()-1-$L$2-$M$2-$N$2+1,11),""),"")))))</f>
        <v>1</v>
      </c>
      <c r="L57" s="3">
        <f>COUNTA(MCQ!$A:$A)-1</f>
        <v>143</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MCQ_ITNIC_CALC_DISALLOW_008</v>
      </c>
      <c r="B58" s="3" t="str">
        <f>IF(ROW()-1&lt;=0,"",IF(ROW()-1&lt;=$L$2,IFERROR(INDEX(MCQ!$A:$K,ROW()-1+1,2),""),IF(ROW()-1&lt;=$L$2+$M$2,IFERROR(INDEX(CLOZE_AB!$A:$K,ROW()-1-$L$2+1,2),""),IF(ROW()-1&lt;=$L$2+$M$2+$N$2,IFERROR(INDEX(CLOZE_LIST!$A:$K,ROW()-1-$L$2-$M$2+1,2),""),IF(ROW()-1&lt;=$L$2+$M$2+$N$2+$O$2,IFERROR(INDEX(PROFORMA!$A:$K,ROW()-1-$L$2-$M$2-$N$2+1,2),""),"")))))</f>
        <v>Income tax &amp; NIC</v>
      </c>
      <c r="C58" s="3" t="str">
        <f>IF(ROW()-1&lt;=0,"",IF(ROW()-1&lt;=$L$2,IFERROR(INDEX(MCQ!$A:$K,ROW()-1+1,3),""),IF(ROW()-1&lt;=$L$2+$M$2,IFERROR(INDEX(CLOZE_AB!$A:$K,ROW()-1-$L$2+1,3),""),IF(ROW()-1&lt;=$L$2+$M$2+$N$2,IFERROR(INDEX(CLOZE_LIST!$A:$K,ROW()-1-$L$2-$M$2+1,3),""),IF(ROW()-1&lt;=$L$2+$M$2+$N$2+$O$2,IFERROR(INDEX(PROFORMA!$A:$K,ROW()-1-$L$2-$M$2-$N$2+1,3),""),"")))))</f>
        <v>calculations</v>
      </c>
      <c r="D58" s="3" t="str">
        <f>IF(ROW()-1&lt;=0,"",IF(ROW()-1&lt;=$L$2,IFERROR(INDEX(MCQ!$A:$K,ROW()-1+1,4),""),IF(ROW()-1&lt;=$L$2+$M$2,IFERROR(INDEX(CLOZE_AB!$A:$K,ROW()-1-$L$2+1,4),""),IF(ROW()-1&lt;=$L$2+$M$2+$N$2,IFERROR(INDEX(CLOZE_LIST!$A:$K,ROW()-1-$L$2-$M$2+1,4),""),IF(ROW()-1&lt;=$L$2+$M$2+$N$2+$O$2,IFERROR(INDEX(PROFORMA!$A:$K,ROW()-1-$L$2-$M$2-$N$2+1,4),""),"")))))</f>
        <v>Disallowable trading expenses</v>
      </c>
      <c r="E58" s="3" t="str">
        <f>IF(ROW()-1&lt;=0,"",IF(ROW()-1&lt;=$L$2,IFERROR(INDEX(MCQ!$A:$K,ROW()-1+1,5),""),IF(ROW()-1&lt;=$L$2+$M$2,IFERROR(INDEX(CLOZE_AB!$A:$K,ROW()-1-$L$2+1,5),""),IF(ROW()-1&lt;=$L$2+$M$2+$N$2,IFERROR(INDEX(CLOZE_LIST!$A:$K,ROW()-1-$L$2-$M$2+1,5),""),IF(ROW()-1&lt;=$L$2+$M$2+$N$2+$O$2,IFERROR(INDEX(PROFORMA!$A:$K,ROW()-1-$L$2-$M$2-$N$2+1,5),""),"")))))</f>
        <v>mcq_radio</v>
      </c>
      <c r="F58" s="3">
        <f>IF(ROW()-1&lt;=0,"",IF(ROW()-1&lt;=$L$2,IFERROR(INDEX(MCQ!$A:$K,ROW()-1+1,6),""),IF(ROW()-1&lt;=$L$2+$M$2,IFERROR(INDEX(CLOZE_AB!$A:$K,ROW()-1-$L$2+1,6),""),IF(ROW()-1&lt;=$L$2+$M$2+$N$2,IFERROR(INDEX(CLOZE_LIST!$A:$K,ROW()-1-$L$2-$M$2+1,6),""),IF(ROW()-1&lt;=$L$2+$M$2+$N$2+$O$2,IFERROR(INDEX(PROFORMA!$A:$K,ROW()-1-$L$2-$M$2-$N$2+1,6),""),"")))))</f>
        <v>3</v>
      </c>
      <c r="G58" s="3" t="str">
        <f>IF(ROW()-1&lt;=0,"",IF(ROW()-1&lt;=$L$2,IFERROR(INDEX(MCQ!$A:$K,ROW()-1+1,7),""),IF(ROW()-1&lt;=$L$2+$M$2,IFERROR(INDEX(CLOZE_AB!$A:$K,ROW()-1-$L$2+1,7),""),IF(ROW()-1&lt;=$L$2+$M$2+$N$2,IFERROR(INDEX(CLOZE_LIST!$A:$K,ROW()-1-$L$2-$M$2+1,7),""),IF(ROW()-1&lt;=$L$2+$M$2+$N$2+$O$2,IFERROR(INDEX(PROFORMA!$A:$K,ROW()-1-$L$2-$M$2-$N$2+1,7),""),"")))))</f>
        <v>core</v>
      </c>
      <c r="H58" s="3" t="str">
        <f>IF(ROW()-1&lt;=0,"",IF(ROW()-1&lt;=$L$2,IFERROR(INDEX(MCQ!$A:$K,ROW()-1+1,8),""),IF(ROW()-1&lt;=$L$2+$M$2,IFERROR(INDEX(CLOZE_AB!$A:$K,ROW()-1-$L$2+1,8),""),IF(ROW()-1&lt;=$L$2+$M$2+$N$2,IFERROR(INDEX(CLOZE_LIST!$A:$K,ROW()-1-$L$2-$M$2+1,8),""),IF(ROW()-1&lt;=$L$2+$M$2+$N$2+$O$2,IFERROR(INDEX(PROFORMA!$A:$K,ROW()-1-$L$2-$M$2-$N$2+1,8),""),"")))))</f>
        <v>Y</v>
      </c>
      <c r="I58" s="3" t="str">
        <f>IF(ROW()-1&lt;=0,"",IF(ROW()-1&lt;=$L$2,IFERROR(INDEX(MCQ!$A:$K,ROW()-1+1,9),""),IF(ROW()-1&lt;=$L$2+$M$2,IFERROR(INDEX(CLOZE_AB!$A:$K,ROW()-1-$L$2+1,9),""),IF(ROW()-1&lt;=$L$2+$M$2+$N$2,IFERROR(INDEX(CLOZE_LIST!$A:$K,ROW()-1-$L$2-$M$2+1,9),""),IF(ROW()-1&lt;=$L$2+$M$2+$N$2+$O$2,IFERROR(INDEX(PROFORMA!$A:$K,ROW()-1-$L$2-$M$2-$N$2+1,9),""),"")))))</f>
        <v>disallowable;entertaining</v>
      </c>
      <c r="J58" s="3" t="str">
        <f>IF(ROW()-1&lt;=0,"",IF(ROW()-1&lt;=$L$2,IFERROR(INDEX(MCQ!$A:$K,ROW()-1+1,10),""),IF(ROW()-1&lt;=$L$2+$M$2,IFERROR(INDEX(CLOZE_AB!$A:$K,ROW()-1-$L$2+1,10),""),IF(ROW()-1&lt;=$L$2+$M$2+$N$2,IFERROR(INDEX(CLOZE_LIST!$A:$K,ROW()-1-$L$2-$M$2+1,10),""),IF(ROW()-1&lt;=$L$2+$M$2+$N$2+$O$2,IFERROR(INDEX(PROFORMA!$A:$K,ROW()-1-$L$2-$M$2-$N$2+1,10),""),"")))))</f>
        <v>assistant_generated</v>
      </c>
      <c r="K58" s="3">
        <f>IF(ROW()-1&lt;=0,"",IF(ROW()-1&lt;=$L$2,IFERROR(INDEX(MCQ!$A:$K,ROW()-1+1,11),""),IF(ROW()-1&lt;=$L$2+$M$2,IFERROR(INDEX(CLOZE_AB!$A:$K,ROW()-1-$L$2+1,11),""),IF(ROW()-1&lt;=$L$2+$M$2+$N$2,IFERROR(INDEX(CLOZE_LIST!$A:$K,ROW()-1-$L$2-$M$2+1,11),""),IF(ROW()-1&lt;=$L$2+$M$2+$N$2+$O$2,IFERROR(INDEX(PROFORMA!$A:$K,ROW()-1-$L$2-$M$2-$N$2+1,11),""),"")))))</f>
        <v>1</v>
      </c>
      <c r="L58" s="3">
        <f>COUNTA(MCQ!$A:$A)-1</f>
        <v>143</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MCQ_ITNIC_CALC_DISALLOW_009</v>
      </c>
      <c r="B59" s="3" t="str">
        <f>IF(ROW()-1&lt;=0,"",IF(ROW()-1&lt;=$L$2,IFERROR(INDEX(MCQ!$A:$K,ROW()-1+1,2),""),IF(ROW()-1&lt;=$L$2+$M$2,IFERROR(INDEX(CLOZE_AB!$A:$K,ROW()-1-$L$2+1,2),""),IF(ROW()-1&lt;=$L$2+$M$2+$N$2,IFERROR(INDEX(CLOZE_LIST!$A:$K,ROW()-1-$L$2-$M$2+1,2),""),IF(ROW()-1&lt;=$L$2+$M$2+$N$2+$O$2,IFERROR(INDEX(PROFORMA!$A:$K,ROW()-1-$L$2-$M$2-$N$2+1,2),""),"")))))</f>
        <v>Income tax &amp; NIC</v>
      </c>
      <c r="C59" s="3" t="str">
        <f>IF(ROW()-1&lt;=0,"",IF(ROW()-1&lt;=$L$2,IFERROR(INDEX(MCQ!$A:$K,ROW()-1+1,3),""),IF(ROW()-1&lt;=$L$2+$M$2,IFERROR(INDEX(CLOZE_AB!$A:$K,ROW()-1-$L$2+1,3),""),IF(ROW()-1&lt;=$L$2+$M$2+$N$2,IFERROR(INDEX(CLOZE_LIST!$A:$K,ROW()-1-$L$2-$M$2+1,3),""),IF(ROW()-1&lt;=$L$2+$M$2+$N$2+$O$2,IFERROR(INDEX(PROFORMA!$A:$K,ROW()-1-$L$2-$M$2-$N$2+1,3),""),"")))))</f>
        <v>calculations</v>
      </c>
      <c r="D59" s="3" t="str">
        <f>IF(ROW()-1&lt;=0,"",IF(ROW()-1&lt;=$L$2,IFERROR(INDEX(MCQ!$A:$K,ROW()-1+1,4),""),IF(ROW()-1&lt;=$L$2+$M$2,IFERROR(INDEX(CLOZE_AB!$A:$K,ROW()-1-$L$2+1,4),""),IF(ROW()-1&lt;=$L$2+$M$2+$N$2,IFERROR(INDEX(CLOZE_LIST!$A:$K,ROW()-1-$L$2-$M$2+1,4),""),IF(ROW()-1&lt;=$L$2+$M$2+$N$2+$O$2,IFERROR(INDEX(PROFORMA!$A:$K,ROW()-1-$L$2-$M$2-$N$2+1,4),""),"")))))</f>
        <v>Disallowable trading expenses</v>
      </c>
      <c r="E59" s="3" t="str">
        <f>IF(ROW()-1&lt;=0,"",IF(ROW()-1&lt;=$L$2,IFERROR(INDEX(MCQ!$A:$K,ROW()-1+1,5),""),IF(ROW()-1&lt;=$L$2+$M$2,IFERROR(INDEX(CLOZE_AB!$A:$K,ROW()-1-$L$2+1,5),""),IF(ROW()-1&lt;=$L$2+$M$2+$N$2,IFERROR(INDEX(CLOZE_LIST!$A:$K,ROW()-1-$L$2-$M$2+1,5),""),IF(ROW()-1&lt;=$L$2+$M$2+$N$2+$O$2,IFERROR(INDEX(PROFORMA!$A:$K,ROW()-1-$L$2-$M$2-$N$2+1,5),""),"")))))</f>
        <v>mcq_radio</v>
      </c>
      <c r="F59" s="3">
        <f>IF(ROW()-1&lt;=0,"",IF(ROW()-1&lt;=$L$2,IFERROR(INDEX(MCQ!$A:$K,ROW()-1+1,6),""),IF(ROW()-1&lt;=$L$2+$M$2,IFERROR(INDEX(CLOZE_AB!$A:$K,ROW()-1-$L$2+1,6),""),IF(ROW()-1&lt;=$L$2+$M$2+$N$2,IFERROR(INDEX(CLOZE_LIST!$A:$K,ROW()-1-$L$2-$M$2+1,6),""),IF(ROW()-1&lt;=$L$2+$M$2+$N$2+$O$2,IFERROR(INDEX(PROFORMA!$A:$K,ROW()-1-$L$2-$M$2-$N$2+1,6),""),"")))))</f>
        <v>3</v>
      </c>
      <c r="G59" s="3" t="str">
        <f>IF(ROW()-1&lt;=0,"",IF(ROW()-1&lt;=$L$2,IFERROR(INDEX(MCQ!$A:$K,ROW()-1+1,7),""),IF(ROW()-1&lt;=$L$2+$M$2,IFERROR(INDEX(CLOZE_AB!$A:$K,ROW()-1-$L$2+1,7),""),IF(ROW()-1&lt;=$L$2+$M$2+$N$2,IFERROR(INDEX(CLOZE_LIST!$A:$K,ROW()-1-$L$2-$M$2+1,7),""),IF(ROW()-1&lt;=$L$2+$M$2+$N$2+$O$2,IFERROR(INDEX(PROFORMA!$A:$K,ROW()-1-$L$2-$M$2-$N$2+1,7),""),"")))))</f>
        <v>core</v>
      </c>
      <c r="H59" s="3" t="str">
        <f>IF(ROW()-1&lt;=0,"",IF(ROW()-1&lt;=$L$2,IFERROR(INDEX(MCQ!$A:$K,ROW()-1+1,8),""),IF(ROW()-1&lt;=$L$2+$M$2,IFERROR(INDEX(CLOZE_AB!$A:$K,ROW()-1-$L$2+1,8),""),IF(ROW()-1&lt;=$L$2+$M$2+$N$2,IFERROR(INDEX(CLOZE_LIST!$A:$K,ROW()-1-$L$2-$M$2+1,8),""),IF(ROW()-1&lt;=$L$2+$M$2+$N$2+$O$2,IFERROR(INDEX(PROFORMA!$A:$K,ROW()-1-$L$2-$M$2-$N$2+1,8),""),"")))))</f>
        <v>Y</v>
      </c>
      <c r="I59" s="3" t="str">
        <f>IF(ROW()-1&lt;=0,"",IF(ROW()-1&lt;=$L$2,IFERROR(INDEX(MCQ!$A:$K,ROW()-1+1,9),""),IF(ROW()-1&lt;=$L$2+$M$2,IFERROR(INDEX(CLOZE_AB!$A:$K,ROW()-1-$L$2+1,9),""),IF(ROW()-1&lt;=$L$2+$M$2+$N$2,IFERROR(INDEX(CLOZE_LIST!$A:$K,ROW()-1-$L$2-$M$2+1,9),""),IF(ROW()-1&lt;=$L$2+$M$2+$N$2+$O$2,IFERROR(INDEX(PROFORMA!$A:$K,ROW()-1-$L$2-$M$2-$N$2+1,9),""),"")))))</f>
        <v>disallowable;mixed_test</v>
      </c>
      <c r="J59" s="3" t="str">
        <f>IF(ROW()-1&lt;=0,"",IF(ROW()-1&lt;=$L$2,IFERROR(INDEX(MCQ!$A:$K,ROW()-1+1,10),""),IF(ROW()-1&lt;=$L$2+$M$2,IFERROR(INDEX(CLOZE_AB!$A:$K,ROW()-1-$L$2+1,10),""),IF(ROW()-1&lt;=$L$2+$M$2+$N$2,IFERROR(INDEX(CLOZE_LIST!$A:$K,ROW()-1-$L$2-$M$2+1,10),""),IF(ROW()-1&lt;=$L$2+$M$2+$N$2+$O$2,IFERROR(INDEX(PROFORMA!$A:$K,ROW()-1-$L$2-$M$2-$N$2+1,10),""),"")))))</f>
        <v>assistant_generated</v>
      </c>
      <c r="K59" s="3">
        <f>IF(ROW()-1&lt;=0,"",IF(ROW()-1&lt;=$L$2,IFERROR(INDEX(MCQ!$A:$K,ROW()-1+1,11),""),IF(ROW()-1&lt;=$L$2+$M$2,IFERROR(INDEX(CLOZE_AB!$A:$K,ROW()-1-$L$2+1,11),""),IF(ROW()-1&lt;=$L$2+$M$2+$N$2,IFERROR(INDEX(CLOZE_LIST!$A:$K,ROW()-1-$L$2-$M$2+1,11),""),IF(ROW()-1&lt;=$L$2+$M$2+$N$2+$O$2,IFERROR(INDEX(PROFORMA!$A:$K,ROW()-1-$L$2-$M$2-$N$2+1,11),""),"")))))</f>
        <v>1</v>
      </c>
      <c r="L59" s="3">
        <f>COUNTA(MCQ!$A:$A)-1</f>
        <v>143</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MCQ_ITNIC_DEF_BADGES_001</v>
      </c>
      <c r="B60" s="3" t="str">
        <f>IF(ROW()-1&lt;=0,"",IF(ROW()-1&lt;=$L$2,IFERROR(INDEX(MCQ!$A:$K,ROW()-1+1,2),""),IF(ROW()-1&lt;=$L$2+$M$2,IFERROR(INDEX(CLOZE_AB!$A:$K,ROW()-1-$L$2+1,2),""),IF(ROW()-1&lt;=$L$2+$M$2+$N$2,IFERROR(INDEX(CLOZE_LIST!$A:$K,ROW()-1-$L$2-$M$2+1,2),""),IF(ROW()-1&lt;=$L$2+$M$2+$N$2+$O$2,IFERROR(INDEX(PROFORMA!$A:$K,ROW()-1-$L$2-$M$2-$N$2+1,2),""),"")))))</f>
        <v>Income tax &amp; NIC</v>
      </c>
      <c r="C60" s="3" t="str">
        <f>IF(ROW()-1&lt;=0,"",IF(ROW()-1&lt;=$L$2,IFERROR(INDEX(MCQ!$A:$K,ROW()-1+1,3),""),IF(ROW()-1&lt;=$L$2+$M$2,IFERROR(INDEX(CLOZE_AB!$A:$K,ROW()-1-$L$2+1,3),""),IF(ROW()-1&lt;=$L$2+$M$2+$N$2,IFERROR(INDEX(CLOZE_LIST!$A:$K,ROW()-1-$L$2-$M$2+1,3),""),IF(ROW()-1&lt;=$L$2+$M$2+$N$2+$O$2,IFERROR(INDEX(PROFORMA!$A:$K,ROW()-1-$L$2-$M$2-$N$2+1,3),""),"")))))</f>
        <v>definitions</v>
      </c>
      <c r="D60" s="3" t="str">
        <f>IF(ROW()-1&lt;=0,"",IF(ROW()-1&lt;=$L$2,IFERROR(INDEX(MCQ!$A:$K,ROW()-1+1,4),""),IF(ROW()-1&lt;=$L$2+$M$2,IFERROR(INDEX(CLOZE_AB!$A:$K,ROW()-1-$L$2+1,4),""),IF(ROW()-1&lt;=$L$2+$M$2+$N$2,IFERROR(INDEX(CLOZE_LIST!$A:$K,ROW()-1-$L$2-$M$2+1,4),""),IF(ROW()-1&lt;=$L$2+$M$2+$N$2+$O$2,IFERROR(INDEX(PROFORMA!$A:$K,ROW()-1-$L$2-$M$2-$N$2+1,4),""),"")))))</f>
        <v>Badges of trade</v>
      </c>
      <c r="E60" s="3" t="str">
        <f>IF(ROW()-1&lt;=0,"",IF(ROW()-1&lt;=$L$2,IFERROR(INDEX(MCQ!$A:$K,ROW()-1+1,5),""),IF(ROW()-1&lt;=$L$2+$M$2,IFERROR(INDEX(CLOZE_AB!$A:$K,ROW()-1-$L$2+1,5),""),IF(ROW()-1&lt;=$L$2+$M$2+$N$2,IFERROR(INDEX(CLOZE_LIST!$A:$K,ROW()-1-$L$2-$M$2+1,5),""),IF(ROW()-1&lt;=$L$2+$M$2+$N$2+$O$2,IFERROR(INDEX(PROFORMA!$A:$K,ROW()-1-$L$2-$M$2-$N$2+1,5),""),"")))))</f>
        <v>mcq_radio</v>
      </c>
      <c r="F60" s="3">
        <f>IF(ROW()-1&lt;=0,"",IF(ROW()-1&lt;=$L$2,IFERROR(INDEX(MCQ!$A:$K,ROW()-1+1,6),""),IF(ROW()-1&lt;=$L$2+$M$2,IFERROR(INDEX(CLOZE_AB!$A:$K,ROW()-1-$L$2+1,6),""),IF(ROW()-1&lt;=$L$2+$M$2+$N$2,IFERROR(INDEX(CLOZE_LIST!$A:$K,ROW()-1-$L$2-$M$2+1,6),""),IF(ROW()-1&lt;=$L$2+$M$2+$N$2+$O$2,IFERROR(INDEX(PROFORMA!$A:$K,ROW()-1-$L$2-$M$2-$N$2+1,6),""),"")))))</f>
        <v>3</v>
      </c>
      <c r="G60" s="3" t="str">
        <f>IF(ROW()-1&lt;=0,"",IF(ROW()-1&lt;=$L$2,IFERROR(INDEX(MCQ!$A:$K,ROW()-1+1,7),""),IF(ROW()-1&lt;=$L$2+$M$2,IFERROR(INDEX(CLOZE_AB!$A:$K,ROW()-1-$L$2+1,7),""),IF(ROW()-1&lt;=$L$2+$M$2+$N$2,IFERROR(INDEX(CLOZE_LIST!$A:$K,ROW()-1-$L$2-$M$2+1,7),""),IF(ROW()-1&lt;=$L$2+$M$2+$N$2+$O$2,IFERROR(INDEX(PROFORMA!$A:$K,ROW()-1-$L$2-$M$2-$N$2+1,7),""),"")))))</f>
        <v>core</v>
      </c>
      <c r="H60" s="3" t="str">
        <f>IF(ROW()-1&lt;=0,"",IF(ROW()-1&lt;=$L$2,IFERROR(INDEX(MCQ!$A:$K,ROW()-1+1,8),""),IF(ROW()-1&lt;=$L$2+$M$2,IFERROR(INDEX(CLOZE_AB!$A:$K,ROW()-1-$L$2+1,8),""),IF(ROW()-1&lt;=$L$2+$M$2+$N$2,IFERROR(INDEX(CLOZE_LIST!$A:$K,ROW()-1-$L$2-$M$2+1,8),""),IF(ROW()-1&lt;=$L$2+$M$2+$N$2+$O$2,IFERROR(INDEX(PROFORMA!$A:$K,ROW()-1-$L$2-$M$2-$N$2+1,8),""),"")))))</f>
        <v>Y</v>
      </c>
      <c r="I60" s="3" t="str">
        <f>IF(ROW()-1&lt;=0,"",IF(ROW()-1&lt;=$L$2,IFERROR(INDEX(MCQ!$A:$K,ROW()-1+1,9),""),IF(ROW()-1&lt;=$L$2+$M$2,IFERROR(INDEX(CLOZE_AB!$A:$K,ROW()-1-$L$2+1,9),""),IF(ROW()-1&lt;=$L$2+$M$2+$N$2,IFERROR(INDEX(CLOZE_LIST!$A:$K,ROW()-1-$L$2-$M$2+1,9),""),IF(ROW()-1&lt;=$L$2+$M$2+$N$2+$O$2,IFERROR(INDEX(PROFORMA!$A:$K,ROW()-1-$L$2-$M$2-$N$2+1,9),""),"")))))</f>
        <v>badges;profit_motive</v>
      </c>
      <c r="J60" s="3" t="str">
        <f>IF(ROW()-1&lt;=0,"",IF(ROW()-1&lt;=$L$2,IFERROR(INDEX(MCQ!$A:$K,ROW()-1+1,10),""),IF(ROW()-1&lt;=$L$2+$M$2,IFERROR(INDEX(CLOZE_AB!$A:$K,ROW()-1-$L$2+1,10),""),IF(ROW()-1&lt;=$L$2+$M$2+$N$2,IFERROR(INDEX(CLOZE_LIST!$A:$K,ROW()-1-$L$2-$M$2+1,10),""),IF(ROW()-1&lt;=$L$2+$M$2+$N$2+$O$2,IFERROR(INDEX(PROFORMA!$A:$K,ROW()-1-$L$2-$M$2-$N$2+1,10),""),"")))))</f>
        <v>assistant_generated</v>
      </c>
      <c r="K60" s="3">
        <f>IF(ROW()-1&lt;=0,"",IF(ROW()-1&lt;=$L$2,IFERROR(INDEX(MCQ!$A:$K,ROW()-1+1,11),""),IF(ROW()-1&lt;=$L$2+$M$2,IFERROR(INDEX(CLOZE_AB!$A:$K,ROW()-1-$L$2+1,11),""),IF(ROW()-1&lt;=$L$2+$M$2+$N$2,IFERROR(INDEX(CLOZE_LIST!$A:$K,ROW()-1-$L$2-$M$2+1,11),""),IF(ROW()-1&lt;=$L$2+$M$2+$N$2+$O$2,IFERROR(INDEX(PROFORMA!$A:$K,ROW()-1-$L$2-$M$2-$N$2+1,11),""),"")))))</f>
        <v>1</v>
      </c>
      <c r="L60" s="3">
        <f>COUNTA(MCQ!$A:$A)-1</f>
        <v>143</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MCQ_ITNIC_DEF_BADGES_002</v>
      </c>
      <c r="B61" s="3" t="str">
        <f>IF(ROW()-1&lt;=0,"",IF(ROW()-1&lt;=$L$2,IFERROR(INDEX(MCQ!$A:$K,ROW()-1+1,2),""),IF(ROW()-1&lt;=$L$2+$M$2,IFERROR(INDEX(CLOZE_AB!$A:$K,ROW()-1-$L$2+1,2),""),IF(ROW()-1&lt;=$L$2+$M$2+$N$2,IFERROR(INDEX(CLOZE_LIST!$A:$K,ROW()-1-$L$2-$M$2+1,2),""),IF(ROW()-1&lt;=$L$2+$M$2+$N$2+$O$2,IFERROR(INDEX(PROFORMA!$A:$K,ROW()-1-$L$2-$M$2-$N$2+1,2),""),"")))))</f>
        <v>Income tax &amp; NIC</v>
      </c>
      <c r="C61" s="3" t="str">
        <f>IF(ROW()-1&lt;=0,"",IF(ROW()-1&lt;=$L$2,IFERROR(INDEX(MCQ!$A:$K,ROW()-1+1,3),""),IF(ROW()-1&lt;=$L$2+$M$2,IFERROR(INDEX(CLOZE_AB!$A:$K,ROW()-1-$L$2+1,3),""),IF(ROW()-1&lt;=$L$2+$M$2+$N$2,IFERROR(INDEX(CLOZE_LIST!$A:$K,ROW()-1-$L$2-$M$2+1,3),""),IF(ROW()-1&lt;=$L$2+$M$2+$N$2+$O$2,IFERROR(INDEX(PROFORMA!$A:$K,ROW()-1-$L$2-$M$2-$N$2+1,3),""),"")))))</f>
        <v>definitions</v>
      </c>
      <c r="D61" s="3" t="str">
        <f>IF(ROW()-1&lt;=0,"",IF(ROW()-1&lt;=$L$2,IFERROR(INDEX(MCQ!$A:$K,ROW()-1+1,4),""),IF(ROW()-1&lt;=$L$2+$M$2,IFERROR(INDEX(CLOZE_AB!$A:$K,ROW()-1-$L$2+1,4),""),IF(ROW()-1&lt;=$L$2+$M$2+$N$2,IFERROR(INDEX(CLOZE_LIST!$A:$K,ROW()-1-$L$2-$M$2+1,4),""),IF(ROW()-1&lt;=$L$2+$M$2+$N$2+$O$2,IFERROR(INDEX(PROFORMA!$A:$K,ROW()-1-$L$2-$M$2-$N$2+1,4),""),"")))))</f>
        <v>Badges of trade</v>
      </c>
      <c r="E61" s="3" t="str">
        <f>IF(ROW()-1&lt;=0,"",IF(ROW()-1&lt;=$L$2,IFERROR(INDEX(MCQ!$A:$K,ROW()-1+1,5),""),IF(ROW()-1&lt;=$L$2+$M$2,IFERROR(INDEX(CLOZE_AB!$A:$K,ROW()-1-$L$2+1,5),""),IF(ROW()-1&lt;=$L$2+$M$2+$N$2,IFERROR(INDEX(CLOZE_LIST!$A:$K,ROW()-1-$L$2-$M$2+1,5),""),IF(ROW()-1&lt;=$L$2+$M$2+$N$2+$O$2,IFERROR(INDEX(PROFORMA!$A:$K,ROW()-1-$L$2-$M$2-$N$2+1,5),""),"")))))</f>
        <v>mcq_radio</v>
      </c>
      <c r="F61" s="3">
        <f>IF(ROW()-1&lt;=0,"",IF(ROW()-1&lt;=$L$2,IFERROR(INDEX(MCQ!$A:$K,ROW()-1+1,6),""),IF(ROW()-1&lt;=$L$2+$M$2,IFERROR(INDEX(CLOZE_AB!$A:$K,ROW()-1-$L$2+1,6),""),IF(ROW()-1&lt;=$L$2+$M$2+$N$2,IFERROR(INDEX(CLOZE_LIST!$A:$K,ROW()-1-$L$2-$M$2+1,6),""),IF(ROW()-1&lt;=$L$2+$M$2+$N$2+$O$2,IFERROR(INDEX(PROFORMA!$A:$K,ROW()-1-$L$2-$M$2-$N$2+1,6),""),"")))))</f>
        <v>3</v>
      </c>
      <c r="G61" s="3" t="str">
        <f>IF(ROW()-1&lt;=0,"",IF(ROW()-1&lt;=$L$2,IFERROR(INDEX(MCQ!$A:$K,ROW()-1+1,7),""),IF(ROW()-1&lt;=$L$2+$M$2,IFERROR(INDEX(CLOZE_AB!$A:$K,ROW()-1-$L$2+1,7),""),IF(ROW()-1&lt;=$L$2+$M$2+$N$2,IFERROR(INDEX(CLOZE_LIST!$A:$K,ROW()-1-$L$2-$M$2+1,7),""),IF(ROW()-1&lt;=$L$2+$M$2+$N$2+$O$2,IFERROR(INDEX(PROFORMA!$A:$K,ROW()-1-$L$2-$M$2-$N$2+1,7),""),"")))))</f>
        <v>core</v>
      </c>
      <c r="H61" s="3" t="str">
        <f>IF(ROW()-1&lt;=0,"",IF(ROW()-1&lt;=$L$2,IFERROR(INDEX(MCQ!$A:$K,ROW()-1+1,8),""),IF(ROW()-1&lt;=$L$2+$M$2,IFERROR(INDEX(CLOZE_AB!$A:$K,ROW()-1-$L$2+1,8),""),IF(ROW()-1&lt;=$L$2+$M$2+$N$2,IFERROR(INDEX(CLOZE_LIST!$A:$K,ROW()-1-$L$2-$M$2+1,8),""),IF(ROW()-1&lt;=$L$2+$M$2+$N$2+$O$2,IFERROR(INDEX(PROFORMA!$A:$K,ROW()-1-$L$2-$M$2-$N$2+1,8),""),"")))))</f>
        <v>Y</v>
      </c>
      <c r="I61" s="3" t="str">
        <f>IF(ROW()-1&lt;=0,"",IF(ROW()-1&lt;=$L$2,IFERROR(INDEX(MCQ!$A:$K,ROW()-1+1,9),""),IF(ROW()-1&lt;=$L$2+$M$2,IFERROR(INDEX(CLOZE_AB!$A:$K,ROW()-1-$L$2+1,9),""),IF(ROW()-1&lt;=$L$2+$M$2+$N$2,IFERROR(INDEX(CLOZE_LIST!$A:$K,ROW()-1-$L$2-$M$2+1,9),""),IF(ROW()-1&lt;=$L$2+$M$2+$N$2+$O$2,IFERROR(INDEX(PROFORMA!$A:$K,ROW()-1-$L$2-$M$2-$N$2+1,9),""),"")))))</f>
        <v>badges;transactions</v>
      </c>
      <c r="J61" s="3" t="str">
        <f>IF(ROW()-1&lt;=0,"",IF(ROW()-1&lt;=$L$2,IFERROR(INDEX(MCQ!$A:$K,ROW()-1+1,10),""),IF(ROW()-1&lt;=$L$2+$M$2,IFERROR(INDEX(CLOZE_AB!$A:$K,ROW()-1-$L$2+1,10),""),IF(ROW()-1&lt;=$L$2+$M$2+$N$2,IFERROR(INDEX(CLOZE_LIST!$A:$K,ROW()-1-$L$2-$M$2+1,10),""),IF(ROW()-1&lt;=$L$2+$M$2+$N$2+$O$2,IFERROR(INDEX(PROFORMA!$A:$K,ROW()-1-$L$2-$M$2-$N$2+1,10),""),"")))))</f>
        <v>assistant_generated</v>
      </c>
      <c r="K61" s="3">
        <f>IF(ROW()-1&lt;=0,"",IF(ROW()-1&lt;=$L$2,IFERROR(INDEX(MCQ!$A:$K,ROW()-1+1,11),""),IF(ROW()-1&lt;=$L$2+$M$2,IFERROR(INDEX(CLOZE_AB!$A:$K,ROW()-1-$L$2+1,11),""),IF(ROW()-1&lt;=$L$2+$M$2+$N$2,IFERROR(INDEX(CLOZE_LIST!$A:$K,ROW()-1-$L$2-$M$2+1,11),""),IF(ROW()-1&lt;=$L$2+$M$2+$N$2+$O$2,IFERROR(INDEX(PROFORMA!$A:$K,ROW()-1-$L$2-$M$2-$N$2+1,11),""),"")))))</f>
        <v>1</v>
      </c>
      <c r="L61" s="3">
        <f>COUNTA(MCQ!$A:$A)-1</f>
        <v>143</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MCQ_ITNIC_DEF_BADGES_003</v>
      </c>
      <c r="B62" s="3" t="str">
        <f>IF(ROW()-1&lt;=0,"",IF(ROW()-1&lt;=$L$2,IFERROR(INDEX(MCQ!$A:$K,ROW()-1+1,2),""),IF(ROW()-1&lt;=$L$2+$M$2,IFERROR(INDEX(CLOZE_AB!$A:$K,ROW()-1-$L$2+1,2),""),IF(ROW()-1&lt;=$L$2+$M$2+$N$2,IFERROR(INDEX(CLOZE_LIST!$A:$K,ROW()-1-$L$2-$M$2+1,2),""),IF(ROW()-1&lt;=$L$2+$M$2+$N$2+$O$2,IFERROR(INDEX(PROFORMA!$A:$K,ROW()-1-$L$2-$M$2-$N$2+1,2),""),"")))))</f>
        <v>Income tax &amp; NIC</v>
      </c>
      <c r="C62" s="3" t="str">
        <f>IF(ROW()-1&lt;=0,"",IF(ROW()-1&lt;=$L$2,IFERROR(INDEX(MCQ!$A:$K,ROW()-1+1,3),""),IF(ROW()-1&lt;=$L$2+$M$2,IFERROR(INDEX(CLOZE_AB!$A:$K,ROW()-1-$L$2+1,3),""),IF(ROW()-1&lt;=$L$2+$M$2+$N$2,IFERROR(INDEX(CLOZE_LIST!$A:$K,ROW()-1-$L$2-$M$2+1,3),""),IF(ROW()-1&lt;=$L$2+$M$2+$N$2+$O$2,IFERROR(INDEX(PROFORMA!$A:$K,ROW()-1-$L$2-$M$2-$N$2+1,3),""),"")))))</f>
        <v>definitions</v>
      </c>
      <c r="D62" s="3" t="str">
        <f>IF(ROW()-1&lt;=0,"",IF(ROW()-1&lt;=$L$2,IFERROR(INDEX(MCQ!$A:$K,ROW()-1+1,4),""),IF(ROW()-1&lt;=$L$2+$M$2,IFERROR(INDEX(CLOZE_AB!$A:$K,ROW()-1-$L$2+1,4),""),IF(ROW()-1&lt;=$L$2+$M$2+$N$2,IFERROR(INDEX(CLOZE_LIST!$A:$K,ROW()-1-$L$2-$M$2+1,4),""),IF(ROW()-1&lt;=$L$2+$M$2+$N$2+$O$2,IFERROR(INDEX(PROFORMA!$A:$K,ROW()-1-$L$2-$M$2-$N$2+1,4),""),"")))))</f>
        <v>Badges of trade</v>
      </c>
      <c r="E62" s="3" t="str">
        <f>IF(ROW()-1&lt;=0,"",IF(ROW()-1&lt;=$L$2,IFERROR(INDEX(MCQ!$A:$K,ROW()-1+1,5),""),IF(ROW()-1&lt;=$L$2+$M$2,IFERROR(INDEX(CLOZE_AB!$A:$K,ROW()-1-$L$2+1,5),""),IF(ROW()-1&lt;=$L$2+$M$2+$N$2,IFERROR(INDEX(CLOZE_LIST!$A:$K,ROW()-1-$L$2-$M$2+1,5),""),IF(ROW()-1&lt;=$L$2+$M$2+$N$2+$O$2,IFERROR(INDEX(PROFORMA!$A:$K,ROW()-1-$L$2-$M$2-$N$2+1,5),""),"")))))</f>
        <v>mcq_radio</v>
      </c>
      <c r="F62" s="3">
        <f>IF(ROW()-1&lt;=0,"",IF(ROW()-1&lt;=$L$2,IFERROR(INDEX(MCQ!$A:$K,ROW()-1+1,6),""),IF(ROW()-1&lt;=$L$2+$M$2,IFERROR(INDEX(CLOZE_AB!$A:$K,ROW()-1-$L$2+1,6),""),IF(ROW()-1&lt;=$L$2+$M$2+$N$2,IFERROR(INDEX(CLOZE_LIST!$A:$K,ROW()-1-$L$2-$M$2+1,6),""),IF(ROW()-1&lt;=$L$2+$M$2+$N$2+$O$2,IFERROR(INDEX(PROFORMA!$A:$K,ROW()-1-$L$2-$M$2-$N$2+1,6),""),"")))))</f>
        <v>3</v>
      </c>
      <c r="G62" s="3" t="str">
        <f>IF(ROW()-1&lt;=0,"",IF(ROW()-1&lt;=$L$2,IFERROR(INDEX(MCQ!$A:$K,ROW()-1+1,7),""),IF(ROW()-1&lt;=$L$2+$M$2,IFERROR(INDEX(CLOZE_AB!$A:$K,ROW()-1-$L$2+1,7),""),IF(ROW()-1&lt;=$L$2+$M$2+$N$2,IFERROR(INDEX(CLOZE_LIST!$A:$K,ROW()-1-$L$2-$M$2+1,7),""),IF(ROW()-1&lt;=$L$2+$M$2+$N$2+$O$2,IFERROR(INDEX(PROFORMA!$A:$K,ROW()-1-$L$2-$M$2-$N$2+1,7),""),"")))))</f>
        <v>core</v>
      </c>
      <c r="H62" s="3" t="str">
        <f>IF(ROW()-1&lt;=0,"",IF(ROW()-1&lt;=$L$2,IFERROR(INDEX(MCQ!$A:$K,ROW()-1+1,8),""),IF(ROW()-1&lt;=$L$2+$M$2,IFERROR(INDEX(CLOZE_AB!$A:$K,ROW()-1-$L$2+1,8),""),IF(ROW()-1&lt;=$L$2+$M$2+$N$2,IFERROR(INDEX(CLOZE_LIST!$A:$K,ROW()-1-$L$2-$M$2+1,8),""),IF(ROW()-1&lt;=$L$2+$M$2+$N$2+$O$2,IFERROR(INDEX(PROFORMA!$A:$K,ROW()-1-$L$2-$M$2-$N$2+1,8),""),"")))))</f>
        <v>Y</v>
      </c>
      <c r="I62" s="3" t="str">
        <f>IF(ROW()-1&lt;=0,"",IF(ROW()-1&lt;=$L$2,IFERROR(INDEX(MCQ!$A:$K,ROW()-1+1,9),""),IF(ROW()-1&lt;=$L$2+$M$2,IFERROR(INDEX(CLOZE_AB!$A:$K,ROW()-1-$L$2+1,9),""),IF(ROW()-1&lt;=$L$2+$M$2+$N$2,IFERROR(INDEX(CLOZE_LIST!$A:$K,ROW()-1-$L$2-$M$2+1,9),""),IF(ROW()-1&lt;=$L$2+$M$2+$N$2+$O$2,IFERROR(INDEX(PROFORMA!$A:$K,ROW()-1-$L$2-$M$2-$N$2+1,9),""),"")))))</f>
        <v>badges;similar_transactions</v>
      </c>
      <c r="J62" s="3" t="str">
        <f>IF(ROW()-1&lt;=0,"",IF(ROW()-1&lt;=$L$2,IFERROR(INDEX(MCQ!$A:$K,ROW()-1+1,10),""),IF(ROW()-1&lt;=$L$2+$M$2,IFERROR(INDEX(CLOZE_AB!$A:$K,ROW()-1-$L$2+1,10),""),IF(ROW()-1&lt;=$L$2+$M$2+$N$2,IFERROR(INDEX(CLOZE_LIST!$A:$K,ROW()-1-$L$2-$M$2+1,10),""),IF(ROW()-1&lt;=$L$2+$M$2+$N$2+$O$2,IFERROR(INDEX(PROFORMA!$A:$K,ROW()-1-$L$2-$M$2-$N$2+1,10),""),"")))))</f>
        <v>assistant_generated</v>
      </c>
      <c r="K62" s="3">
        <f>IF(ROW()-1&lt;=0,"",IF(ROW()-1&lt;=$L$2,IFERROR(INDEX(MCQ!$A:$K,ROW()-1+1,11),""),IF(ROW()-1&lt;=$L$2+$M$2,IFERROR(INDEX(CLOZE_AB!$A:$K,ROW()-1-$L$2+1,11),""),IF(ROW()-1&lt;=$L$2+$M$2+$N$2,IFERROR(INDEX(CLOZE_LIST!$A:$K,ROW()-1-$L$2-$M$2+1,11),""),IF(ROW()-1&lt;=$L$2+$M$2+$N$2+$O$2,IFERROR(INDEX(PROFORMA!$A:$K,ROW()-1-$L$2-$M$2-$N$2+1,11),""),"")))))</f>
        <v>1</v>
      </c>
      <c r="L62" s="3">
        <f>COUNTA(MCQ!$A:$A)-1</f>
        <v>143</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MCQ_ITNIC_DEF_BADGES_004</v>
      </c>
      <c r="B63" s="3" t="str">
        <f>IF(ROW()-1&lt;=0,"",IF(ROW()-1&lt;=$L$2,IFERROR(INDEX(MCQ!$A:$K,ROW()-1+1,2),""),IF(ROW()-1&lt;=$L$2+$M$2,IFERROR(INDEX(CLOZE_AB!$A:$K,ROW()-1-$L$2+1,2),""),IF(ROW()-1&lt;=$L$2+$M$2+$N$2,IFERROR(INDEX(CLOZE_LIST!$A:$K,ROW()-1-$L$2-$M$2+1,2),""),IF(ROW()-1&lt;=$L$2+$M$2+$N$2+$O$2,IFERROR(INDEX(PROFORMA!$A:$K,ROW()-1-$L$2-$M$2-$N$2+1,2),""),"")))))</f>
        <v>Income tax &amp; NIC</v>
      </c>
      <c r="C63" s="3" t="str">
        <f>IF(ROW()-1&lt;=0,"",IF(ROW()-1&lt;=$L$2,IFERROR(INDEX(MCQ!$A:$K,ROW()-1+1,3),""),IF(ROW()-1&lt;=$L$2+$M$2,IFERROR(INDEX(CLOZE_AB!$A:$K,ROW()-1-$L$2+1,3),""),IF(ROW()-1&lt;=$L$2+$M$2+$N$2,IFERROR(INDEX(CLOZE_LIST!$A:$K,ROW()-1-$L$2-$M$2+1,3),""),IF(ROW()-1&lt;=$L$2+$M$2+$N$2+$O$2,IFERROR(INDEX(PROFORMA!$A:$K,ROW()-1-$L$2-$M$2-$N$2+1,3),""),"")))))</f>
        <v>definitions</v>
      </c>
      <c r="D63" s="3" t="str">
        <f>IF(ROW()-1&lt;=0,"",IF(ROW()-1&lt;=$L$2,IFERROR(INDEX(MCQ!$A:$K,ROW()-1+1,4),""),IF(ROW()-1&lt;=$L$2+$M$2,IFERROR(INDEX(CLOZE_AB!$A:$K,ROW()-1-$L$2+1,4),""),IF(ROW()-1&lt;=$L$2+$M$2+$N$2,IFERROR(INDEX(CLOZE_LIST!$A:$K,ROW()-1-$L$2-$M$2+1,4),""),IF(ROW()-1&lt;=$L$2+$M$2+$N$2+$O$2,IFERROR(INDEX(PROFORMA!$A:$K,ROW()-1-$L$2-$M$2-$N$2+1,4),""),"")))))</f>
        <v>Badges of trade</v>
      </c>
      <c r="E63" s="3" t="str">
        <f>IF(ROW()-1&lt;=0,"",IF(ROW()-1&lt;=$L$2,IFERROR(INDEX(MCQ!$A:$K,ROW()-1+1,5),""),IF(ROW()-1&lt;=$L$2+$M$2,IFERROR(INDEX(CLOZE_AB!$A:$K,ROW()-1-$L$2+1,5),""),IF(ROW()-1&lt;=$L$2+$M$2+$N$2,IFERROR(INDEX(CLOZE_LIST!$A:$K,ROW()-1-$L$2-$M$2+1,5),""),IF(ROW()-1&lt;=$L$2+$M$2+$N$2+$O$2,IFERROR(INDEX(PROFORMA!$A:$K,ROW()-1-$L$2-$M$2-$N$2+1,5),""),"")))))</f>
        <v>mcq_radio</v>
      </c>
      <c r="F63" s="3">
        <f>IF(ROW()-1&lt;=0,"",IF(ROW()-1&lt;=$L$2,IFERROR(INDEX(MCQ!$A:$K,ROW()-1+1,6),""),IF(ROW()-1&lt;=$L$2+$M$2,IFERROR(INDEX(CLOZE_AB!$A:$K,ROW()-1-$L$2+1,6),""),IF(ROW()-1&lt;=$L$2+$M$2+$N$2,IFERROR(INDEX(CLOZE_LIST!$A:$K,ROW()-1-$L$2-$M$2+1,6),""),IF(ROW()-1&lt;=$L$2+$M$2+$N$2+$O$2,IFERROR(INDEX(PROFORMA!$A:$K,ROW()-1-$L$2-$M$2-$N$2+1,6),""),"")))))</f>
        <v>3</v>
      </c>
      <c r="G63" s="3" t="str">
        <f>IF(ROW()-1&lt;=0,"",IF(ROW()-1&lt;=$L$2,IFERROR(INDEX(MCQ!$A:$K,ROW()-1+1,7),""),IF(ROW()-1&lt;=$L$2+$M$2,IFERROR(INDEX(CLOZE_AB!$A:$K,ROW()-1-$L$2+1,7),""),IF(ROW()-1&lt;=$L$2+$M$2+$N$2,IFERROR(INDEX(CLOZE_LIST!$A:$K,ROW()-1-$L$2-$M$2+1,7),""),IF(ROW()-1&lt;=$L$2+$M$2+$N$2+$O$2,IFERROR(INDEX(PROFORMA!$A:$K,ROW()-1-$L$2-$M$2-$N$2+1,7),""),"")))))</f>
        <v>core</v>
      </c>
      <c r="H63" s="3" t="str">
        <f>IF(ROW()-1&lt;=0,"",IF(ROW()-1&lt;=$L$2,IFERROR(INDEX(MCQ!$A:$K,ROW()-1+1,8),""),IF(ROW()-1&lt;=$L$2+$M$2,IFERROR(INDEX(CLOZE_AB!$A:$K,ROW()-1-$L$2+1,8),""),IF(ROW()-1&lt;=$L$2+$M$2+$N$2,IFERROR(INDEX(CLOZE_LIST!$A:$K,ROW()-1-$L$2-$M$2+1,8),""),IF(ROW()-1&lt;=$L$2+$M$2+$N$2+$O$2,IFERROR(INDEX(PROFORMA!$A:$K,ROW()-1-$L$2-$M$2-$N$2+1,8),""),"")))))</f>
        <v>Y</v>
      </c>
      <c r="I63" s="3" t="str">
        <f>IF(ROW()-1&lt;=0,"",IF(ROW()-1&lt;=$L$2,IFERROR(INDEX(MCQ!$A:$K,ROW()-1+1,9),""),IF(ROW()-1&lt;=$L$2+$M$2,IFERROR(INDEX(CLOZE_AB!$A:$K,ROW()-1-$L$2+1,9),""),IF(ROW()-1&lt;=$L$2+$M$2+$N$2,IFERROR(INDEX(CLOZE_LIST!$A:$K,ROW()-1-$L$2-$M$2+1,9),""),IF(ROW()-1&lt;=$L$2+$M$2+$N$2+$O$2,IFERROR(INDEX(PROFORMA!$A:$K,ROW()-1-$L$2-$M$2-$N$2+1,9),""),"")))))</f>
        <v>badges;interval</v>
      </c>
      <c r="J63" s="3" t="str">
        <f>IF(ROW()-1&lt;=0,"",IF(ROW()-1&lt;=$L$2,IFERROR(INDEX(MCQ!$A:$K,ROW()-1+1,10),""),IF(ROW()-1&lt;=$L$2+$M$2,IFERROR(INDEX(CLOZE_AB!$A:$K,ROW()-1-$L$2+1,10),""),IF(ROW()-1&lt;=$L$2+$M$2+$N$2,IFERROR(INDEX(CLOZE_LIST!$A:$K,ROW()-1-$L$2-$M$2+1,10),""),IF(ROW()-1&lt;=$L$2+$M$2+$N$2+$O$2,IFERROR(INDEX(PROFORMA!$A:$K,ROW()-1-$L$2-$M$2-$N$2+1,10),""),"")))))</f>
        <v>assistant_generated</v>
      </c>
      <c r="K63" s="3">
        <f>IF(ROW()-1&lt;=0,"",IF(ROW()-1&lt;=$L$2,IFERROR(INDEX(MCQ!$A:$K,ROW()-1+1,11),""),IF(ROW()-1&lt;=$L$2+$M$2,IFERROR(INDEX(CLOZE_AB!$A:$K,ROW()-1-$L$2+1,11),""),IF(ROW()-1&lt;=$L$2+$M$2+$N$2,IFERROR(INDEX(CLOZE_LIST!$A:$K,ROW()-1-$L$2-$M$2+1,11),""),IF(ROW()-1&lt;=$L$2+$M$2+$N$2+$O$2,IFERROR(INDEX(PROFORMA!$A:$K,ROW()-1-$L$2-$M$2-$N$2+1,11),""),"")))))</f>
        <v>1</v>
      </c>
      <c r="L63" s="3">
        <f>COUNTA(MCQ!$A:$A)-1</f>
        <v>143</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MCQ_ITNIC_DEF_BADGES_005</v>
      </c>
      <c r="B64" s="3" t="str">
        <f>IF(ROW()-1&lt;=0,"",IF(ROW()-1&lt;=$L$2,IFERROR(INDEX(MCQ!$A:$K,ROW()-1+1,2),""),IF(ROW()-1&lt;=$L$2+$M$2,IFERROR(INDEX(CLOZE_AB!$A:$K,ROW()-1-$L$2+1,2),""),IF(ROW()-1&lt;=$L$2+$M$2+$N$2,IFERROR(INDEX(CLOZE_LIST!$A:$K,ROW()-1-$L$2-$M$2+1,2),""),IF(ROW()-1&lt;=$L$2+$M$2+$N$2+$O$2,IFERROR(INDEX(PROFORMA!$A:$K,ROW()-1-$L$2-$M$2-$N$2+1,2),""),"")))))</f>
        <v>Income tax &amp; NIC</v>
      </c>
      <c r="C64" s="3" t="str">
        <f>IF(ROW()-1&lt;=0,"",IF(ROW()-1&lt;=$L$2,IFERROR(INDEX(MCQ!$A:$K,ROW()-1+1,3),""),IF(ROW()-1&lt;=$L$2+$M$2,IFERROR(INDEX(CLOZE_AB!$A:$K,ROW()-1-$L$2+1,3),""),IF(ROW()-1&lt;=$L$2+$M$2+$N$2,IFERROR(INDEX(CLOZE_LIST!$A:$K,ROW()-1-$L$2-$M$2+1,3),""),IF(ROW()-1&lt;=$L$2+$M$2+$N$2+$O$2,IFERROR(INDEX(PROFORMA!$A:$K,ROW()-1-$L$2-$M$2-$N$2+1,3),""),"")))))</f>
        <v>definitions</v>
      </c>
      <c r="D64" s="3" t="str">
        <f>IF(ROW()-1&lt;=0,"",IF(ROW()-1&lt;=$L$2,IFERROR(INDEX(MCQ!$A:$K,ROW()-1+1,4),""),IF(ROW()-1&lt;=$L$2+$M$2,IFERROR(INDEX(CLOZE_AB!$A:$K,ROW()-1-$L$2+1,4),""),IF(ROW()-1&lt;=$L$2+$M$2+$N$2,IFERROR(INDEX(CLOZE_LIST!$A:$K,ROW()-1-$L$2-$M$2+1,4),""),IF(ROW()-1&lt;=$L$2+$M$2+$N$2+$O$2,IFERROR(INDEX(PROFORMA!$A:$K,ROW()-1-$L$2-$M$2-$N$2+1,4),""),"")))))</f>
        <v>Badges of trade</v>
      </c>
      <c r="E64" s="3" t="str">
        <f>IF(ROW()-1&lt;=0,"",IF(ROW()-1&lt;=$L$2,IFERROR(INDEX(MCQ!$A:$K,ROW()-1+1,5),""),IF(ROW()-1&lt;=$L$2+$M$2,IFERROR(INDEX(CLOZE_AB!$A:$K,ROW()-1-$L$2+1,5),""),IF(ROW()-1&lt;=$L$2+$M$2+$N$2,IFERROR(INDEX(CLOZE_LIST!$A:$K,ROW()-1-$L$2-$M$2+1,5),""),IF(ROW()-1&lt;=$L$2+$M$2+$N$2+$O$2,IFERROR(INDEX(PROFORMA!$A:$K,ROW()-1-$L$2-$M$2-$N$2+1,5),""),"")))))</f>
        <v>mcq_radio</v>
      </c>
      <c r="F64" s="3">
        <f>IF(ROW()-1&lt;=0,"",IF(ROW()-1&lt;=$L$2,IFERROR(INDEX(MCQ!$A:$K,ROW()-1+1,6),""),IF(ROW()-1&lt;=$L$2+$M$2,IFERROR(INDEX(CLOZE_AB!$A:$K,ROW()-1-$L$2+1,6),""),IF(ROW()-1&lt;=$L$2+$M$2+$N$2,IFERROR(INDEX(CLOZE_LIST!$A:$K,ROW()-1-$L$2-$M$2+1,6),""),IF(ROW()-1&lt;=$L$2+$M$2+$N$2+$O$2,IFERROR(INDEX(PROFORMA!$A:$K,ROW()-1-$L$2-$M$2-$N$2+1,6),""),"")))))</f>
        <v>3</v>
      </c>
      <c r="G64" s="3" t="str">
        <f>IF(ROW()-1&lt;=0,"",IF(ROW()-1&lt;=$L$2,IFERROR(INDEX(MCQ!$A:$K,ROW()-1+1,7),""),IF(ROW()-1&lt;=$L$2+$M$2,IFERROR(INDEX(CLOZE_AB!$A:$K,ROW()-1-$L$2+1,7),""),IF(ROW()-1&lt;=$L$2+$M$2+$N$2,IFERROR(INDEX(CLOZE_LIST!$A:$K,ROW()-1-$L$2-$M$2+1,7),""),IF(ROW()-1&lt;=$L$2+$M$2+$N$2+$O$2,IFERROR(INDEX(PROFORMA!$A:$K,ROW()-1-$L$2-$M$2-$N$2+1,7),""),"")))))</f>
        <v>core</v>
      </c>
      <c r="H64" s="3" t="str">
        <f>IF(ROW()-1&lt;=0,"",IF(ROW()-1&lt;=$L$2,IFERROR(INDEX(MCQ!$A:$K,ROW()-1+1,8),""),IF(ROW()-1&lt;=$L$2+$M$2,IFERROR(INDEX(CLOZE_AB!$A:$K,ROW()-1-$L$2+1,8),""),IF(ROW()-1&lt;=$L$2+$M$2+$N$2,IFERROR(INDEX(CLOZE_LIST!$A:$K,ROW()-1-$L$2-$M$2+1,8),""),IF(ROW()-1&lt;=$L$2+$M$2+$N$2+$O$2,IFERROR(INDEX(PROFORMA!$A:$K,ROW()-1-$L$2-$M$2-$N$2+1,8),""),"")))))</f>
        <v>Y</v>
      </c>
      <c r="I64" s="3" t="str">
        <f>IF(ROW()-1&lt;=0,"",IF(ROW()-1&lt;=$L$2,IFERROR(INDEX(MCQ!$A:$K,ROW()-1+1,9),""),IF(ROW()-1&lt;=$L$2+$M$2,IFERROR(INDEX(CLOZE_AB!$A:$K,ROW()-1-$L$2+1,9),""),IF(ROW()-1&lt;=$L$2+$M$2+$N$2,IFERROR(INDEX(CLOZE_LIST!$A:$K,ROW()-1-$L$2-$M$2+1,9),""),IF(ROW()-1&lt;=$L$2+$M$2+$N$2+$O$2,IFERROR(INDEX(PROFORMA!$A:$K,ROW()-1-$L$2-$M$2-$N$2+1,9),""),"")))))</f>
        <v>badges;acquisition</v>
      </c>
      <c r="J64" s="3" t="str">
        <f>IF(ROW()-1&lt;=0,"",IF(ROW()-1&lt;=$L$2,IFERROR(INDEX(MCQ!$A:$K,ROW()-1+1,10),""),IF(ROW()-1&lt;=$L$2+$M$2,IFERROR(INDEX(CLOZE_AB!$A:$K,ROW()-1-$L$2+1,10),""),IF(ROW()-1&lt;=$L$2+$M$2+$N$2,IFERROR(INDEX(CLOZE_LIST!$A:$K,ROW()-1-$L$2-$M$2+1,10),""),IF(ROW()-1&lt;=$L$2+$M$2+$N$2+$O$2,IFERROR(INDEX(PROFORMA!$A:$K,ROW()-1-$L$2-$M$2-$N$2+1,10),""),"")))))</f>
        <v>assistant_generated</v>
      </c>
      <c r="K64" s="3">
        <f>IF(ROW()-1&lt;=0,"",IF(ROW()-1&lt;=$L$2,IFERROR(INDEX(MCQ!$A:$K,ROW()-1+1,11),""),IF(ROW()-1&lt;=$L$2+$M$2,IFERROR(INDEX(CLOZE_AB!$A:$K,ROW()-1-$L$2+1,11),""),IF(ROW()-1&lt;=$L$2+$M$2+$N$2,IFERROR(INDEX(CLOZE_LIST!$A:$K,ROW()-1-$L$2-$M$2+1,11),""),IF(ROW()-1&lt;=$L$2+$M$2+$N$2+$O$2,IFERROR(INDEX(PROFORMA!$A:$K,ROW()-1-$L$2-$M$2-$N$2+1,11),""),"")))))</f>
        <v>1</v>
      </c>
      <c r="L64" s="3">
        <f>COUNTA(MCQ!$A:$A)-1</f>
        <v>143</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MCQ_ITNIC_DEF_BADGES_006</v>
      </c>
      <c r="B65" s="3" t="str">
        <f>IF(ROW()-1&lt;=0,"",IF(ROW()-1&lt;=$L$2,IFERROR(INDEX(MCQ!$A:$K,ROW()-1+1,2),""),IF(ROW()-1&lt;=$L$2+$M$2,IFERROR(INDEX(CLOZE_AB!$A:$K,ROW()-1-$L$2+1,2),""),IF(ROW()-1&lt;=$L$2+$M$2+$N$2,IFERROR(INDEX(CLOZE_LIST!$A:$K,ROW()-1-$L$2-$M$2+1,2),""),IF(ROW()-1&lt;=$L$2+$M$2+$N$2+$O$2,IFERROR(INDEX(PROFORMA!$A:$K,ROW()-1-$L$2-$M$2-$N$2+1,2),""),"")))))</f>
        <v>Income tax &amp; NIC</v>
      </c>
      <c r="C65" s="3" t="str">
        <f>IF(ROW()-1&lt;=0,"",IF(ROW()-1&lt;=$L$2,IFERROR(INDEX(MCQ!$A:$K,ROW()-1+1,3),""),IF(ROW()-1&lt;=$L$2+$M$2,IFERROR(INDEX(CLOZE_AB!$A:$K,ROW()-1-$L$2+1,3),""),IF(ROW()-1&lt;=$L$2+$M$2+$N$2,IFERROR(INDEX(CLOZE_LIST!$A:$K,ROW()-1-$L$2-$M$2+1,3),""),IF(ROW()-1&lt;=$L$2+$M$2+$N$2+$O$2,IFERROR(INDEX(PROFORMA!$A:$K,ROW()-1-$L$2-$M$2-$N$2+1,3),""),"")))))</f>
        <v>definitions</v>
      </c>
      <c r="D65" s="3" t="str">
        <f>IF(ROW()-1&lt;=0,"",IF(ROW()-1&lt;=$L$2,IFERROR(INDEX(MCQ!$A:$K,ROW()-1+1,4),""),IF(ROW()-1&lt;=$L$2+$M$2,IFERROR(INDEX(CLOZE_AB!$A:$K,ROW()-1-$L$2+1,4),""),IF(ROW()-1&lt;=$L$2+$M$2+$N$2,IFERROR(INDEX(CLOZE_LIST!$A:$K,ROW()-1-$L$2-$M$2+1,4),""),IF(ROW()-1&lt;=$L$2+$M$2+$N$2+$O$2,IFERROR(INDEX(PROFORMA!$A:$K,ROW()-1-$L$2-$M$2-$N$2+1,4),""),"")))))</f>
        <v>Badges of trade</v>
      </c>
      <c r="E65" s="3" t="str">
        <f>IF(ROW()-1&lt;=0,"",IF(ROW()-1&lt;=$L$2,IFERROR(INDEX(MCQ!$A:$K,ROW()-1+1,5),""),IF(ROW()-1&lt;=$L$2+$M$2,IFERROR(INDEX(CLOZE_AB!$A:$K,ROW()-1-$L$2+1,5),""),IF(ROW()-1&lt;=$L$2+$M$2+$N$2,IFERROR(INDEX(CLOZE_LIST!$A:$K,ROW()-1-$L$2-$M$2+1,5),""),IF(ROW()-1&lt;=$L$2+$M$2+$N$2+$O$2,IFERROR(INDEX(PROFORMA!$A:$K,ROW()-1-$L$2-$M$2-$N$2+1,5),""),"")))))</f>
        <v>mcq_radio</v>
      </c>
      <c r="F65" s="3">
        <f>IF(ROW()-1&lt;=0,"",IF(ROW()-1&lt;=$L$2,IFERROR(INDEX(MCQ!$A:$K,ROW()-1+1,6),""),IF(ROW()-1&lt;=$L$2+$M$2,IFERROR(INDEX(CLOZE_AB!$A:$K,ROW()-1-$L$2+1,6),""),IF(ROW()-1&lt;=$L$2+$M$2+$N$2,IFERROR(INDEX(CLOZE_LIST!$A:$K,ROW()-1-$L$2-$M$2+1,6),""),IF(ROW()-1&lt;=$L$2+$M$2+$N$2+$O$2,IFERROR(INDEX(PROFORMA!$A:$K,ROW()-1-$L$2-$M$2-$N$2+1,6),""),"")))))</f>
        <v>3</v>
      </c>
      <c r="G65" s="3" t="str">
        <f>IF(ROW()-1&lt;=0,"",IF(ROW()-1&lt;=$L$2,IFERROR(INDEX(MCQ!$A:$K,ROW()-1+1,7),""),IF(ROW()-1&lt;=$L$2+$M$2,IFERROR(INDEX(CLOZE_AB!$A:$K,ROW()-1-$L$2+1,7),""),IF(ROW()-1&lt;=$L$2+$M$2+$N$2,IFERROR(INDEX(CLOZE_LIST!$A:$K,ROW()-1-$L$2-$M$2+1,7),""),IF(ROW()-1&lt;=$L$2+$M$2+$N$2+$O$2,IFERROR(INDEX(PROFORMA!$A:$K,ROW()-1-$L$2-$M$2-$N$2+1,7),""),"")))))</f>
        <v>core</v>
      </c>
      <c r="H65" s="3" t="str">
        <f>IF(ROW()-1&lt;=0,"",IF(ROW()-1&lt;=$L$2,IFERROR(INDEX(MCQ!$A:$K,ROW()-1+1,8),""),IF(ROW()-1&lt;=$L$2+$M$2,IFERROR(INDEX(CLOZE_AB!$A:$K,ROW()-1-$L$2+1,8),""),IF(ROW()-1&lt;=$L$2+$M$2+$N$2,IFERROR(INDEX(CLOZE_LIST!$A:$K,ROW()-1-$L$2-$M$2+1,8),""),IF(ROW()-1&lt;=$L$2+$M$2+$N$2+$O$2,IFERROR(INDEX(PROFORMA!$A:$K,ROW()-1-$L$2-$M$2-$N$2+1,8),""),"")))))</f>
        <v>Y</v>
      </c>
      <c r="I65" s="3" t="str">
        <f>IF(ROW()-1&lt;=0,"",IF(ROW()-1&lt;=$L$2,IFERROR(INDEX(MCQ!$A:$K,ROW()-1+1,9),""),IF(ROW()-1&lt;=$L$2+$M$2,IFERROR(INDEX(CLOZE_AB!$A:$K,ROW()-1-$L$2+1,9),""),IF(ROW()-1&lt;=$L$2+$M$2+$N$2,IFERROR(INDEX(CLOZE_LIST!$A:$K,ROW()-1-$L$2-$M$2+1,9),""),IF(ROW()-1&lt;=$L$2+$M$2+$N$2+$O$2,IFERROR(INDEX(PROFORMA!$A:$K,ROW()-1-$L$2-$M$2-$N$2+1,9),""),"")))))</f>
        <v>badges;purpose_recall</v>
      </c>
      <c r="J65" s="3" t="str">
        <f>IF(ROW()-1&lt;=0,"",IF(ROW()-1&lt;=$L$2,IFERROR(INDEX(MCQ!$A:$K,ROW()-1+1,10),""),IF(ROW()-1&lt;=$L$2+$M$2,IFERROR(INDEX(CLOZE_AB!$A:$K,ROW()-1-$L$2+1,10),""),IF(ROW()-1&lt;=$L$2+$M$2+$N$2,IFERROR(INDEX(CLOZE_LIST!$A:$K,ROW()-1-$L$2-$M$2+1,10),""),IF(ROW()-1&lt;=$L$2+$M$2+$N$2+$O$2,IFERROR(INDEX(PROFORMA!$A:$K,ROW()-1-$L$2-$M$2-$N$2+1,10),""),"")))))</f>
        <v>assistant_generated</v>
      </c>
      <c r="K65" s="3">
        <f>IF(ROW()-1&lt;=0,"",IF(ROW()-1&lt;=$L$2,IFERROR(INDEX(MCQ!$A:$K,ROW()-1+1,11),""),IF(ROW()-1&lt;=$L$2+$M$2,IFERROR(INDEX(CLOZE_AB!$A:$K,ROW()-1-$L$2+1,11),""),IF(ROW()-1&lt;=$L$2+$M$2+$N$2,IFERROR(INDEX(CLOZE_LIST!$A:$K,ROW()-1-$L$2-$M$2+1,11),""),IF(ROW()-1&lt;=$L$2+$M$2+$N$2+$O$2,IFERROR(INDEX(PROFORMA!$A:$K,ROW()-1-$L$2-$M$2-$N$2+1,11),""),"")))))</f>
        <v>1</v>
      </c>
      <c r="L65" s="3">
        <f>COUNTA(MCQ!$A:$A)-1</f>
        <v>143</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MCQ_ITNIC_DEF_BADGES_007</v>
      </c>
      <c r="B66" s="3" t="str">
        <f>IF(ROW()-1&lt;=0,"",IF(ROW()-1&lt;=$L$2,IFERROR(INDEX(MCQ!$A:$K,ROW()-1+1,2),""),IF(ROW()-1&lt;=$L$2+$M$2,IFERROR(INDEX(CLOZE_AB!$A:$K,ROW()-1-$L$2+1,2),""),IF(ROW()-1&lt;=$L$2+$M$2+$N$2,IFERROR(INDEX(CLOZE_LIST!$A:$K,ROW()-1-$L$2-$M$2+1,2),""),IF(ROW()-1&lt;=$L$2+$M$2+$N$2+$O$2,IFERROR(INDEX(PROFORMA!$A:$K,ROW()-1-$L$2-$M$2-$N$2+1,2),""),"")))))</f>
        <v>Income tax &amp; NIC</v>
      </c>
      <c r="C66" s="3" t="str">
        <f>IF(ROW()-1&lt;=0,"",IF(ROW()-1&lt;=$L$2,IFERROR(INDEX(MCQ!$A:$K,ROW()-1+1,3),""),IF(ROW()-1&lt;=$L$2+$M$2,IFERROR(INDEX(CLOZE_AB!$A:$K,ROW()-1-$L$2+1,3),""),IF(ROW()-1&lt;=$L$2+$M$2+$N$2,IFERROR(INDEX(CLOZE_LIST!$A:$K,ROW()-1-$L$2-$M$2+1,3),""),IF(ROW()-1&lt;=$L$2+$M$2+$N$2+$O$2,IFERROR(INDEX(PROFORMA!$A:$K,ROW()-1-$L$2-$M$2-$N$2+1,3),""),"")))))</f>
        <v>definitions</v>
      </c>
      <c r="D66" s="3" t="str">
        <f>IF(ROW()-1&lt;=0,"",IF(ROW()-1&lt;=$L$2,IFERROR(INDEX(MCQ!$A:$K,ROW()-1+1,4),""),IF(ROW()-1&lt;=$L$2+$M$2,IFERROR(INDEX(CLOZE_AB!$A:$K,ROW()-1-$L$2+1,4),""),IF(ROW()-1&lt;=$L$2+$M$2+$N$2,IFERROR(INDEX(CLOZE_LIST!$A:$K,ROW()-1-$L$2-$M$2+1,4),""),IF(ROW()-1&lt;=$L$2+$M$2+$N$2+$O$2,IFERROR(INDEX(PROFORMA!$A:$K,ROW()-1-$L$2-$M$2-$N$2+1,4),""),"")))))</f>
        <v>Badges of trade</v>
      </c>
      <c r="E66" s="3" t="str">
        <f>IF(ROW()-1&lt;=0,"",IF(ROW()-1&lt;=$L$2,IFERROR(INDEX(MCQ!$A:$K,ROW()-1+1,5),""),IF(ROW()-1&lt;=$L$2+$M$2,IFERROR(INDEX(CLOZE_AB!$A:$K,ROW()-1-$L$2+1,5),""),IF(ROW()-1&lt;=$L$2+$M$2+$N$2,IFERROR(INDEX(CLOZE_LIST!$A:$K,ROW()-1-$L$2-$M$2+1,5),""),IF(ROW()-1&lt;=$L$2+$M$2+$N$2+$O$2,IFERROR(INDEX(PROFORMA!$A:$K,ROW()-1-$L$2-$M$2-$N$2+1,5),""),"")))))</f>
        <v>mcq_radio</v>
      </c>
      <c r="F66" s="3">
        <f>IF(ROW()-1&lt;=0,"",IF(ROW()-1&lt;=$L$2,IFERROR(INDEX(MCQ!$A:$K,ROW()-1+1,6),""),IF(ROW()-1&lt;=$L$2+$M$2,IFERROR(INDEX(CLOZE_AB!$A:$K,ROW()-1-$L$2+1,6),""),IF(ROW()-1&lt;=$L$2+$M$2+$N$2,IFERROR(INDEX(CLOZE_LIST!$A:$K,ROW()-1-$L$2-$M$2+1,6),""),IF(ROW()-1&lt;=$L$2+$M$2+$N$2+$O$2,IFERROR(INDEX(PROFORMA!$A:$K,ROW()-1-$L$2-$M$2-$N$2+1,6),""),"")))))</f>
        <v>3</v>
      </c>
      <c r="G66" s="3" t="str">
        <f>IF(ROW()-1&lt;=0,"",IF(ROW()-1&lt;=$L$2,IFERROR(INDEX(MCQ!$A:$K,ROW()-1+1,7),""),IF(ROW()-1&lt;=$L$2+$M$2,IFERROR(INDEX(CLOZE_AB!$A:$K,ROW()-1-$L$2+1,7),""),IF(ROW()-1&lt;=$L$2+$M$2+$N$2,IFERROR(INDEX(CLOZE_LIST!$A:$K,ROW()-1-$L$2-$M$2+1,7),""),IF(ROW()-1&lt;=$L$2+$M$2+$N$2+$O$2,IFERROR(INDEX(PROFORMA!$A:$K,ROW()-1-$L$2-$M$2-$N$2+1,7),""),"")))))</f>
        <v>core</v>
      </c>
      <c r="H66" s="3" t="str">
        <f>IF(ROW()-1&lt;=0,"",IF(ROW()-1&lt;=$L$2,IFERROR(INDEX(MCQ!$A:$K,ROW()-1+1,8),""),IF(ROW()-1&lt;=$L$2+$M$2,IFERROR(INDEX(CLOZE_AB!$A:$K,ROW()-1-$L$2+1,8),""),IF(ROW()-1&lt;=$L$2+$M$2+$N$2,IFERROR(INDEX(CLOZE_LIST!$A:$K,ROW()-1-$L$2-$M$2+1,8),""),IF(ROW()-1&lt;=$L$2+$M$2+$N$2+$O$2,IFERROR(INDEX(PROFORMA!$A:$K,ROW()-1-$L$2-$M$2-$N$2+1,8),""),"")))))</f>
        <v>Y</v>
      </c>
      <c r="I66" s="3" t="str">
        <f>IF(ROW()-1&lt;=0,"",IF(ROW()-1&lt;=$L$2,IFERROR(INDEX(MCQ!$A:$K,ROW()-1+1,9),""),IF(ROW()-1&lt;=$L$2+$M$2,IFERROR(INDEX(CLOZE_AB!$A:$K,ROW()-1-$L$2+1,9),""),IF(ROW()-1&lt;=$L$2+$M$2+$N$2,IFERROR(INDEX(CLOZE_LIST!$A:$K,ROW()-1-$L$2-$M$2+1,9),""),IF(ROW()-1&lt;=$L$2+$M$2+$N$2+$O$2,IFERROR(INDEX(PROFORMA!$A:$K,ROW()-1-$L$2-$M$2-$N$2+1,9),""),"")))))</f>
        <v>badges;supplementary_work</v>
      </c>
      <c r="J66" s="3" t="str">
        <f>IF(ROW()-1&lt;=0,"",IF(ROW()-1&lt;=$L$2,IFERROR(INDEX(MCQ!$A:$K,ROW()-1+1,10),""),IF(ROW()-1&lt;=$L$2+$M$2,IFERROR(INDEX(CLOZE_AB!$A:$K,ROW()-1-$L$2+1,10),""),IF(ROW()-1&lt;=$L$2+$M$2+$N$2,IFERROR(INDEX(CLOZE_LIST!$A:$K,ROW()-1-$L$2-$M$2+1,10),""),IF(ROW()-1&lt;=$L$2+$M$2+$N$2+$O$2,IFERROR(INDEX(PROFORMA!$A:$K,ROW()-1-$L$2-$M$2-$N$2+1,10),""),"")))))</f>
        <v>assistant_generated</v>
      </c>
      <c r="K66" s="3">
        <f>IF(ROW()-1&lt;=0,"",IF(ROW()-1&lt;=$L$2,IFERROR(INDEX(MCQ!$A:$K,ROW()-1+1,11),""),IF(ROW()-1&lt;=$L$2+$M$2,IFERROR(INDEX(CLOZE_AB!$A:$K,ROW()-1-$L$2+1,11),""),IF(ROW()-1&lt;=$L$2+$M$2+$N$2,IFERROR(INDEX(CLOZE_LIST!$A:$K,ROW()-1-$L$2-$M$2+1,11),""),IF(ROW()-1&lt;=$L$2+$M$2+$N$2+$O$2,IFERROR(INDEX(PROFORMA!$A:$K,ROW()-1-$L$2-$M$2-$N$2+1,11),""),"")))))</f>
        <v>1</v>
      </c>
      <c r="L66" s="3">
        <f>COUNTA(MCQ!$A:$A)-1</f>
        <v>143</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MCQ_ITNIC_DEF_BADGES_008</v>
      </c>
      <c r="B67" s="3" t="str">
        <f>IF(ROW()-1&lt;=0,"",IF(ROW()-1&lt;=$L$2,IFERROR(INDEX(MCQ!$A:$K,ROW()-1+1,2),""),IF(ROW()-1&lt;=$L$2+$M$2,IFERROR(INDEX(CLOZE_AB!$A:$K,ROW()-1-$L$2+1,2),""),IF(ROW()-1&lt;=$L$2+$M$2+$N$2,IFERROR(INDEX(CLOZE_LIST!$A:$K,ROW()-1-$L$2-$M$2+1,2),""),IF(ROW()-1&lt;=$L$2+$M$2+$N$2+$O$2,IFERROR(INDEX(PROFORMA!$A:$K,ROW()-1-$L$2-$M$2-$N$2+1,2),""),"")))))</f>
        <v>Income tax &amp; NIC</v>
      </c>
      <c r="C67" s="3" t="str">
        <f>IF(ROW()-1&lt;=0,"",IF(ROW()-1&lt;=$L$2,IFERROR(INDEX(MCQ!$A:$K,ROW()-1+1,3),""),IF(ROW()-1&lt;=$L$2+$M$2,IFERROR(INDEX(CLOZE_AB!$A:$K,ROW()-1-$L$2+1,3),""),IF(ROW()-1&lt;=$L$2+$M$2+$N$2,IFERROR(INDEX(CLOZE_LIST!$A:$K,ROW()-1-$L$2-$M$2+1,3),""),IF(ROW()-1&lt;=$L$2+$M$2+$N$2+$O$2,IFERROR(INDEX(PROFORMA!$A:$K,ROW()-1-$L$2-$M$2-$N$2+1,3),""),"")))))</f>
        <v>definitions</v>
      </c>
      <c r="D67" s="3" t="str">
        <f>IF(ROW()-1&lt;=0,"",IF(ROW()-1&lt;=$L$2,IFERROR(INDEX(MCQ!$A:$K,ROW()-1+1,4),""),IF(ROW()-1&lt;=$L$2+$M$2,IFERROR(INDEX(CLOZE_AB!$A:$K,ROW()-1-$L$2+1,4),""),IF(ROW()-1&lt;=$L$2+$M$2+$N$2,IFERROR(INDEX(CLOZE_LIST!$A:$K,ROW()-1-$L$2-$M$2+1,4),""),IF(ROW()-1&lt;=$L$2+$M$2+$N$2+$O$2,IFERROR(INDEX(PROFORMA!$A:$K,ROW()-1-$L$2-$M$2-$N$2+1,4),""),"")))))</f>
        <v>Badges of trade</v>
      </c>
      <c r="E67" s="3" t="str">
        <f>IF(ROW()-1&lt;=0,"",IF(ROW()-1&lt;=$L$2,IFERROR(INDEX(MCQ!$A:$K,ROW()-1+1,5),""),IF(ROW()-1&lt;=$L$2+$M$2,IFERROR(INDEX(CLOZE_AB!$A:$K,ROW()-1-$L$2+1,5),""),IF(ROW()-1&lt;=$L$2+$M$2+$N$2,IFERROR(INDEX(CLOZE_LIST!$A:$K,ROW()-1-$L$2-$M$2+1,5),""),IF(ROW()-1&lt;=$L$2+$M$2+$N$2+$O$2,IFERROR(INDEX(PROFORMA!$A:$K,ROW()-1-$L$2-$M$2-$N$2+1,5),""),"")))))</f>
        <v>mcq_radio</v>
      </c>
      <c r="F67" s="3">
        <f>IF(ROW()-1&lt;=0,"",IF(ROW()-1&lt;=$L$2,IFERROR(INDEX(MCQ!$A:$K,ROW()-1+1,6),""),IF(ROW()-1&lt;=$L$2+$M$2,IFERROR(INDEX(CLOZE_AB!$A:$K,ROW()-1-$L$2+1,6),""),IF(ROW()-1&lt;=$L$2+$M$2+$N$2,IFERROR(INDEX(CLOZE_LIST!$A:$K,ROW()-1-$L$2-$M$2+1,6),""),IF(ROW()-1&lt;=$L$2+$M$2+$N$2+$O$2,IFERROR(INDEX(PROFORMA!$A:$K,ROW()-1-$L$2-$M$2-$N$2+1,6),""),"")))))</f>
        <v>3</v>
      </c>
      <c r="G67" s="3" t="str">
        <f>IF(ROW()-1&lt;=0,"",IF(ROW()-1&lt;=$L$2,IFERROR(INDEX(MCQ!$A:$K,ROW()-1+1,7),""),IF(ROW()-1&lt;=$L$2+$M$2,IFERROR(INDEX(CLOZE_AB!$A:$K,ROW()-1-$L$2+1,7),""),IF(ROW()-1&lt;=$L$2+$M$2+$N$2,IFERROR(INDEX(CLOZE_LIST!$A:$K,ROW()-1-$L$2-$M$2+1,7),""),IF(ROW()-1&lt;=$L$2+$M$2+$N$2+$O$2,IFERROR(INDEX(PROFORMA!$A:$K,ROW()-1-$L$2-$M$2-$N$2+1,7),""),"")))))</f>
        <v>core</v>
      </c>
      <c r="H67" s="3" t="str">
        <f>IF(ROW()-1&lt;=0,"",IF(ROW()-1&lt;=$L$2,IFERROR(INDEX(MCQ!$A:$K,ROW()-1+1,8),""),IF(ROW()-1&lt;=$L$2+$M$2,IFERROR(INDEX(CLOZE_AB!$A:$K,ROW()-1-$L$2+1,8),""),IF(ROW()-1&lt;=$L$2+$M$2+$N$2,IFERROR(INDEX(CLOZE_LIST!$A:$K,ROW()-1-$L$2-$M$2+1,8),""),IF(ROW()-1&lt;=$L$2+$M$2+$N$2+$O$2,IFERROR(INDEX(PROFORMA!$A:$K,ROW()-1-$L$2-$M$2-$N$2+1,8),""),"")))))</f>
        <v>Y</v>
      </c>
      <c r="I67" s="3" t="str">
        <f>IF(ROW()-1&lt;=0,"",IF(ROW()-1&lt;=$L$2,IFERROR(INDEX(MCQ!$A:$K,ROW()-1+1,9),""),IF(ROW()-1&lt;=$L$2+$M$2,IFERROR(INDEX(CLOZE_AB!$A:$K,ROW()-1-$L$2+1,9),""),IF(ROW()-1&lt;=$L$2+$M$2+$N$2,IFERROR(INDEX(CLOZE_LIST!$A:$K,ROW()-1-$L$2-$M$2+1,9),""),IF(ROW()-1&lt;=$L$2+$M$2+$N$2+$O$2,IFERROR(INDEX(PROFORMA!$A:$K,ROW()-1-$L$2-$M$2-$N$2+1,9),""),"")))))</f>
        <v>badges;finance</v>
      </c>
      <c r="J67" s="3" t="str">
        <f>IF(ROW()-1&lt;=0,"",IF(ROW()-1&lt;=$L$2,IFERROR(INDEX(MCQ!$A:$K,ROW()-1+1,10),""),IF(ROW()-1&lt;=$L$2+$M$2,IFERROR(INDEX(CLOZE_AB!$A:$K,ROW()-1-$L$2+1,10),""),IF(ROW()-1&lt;=$L$2+$M$2+$N$2,IFERROR(INDEX(CLOZE_LIST!$A:$K,ROW()-1-$L$2-$M$2+1,10),""),IF(ROW()-1&lt;=$L$2+$M$2+$N$2+$O$2,IFERROR(INDEX(PROFORMA!$A:$K,ROW()-1-$L$2-$M$2-$N$2+1,10),""),"")))))</f>
        <v>assistant_generated</v>
      </c>
      <c r="K67" s="3">
        <f>IF(ROW()-1&lt;=0,"",IF(ROW()-1&lt;=$L$2,IFERROR(INDEX(MCQ!$A:$K,ROW()-1+1,11),""),IF(ROW()-1&lt;=$L$2+$M$2,IFERROR(INDEX(CLOZE_AB!$A:$K,ROW()-1-$L$2+1,11),""),IF(ROW()-1&lt;=$L$2+$M$2+$N$2,IFERROR(INDEX(CLOZE_LIST!$A:$K,ROW()-1-$L$2-$M$2+1,11),""),IF(ROW()-1&lt;=$L$2+$M$2+$N$2+$O$2,IFERROR(INDEX(PROFORMA!$A:$K,ROW()-1-$L$2-$M$2-$N$2+1,11),""),"")))))</f>
        <v>1</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f>IF(ROW()-1&lt;=0,"",IF(ROW()-1&lt;=$L$2,IFERROR(INDEX(MCQ!$A:$K,ROW()-1+1,5),""),IF(ROW()-1&lt;=$L$2+$M$2,IFERROR(INDEX(CLOZE_AB!$A:$K,ROW()-1-$L$2+1,5),""),IF(ROW()-1&lt;=$L$2+$M$2+$N$2,IFERROR(INDEX(CLOZE_LIST!$A:$K,ROW()-1-$L$2-$M$2+1,5),""),IF(ROW()-1&lt;=$L$2+$M$2+$N$2+$O$2,IFERROR(INDEX(PROFORMA!$A:$K,ROW()-1-$L$2-$M$2-$N$2+1,5),""),"")))))</f>
        <v>0</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f>IF(ROW()-1&lt;=0,"",IF(ROW()-1&lt;=$L$2,IFERROR(INDEX(MCQ!$A:$K,ROW()-1+1,5),""),IF(ROW()-1&lt;=$L$2+$M$2,IFERROR(INDEX(CLOZE_AB!$A:$K,ROW()-1-$L$2+1,5),""),IF(ROW()-1&lt;=$L$2+$M$2+$N$2,IFERROR(INDEX(CLOZE_LIST!$A:$K,ROW()-1-$L$2-$M$2+1,5),""),IF(ROW()-1&lt;=$L$2+$M$2+$N$2+$O$2,IFERROR(INDEX(PROFORMA!$A:$K,ROW()-1-$L$2-$M$2-$N$2+1,5),""),"")))))</f>
        <v>0</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f>IF(ROW()-1&lt;=0,"",IF(ROW()-1&lt;=$L$2,IFERROR(INDEX(MCQ!$A:$K,ROW()-1+1,5),""),IF(ROW()-1&lt;=$L$2+$M$2,IFERROR(INDEX(CLOZE_AB!$A:$K,ROW()-1-$L$2+1,5),""),IF(ROW()-1&lt;=$L$2+$M$2+$N$2,IFERROR(INDEX(CLOZE_LIST!$A:$K,ROW()-1-$L$2-$M$2+1,5),""),IF(ROW()-1&lt;=$L$2+$M$2+$N$2+$O$2,IFERROR(INDEX(PROFORMA!$A:$K,ROW()-1-$L$2-$M$2-$N$2+1,5),""),"")))))</f>
        <v>0</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f>IF(ROW()-1&lt;=0,"",IF(ROW()-1&lt;=$L$2,IFERROR(INDEX(MCQ!$A:$K,ROW()-1+1,5),""),IF(ROW()-1&lt;=$L$2+$M$2,IFERROR(INDEX(CLOZE_AB!$A:$K,ROW()-1-$L$2+1,5),""),IF(ROW()-1&lt;=$L$2+$M$2+$N$2,IFERROR(INDEX(CLOZE_LIST!$A:$K,ROW()-1-$L$2-$M$2+1,5),""),IF(ROW()-1&lt;=$L$2+$M$2+$N$2+$O$2,IFERROR(INDEX(PROFORMA!$A:$K,ROW()-1-$L$2-$M$2-$N$2+1,5),""),"")))))</f>
        <v>0</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f>IF(ROW()-1&lt;=0,"",IF(ROW()-1&lt;=$L$2,IFERROR(INDEX(MCQ!$A:$K,ROW()-1+1,5),""),IF(ROW()-1&lt;=$L$2+$M$2,IFERROR(INDEX(CLOZE_AB!$A:$K,ROW()-1-$L$2+1,5),""),IF(ROW()-1&lt;=$L$2+$M$2+$N$2,IFERROR(INDEX(CLOZE_LIST!$A:$K,ROW()-1-$L$2-$M$2+1,5),""),IF(ROW()-1&lt;=$L$2+$M$2+$N$2+$O$2,IFERROR(INDEX(PROFORMA!$A:$K,ROW()-1-$L$2-$M$2-$N$2+1,5),""),"")))))</f>
        <v>0</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f>IF(ROW()-1&lt;=0,"",IF(ROW()-1&lt;=$L$2,IFERROR(INDEX(MCQ!$A:$K,ROW()-1+1,5),""),IF(ROW()-1&lt;=$L$2+$M$2,IFERROR(INDEX(CLOZE_AB!$A:$K,ROW()-1-$L$2+1,5),""),IF(ROW()-1&lt;=$L$2+$M$2+$N$2,IFERROR(INDEX(CLOZE_LIST!$A:$K,ROW()-1-$L$2-$M$2+1,5),""),IF(ROW()-1&lt;=$L$2+$M$2+$N$2+$O$2,IFERROR(INDEX(PROFORMA!$A:$K,ROW()-1-$L$2-$M$2-$N$2+1,5),""),"")))))</f>
        <v>0</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f>IF(ROW()-1&lt;=0,"",IF(ROW()-1&lt;=$L$2,IFERROR(INDEX(MCQ!$A:$K,ROW()-1+1,5),""),IF(ROW()-1&lt;=$L$2+$M$2,IFERROR(INDEX(CLOZE_AB!$A:$K,ROW()-1-$L$2+1,5),""),IF(ROW()-1&lt;=$L$2+$M$2+$N$2,IFERROR(INDEX(CLOZE_LIST!$A:$K,ROW()-1-$L$2-$M$2+1,5),""),IF(ROW()-1&lt;=$L$2+$M$2+$N$2+$O$2,IFERROR(INDEX(PROFORMA!$A:$K,ROW()-1-$L$2-$M$2-$N$2+1,5),""),"")))))</f>
        <v>0</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f>IF(ROW()-1&lt;=0,"",IF(ROW()-1&lt;=$L$2,IFERROR(INDEX(MCQ!$A:$K,ROW()-1+1,5),""),IF(ROW()-1&lt;=$L$2+$M$2,IFERROR(INDEX(CLOZE_AB!$A:$K,ROW()-1-$L$2+1,5),""),IF(ROW()-1&lt;=$L$2+$M$2+$N$2,IFERROR(INDEX(CLOZE_LIST!$A:$K,ROW()-1-$L$2-$M$2+1,5),""),IF(ROW()-1&lt;=$L$2+$M$2+$N$2+$O$2,IFERROR(INDEX(PROFORMA!$A:$K,ROW()-1-$L$2-$M$2-$N$2+1,5),""),"")))))</f>
        <v>0</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f>IF(ROW()-1&lt;=0,"",IF(ROW()-1&lt;=$L$2,IFERROR(INDEX(MCQ!$A:$K,ROW()-1+1,5),""),IF(ROW()-1&lt;=$L$2+$M$2,IFERROR(INDEX(CLOZE_AB!$A:$K,ROW()-1-$L$2+1,5),""),IF(ROW()-1&lt;=$L$2+$M$2+$N$2,IFERROR(INDEX(CLOZE_LIST!$A:$K,ROW()-1-$L$2-$M$2+1,5),""),IF(ROW()-1&lt;=$L$2+$M$2+$N$2+$O$2,IFERROR(INDEX(PROFORMA!$A:$K,ROW()-1-$L$2-$M$2-$N$2+1,5),""),"")))))</f>
        <v>0</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f>IF(ROW()-1&lt;=0,"",IF(ROW()-1&lt;=$L$2,IFERROR(INDEX(MCQ!$A:$K,ROW()-1+1,5),""),IF(ROW()-1&lt;=$L$2+$M$2,IFERROR(INDEX(CLOZE_AB!$A:$K,ROW()-1-$L$2+1,5),""),IF(ROW()-1&lt;=$L$2+$M$2+$N$2,IFERROR(INDEX(CLOZE_LIST!$A:$K,ROW()-1-$L$2-$M$2+1,5),""),IF(ROW()-1&lt;=$L$2+$M$2+$N$2+$O$2,IFERROR(INDEX(PROFORMA!$A:$K,ROW()-1-$L$2-$M$2-$N$2+1,5),""),"")))))</f>
        <v>0</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f>IF(ROW()-1&lt;=0,"",IF(ROW()-1&lt;=$L$2,IFERROR(INDEX(MCQ!$A:$K,ROW()-1+1,5),""),IF(ROW()-1&lt;=$L$2+$M$2,IFERROR(INDEX(CLOZE_AB!$A:$K,ROW()-1-$L$2+1,5),""),IF(ROW()-1&lt;=$L$2+$M$2+$N$2,IFERROR(INDEX(CLOZE_LIST!$A:$K,ROW()-1-$L$2-$M$2+1,5),""),IF(ROW()-1&lt;=$L$2+$M$2+$N$2+$O$2,IFERROR(INDEX(PROFORMA!$A:$K,ROW()-1-$L$2-$M$2-$N$2+1,5),""),"")))))</f>
        <v>0</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f>IF(ROW()-1&lt;=0,"",IF(ROW()-1&lt;=$L$2,IFERROR(INDEX(MCQ!$A:$K,ROW()-1+1,5),""),IF(ROW()-1&lt;=$L$2+$M$2,IFERROR(INDEX(CLOZE_AB!$A:$K,ROW()-1-$L$2+1,5),""),IF(ROW()-1&lt;=$L$2+$M$2+$N$2,IFERROR(INDEX(CLOZE_LIST!$A:$K,ROW()-1-$L$2-$M$2+1,5),""),IF(ROW()-1&lt;=$L$2+$M$2+$N$2+$O$2,IFERROR(INDEX(PROFORMA!$A:$K,ROW()-1-$L$2-$M$2-$N$2+1,5),""),"")))))</f>
        <v>0</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f>IF(ROW()-1&lt;=0,"",IF(ROW()-1&lt;=$L$2,IFERROR(INDEX(MCQ!$A:$K,ROW()-1+1,5),""),IF(ROW()-1&lt;=$L$2+$M$2,IFERROR(INDEX(CLOZE_AB!$A:$K,ROW()-1-$L$2+1,5),""),IF(ROW()-1&lt;=$L$2+$M$2+$N$2,IFERROR(INDEX(CLOZE_LIST!$A:$K,ROW()-1-$L$2-$M$2+1,5),""),IF(ROW()-1&lt;=$L$2+$M$2+$N$2+$O$2,IFERROR(INDEX(PROFORMA!$A:$K,ROW()-1-$L$2-$M$2-$N$2+1,5),""),"")))))</f>
        <v>0</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f>IF(ROW()-1&lt;=0,"",IF(ROW()-1&lt;=$L$2,IFERROR(INDEX(MCQ!$A:$K,ROW()-1+1,5),""),IF(ROW()-1&lt;=$L$2+$M$2,IFERROR(INDEX(CLOZE_AB!$A:$K,ROW()-1-$L$2+1,5),""),IF(ROW()-1&lt;=$L$2+$M$2+$N$2,IFERROR(INDEX(CLOZE_LIST!$A:$K,ROW()-1-$L$2-$M$2+1,5),""),IF(ROW()-1&lt;=$L$2+$M$2+$N$2+$O$2,IFERROR(INDEX(PROFORMA!$A:$K,ROW()-1-$L$2-$M$2-$N$2+1,5),""),"")))))</f>
        <v>0</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f>IF(ROW()-1&lt;=0,"",IF(ROW()-1&lt;=$L$2,IFERROR(INDEX(MCQ!$A:$K,ROW()-1+1,5),""),IF(ROW()-1&lt;=$L$2+$M$2,IFERROR(INDEX(CLOZE_AB!$A:$K,ROW()-1-$L$2+1,5),""),IF(ROW()-1&lt;=$L$2+$M$2+$N$2,IFERROR(INDEX(CLOZE_LIST!$A:$K,ROW()-1-$L$2-$M$2+1,5),""),IF(ROW()-1&lt;=$L$2+$M$2+$N$2+$O$2,IFERROR(INDEX(PROFORMA!$A:$K,ROW()-1-$L$2-$M$2-$N$2+1,5),""),"")))))</f>
        <v>0</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f>IF(ROW()-1&lt;=0,"",IF(ROW()-1&lt;=$L$2,IFERROR(INDEX(MCQ!$A:$K,ROW()-1+1,5),""),IF(ROW()-1&lt;=$L$2+$M$2,IFERROR(INDEX(CLOZE_AB!$A:$K,ROW()-1-$L$2+1,5),""),IF(ROW()-1&lt;=$L$2+$M$2+$N$2,IFERROR(INDEX(CLOZE_LIST!$A:$K,ROW()-1-$L$2-$M$2+1,5),""),IF(ROW()-1&lt;=$L$2+$M$2+$N$2+$O$2,IFERROR(INDEX(PROFORMA!$A:$K,ROW()-1-$L$2-$M$2-$N$2+1,5),""),"")))))</f>
        <v>0</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f>IF(ROW()-1&lt;=0,"",IF(ROW()-1&lt;=$L$2,IFERROR(INDEX(MCQ!$A:$K,ROW()-1+1,5),""),IF(ROW()-1&lt;=$L$2+$M$2,IFERROR(INDEX(CLOZE_AB!$A:$K,ROW()-1-$L$2+1,5),""),IF(ROW()-1&lt;=$L$2+$M$2+$N$2,IFERROR(INDEX(CLOZE_LIST!$A:$K,ROW()-1-$L$2-$M$2+1,5),""),IF(ROW()-1&lt;=$L$2+$M$2+$N$2+$O$2,IFERROR(INDEX(PROFORMA!$A:$K,ROW()-1-$L$2-$M$2-$N$2+1,5),""),"")))))</f>
        <v>0</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f>IF(ROW()-1&lt;=0,"",IF(ROW()-1&lt;=$L$2,IFERROR(INDEX(MCQ!$A:$K,ROW()-1+1,5),""),IF(ROW()-1&lt;=$L$2+$M$2,IFERROR(INDEX(CLOZE_AB!$A:$K,ROW()-1-$L$2+1,5),""),IF(ROW()-1&lt;=$L$2+$M$2+$N$2,IFERROR(INDEX(CLOZE_LIST!$A:$K,ROW()-1-$L$2-$M$2+1,5),""),IF(ROW()-1&lt;=$L$2+$M$2+$N$2+$O$2,IFERROR(INDEX(PROFORMA!$A:$K,ROW()-1-$L$2-$M$2-$N$2+1,5),""),"")))))</f>
        <v>0</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f>IF(ROW()-1&lt;=0,"",IF(ROW()-1&lt;=$L$2,IFERROR(INDEX(MCQ!$A:$K,ROW()-1+1,5),""),IF(ROW()-1&lt;=$L$2+$M$2,IFERROR(INDEX(CLOZE_AB!$A:$K,ROW()-1-$L$2+1,5),""),IF(ROW()-1&lt;=$L$2+$M$2+$N$2,IFERROR(INDEX(CLOZE_LIST!$A:$K,ROW()-1-$L$2-$M$2+1,5),""),IF(ROW()-1&lt;=$L$2+$M$2+$N$2+$O$2,IFERROR(INDEX(PROFORMA!$A:$K,ROW()-1-$L$2-$M$2-$N$2+1,5),""),"")))))</f>
        <v>0</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f>IF(ROW()-1&lt;=0,"",IF(ROW()-1&lt;=$L$2,IFERROR(INDEX(MCQ!$A:$K,ROW()-1+1,5),""),IF(ROW()-1&lt;=$L$2+$M$2,IFERROR(INDEX(CLOZE_AB!$A:$K,ROW()-1-$L$2+1,5),""),IF(ROW()-1&lt;=$L$2+$M$2+$N$2,IFERROR(INDEX(CLOZE_LIST!$A:$K,ROW()-1-$L$2-$M$2+1,5),""),IF(ROW()-1&lt;=$L$2+$M$2+$N$2+$O$2,IFERROR(INDEX(PROFORMA!$A:$K,ROW()-1-$L$2-$M$2-$N$2+1,5),""),"")))))</f>
        <v>0</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f>IF(ROW()-1&lt;=0,"",IF(ROW()-1&lt;=$L$2,IFERROR(INDEX(MCQ!$A:$K,ROW()-1+1,5),""),IF(ROW()-1&lt;=$L$2+$M$2,IFERROR(INDEX(CLOZE_AB!$A:$K,ROW()-1-$L$2+1,5),""),IF(ROW()-1&lt;=$L$2+$M$2+$N$2,IFERROR(INDEX(CLOZE_LIST!$A:$K,ROW()-1-$L$2-$M$2+1,5),""),IF(ROW()-1&lt;=$L$2+$M$2+$N$2+$O$2,IFERROR(INDEX(PROFORMA!$A:$K,ROW()-1-$L$2-$M$2-$N$2+1,5),""),"")))))</f>
        <v>0</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f>IF(ROW()-1&lt;=0,"",IF(ROW()-1&lt;=$L$2,IFERROR(INDEX(MCQ!$A:$K,ROW()-1+1,5),""),IF(ROW()-1&lt;=$L$2+$M$2,IFERROR(INDEX(CLOZE_AB!$A:$K,ROW()-1-$L$2+1,5),""),IF(ROW()-1&lt;=$L$2+$M$2+$N$2,IFERROR(INDEX(CLOZE_LIST!$A:$K,ROW()-1-$L$2-$M$2+1,5),""),IF(ROW()-1&lt;=$L$2+$M$2+$N$2+$O$2,IFERROR(INDEX(PROFORMA!$A:$K,ROW()-1-$L$2-$M$2-$N$2+1,5),""),"")))))</f>
        <v>0</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f>IF(ROW()-1&lt;=0,"",IF(ROW()-1&lt;=$L$2,IFERROR(INDEX(MCQ!$A:$K,ROW()-1+1,5),""),IF(ROW()-1&lt;=$L$2+$M$2,IFERROR(INDEX(CLOZE_AB!$A:$K,ROW()-1-$L$2+1,5),""),IF(ROW()-1&lt;=$L$2+$M$2+$N$2,IFERROR(INDEX(CLOZE_LIST!$A:$K,ROW()-1-$L$2-$M$2+1,5),""),IF(ROW()-1&lt;=$L$2+$M$2+$N$2+$O$2,IFERROR(INDEX(PROFORMA!$A:$K,ROW()-1-$L$2-$M$2-$N$2+1,5),""),"")))))</f>
        <v>0</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f>IF(ROW()-1&lt;=0,"",IF(ROW()-1&lt;=$L$2,IFERROR(INDEX(MCQ!$A:$K,ROW()-1+1,5),""),IF(ROW()-1&lt;=$L$2+$M$2,IFERROR(INDEX(CLOZE_AB!$A:$K,ROW()-1-$L$2+1,5),""),IF(ROW()-1&lt;=$L$2+$M$2+$N$2,IFERROR(INDEX(CLOZE_LIST!$A:$K,ROW()-1-$L$2-$M$2+1,5),""),IF(ROW()-1&lt;=$L$2+$M$2+$N$2+$O$2,IFERROR(INDEX(PROFORMA!$A:$K,ROW()-1-$L$2-$M$2-$N$2+1,5),""),"")))))</f>
        <v>0</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f>IF(ROW()-1&lt;=0,"",IF(ROW()-1&lt;=$L$2,IFERROR(INDEX(MCQ!$A:$K,ROW()-1+1,5),""),IF(ROW()-1&lt;=$L$2+$M$2,IFERROR(INDEX(CLOZE_AB!$A:$K,ROW()-1-$L$2+1,5),""),IF(ROW()-1&lt;=$L$2+$M$2+$N$2,IFERROR(INDEX(CLOZE_LIST!$A:$K,ROW()-1-$L$2-$M$2+1,5),""),IF(ROW()-1&lt;=$L$2+$M$2+$N$2+$O$2,IFERROR(INDEX(PROFORMA!$A:$K,ROW()-1-$L$2-$M$2-$N$2+1,5),""),"")))))</f>
        <v>0</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f>IF(ROW()-1&lt;=0,"",IF(ROW()-1&lt;=$L$2,IFERROR(INDEX(MCQ!$A:$K,ROW()-1+1,5),""),IF(ROW()-1&lt;=$L$2+$M$2,IFERROR(INDEX(CLOZE_AB!$A:$K,ROW()-1-$L$2+1,5),""),IF(ROW()-1&lt;=$L$2+$M$2+$N$2,IFERROR(INDEX(CLOZE_LIST!$A:$K,ROW()-1-$L$2-$M$2+1,5),""),IF(ROW()-1&lt;=$L$2+$M$2+$N$2+$O$2,IFERROR(INDEX(PROFORMA!$A:$K,ROW()-1-$L$2-$M$2-$N$2+1,5),""),"")))))</f>
        <v>0</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f>IF(ROW()-1&lt;=0,"",IF(ROW()-1&lt;=$L$2,IFERROR(INDEX(MCQ!$A:$K,ROW()-1+1,5),""),IF(ROW()-1&lt;=$L$2+$M$2,IFERROR(INDEX(CLOZE_AB!$A:$K,ROW()-1-$L$2+1,5),""),IF(ROW()-1&lt;=$L$2+$M$2+$N$2,IFERROR(INDEX(CLOZE_LIST!$A:$K,ROW()-1-$L$2-$M$2+1,5),""),IF(ROW()-1&lt;=$L$2+$M$2+$N$2+$O$2,IFERROR(INDEX(PROFORMA!$A:$K,ROW()-1-$L$2-$M$2-$N$2+1,5),""),"")))))</f>
        <v>0</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f>IF(ROW()-1&lt;=0,"",IF(ROW()-1&lt;=$L$2,IFERROR(INDEX(MCQ!$A:$K,ROW()-1+1,5),""),IF(ROW()-1&lt;=$L$2+$M$2,IFERROR(INDEX(CLOZE_AB!$A:$K,ROW()-1-$L$2+1,5),""),IF(ROW()-1&lt;=$L$2+$M$2+$N$2,IFERROR(INDEX(CLOZE_LIST!$A:$K,ROW()-1-$L$2-$M$2+1,5),""),IF(ROW()-1&lt;=$L$2+$M$2+$N$2+$O$2,IFERROR(INDEX(PROFORMA!$A:$K,ROW()-1-$L$2-$M$2-$N$2+1,5),""),"")))))</f>
        <v>0</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f>IF(ROW()-1&lt;=0,"",IF(ROW()-1&lt;=$L$2,IFERROR(INDEX(MCQ!$A:$K,ROW()-1+1,5),""),IF(ROW()-1&lt;=$L$2+$M$2,IFERROR(INDEX(CLOZE_AB!$A:$K,ROW()-1-$L$2+1,5),""),IF(ROW()-1&lt;=$L$2+$M$2+$N$2,IFERROR(INDEX(CLOZE_LIST!$A:$K,ROW()-1-$L$2-$M$2+1,5),""),IF(ROW()-1&lt;=$L$2+$M$2+$N$2+$O$2,IFERROR(INDEX(PROFORMA!$A:$K,ROW()-1-$L$2-$M$2-$N$2+1,5),""),"")))))</f>
        <v>0</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f>IF(ROW()-1&lt;=0,"",IF(ROW()-1&lt;=$L$2,IFERROR(INDEX(MCQ!$A:$K,ROW()-1+1,5),""),IF(ROW()-1&lt;=$L$2+$M$2,IFERROR(INDEX(CLOZE_AB!$A:$K,ROW()-1-$L$2+1,5),""),IF(ROW()-1&lt;=$L$2+$M$2+$N$2,IFERROR(INDEX(CLOZE_LIST!$A:$K,ROW()-1-$L$2-$M$2+1,5),""),IF(ROW()-1&lt;=$L$2+$M$2+$N$2+$O$2,IFERROR(INDEX(PROFORMA!$A:$K,ROW()-1-$L$2-$M$2-$N$2+1,5),""),"")))))</f>
        <v>0</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f>IF(ROW()-1&lt;=0,"",IF(ROW()-1&lt;=$L$2,IFERROR(INDEX(MCQ!$A:$K,ROW()-1+1,5),""),IF(ROW()-1&lt;=$L$2+$M$2,IFERROR(INDEX(CLOZE_AB!$A:$K,ROW()-1-$L$2+1,5),""),IF(ROW()-1&lt;=$L$2+$M$2+$N$2,IFERROR(INDEX(CLOZE_LIST!$A:$K,ROW()-1-$L$2-$M$2+1,5),""),IF(ROW()-1&lt;=$L$2+$M$2+$N$2+$O$2,IFERROR(INDEX(PROFORMA!$A:$K,ROW()-1-$L$2-$M$2-$N$2+1,5),""),"")))))</f>
        <v>0</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f>IF(ROW()-1&lt;=0,"",IF(ROW()-1&lt;=$L$2,IFERROR(INDEX(MCQ!$A:$K,ROW()-1+1,5),""),IF(ROW()-1&lt;=$L$2+$M$2,IFERROR(INDEX(CLOZE_AB!$A:$K,ROW()-1-$L$2+1,5),""),IF(ROW()-1&lt;=$L$2+$M$2+$N$2,IFERROR(INDEX(CLOZE_LIST!$A:$K,ROW()-1-$L$2-$M$2+1,5),""),IF(ROW()-1&lt;=$L$2+$M$2+$N$2+$O$2,IFERROR(INDEX(PROFORMA!$A:$K,ROW()-1-$L$2-$M$2-$N$2+1,5),""),"")))))</f>
        <v>0</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f>IF(ROW()-1&lt;=0,"",IF(ROW()-1&lt;=$L$2,IFERROR(INDEX(MCQ!$A:$K,ROW()-1+1,5),""),IF(ROW()-1&lt;=$L$2+$M$2,IFERROR(INDEX(CLOZE_AB!$A:$K,ROW()-1-$L$2+1,5),""),IF(ROW()-1&lt;=$L$2+$M$2+$N$2,IFERROR(INDEX(CLOZE_LIST!$A:$K,ROW()-1-$L$2-$M$2+1,5),""),IF(ROW()-1&lt;=$L$2+$M$2+$N$2+$O$2,IFERROR(INDEX(PROFORMA!$A:$K,ROW()-1-$L$2-$M$2-$N$2+1,5),""),"")))))</f>
        <v>0</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f>IF(ROW()-1&lt;=0,"",IF(ROW()-1&lt;=$L$2,IFERROR(INDEX(MCQ!$A:$K,ROW()-1+1,5),""),IF(ROW()-1&lt;=$L$2+$M$2,IFERROR(INDEX(CLOZE_AB!$A:$K,ROW()-1-$L$2+1,5),""),IF(ROW()-1&lt;=$L$2+$M$2+$N$2,IFERROR(INDEX(CLOZE_LIST!$A:$K,ROW()-1-$L$2-$M$2+1,5),""),IF(ROW()-1&lt;=$L$2+$M$2+$N$2+$O$2,IFERROR(INDEX(PROFORMA!$A:$K,ROW()-1-$L$2-$M$2-$N$2+1,5),""),"")))))</f>
        <v>0</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f>IF(ROW()-1&lt;=0,"",IF(ROW()-1&lt;=$L$2,IFERROR(INDEX(MCQ!$A:$K,ROW()-1+1,5),""),IF(ROW()-1&lt;=$L$2+$M$2,IFERROR(INDEX(CLOZE_AB!$A:$K,ROW()-1-$L$2+1,5),""),IF(ROW()-1&lt;=$L$2+$M$2+$N$2,IFERROR(INDEX(CLOZE_LIST!$A:$K,ROW()-1-$L$2-$M$2+1,5),""),IF(ROW()-1&lt;=$L$2+$M$2+$N$2+$O$2,IFERROR(INDEX(PROFORMA!$A:$K,ROW()-1-$L$2-$M$2-$N$2+1,5),""),"")))))</f>
        <v>0</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f>IF(ROW()-1&lt;=0,"",IF(ROW()-1&lt;=$L$2,IFERROR(INDEX(MCQ!$A:$K,ROW()-1+1,5),""),IF(ROW()-1&lt;=$L$2+$M$2,IFERROR(INDEX(CLOZE_AB!$A:$K,ROW()-1-$L$2+1,5),""),IF(ROW()-1&lt;=$L$2+$M$2+$N$2,IFERROR(INDEX(CLOZE_LIST!$A:$K,ROW()-1-$L$2-$M$2+1,5),""),IF(ROW()-1&lt;=$L$2+$M$2+$N$2+$O$2,IFERROR(INDEX(PROFORMA!$A:$K,ROW()-1-$L$2-$M$2-$N$2+1,5),""),"")))))</f>
        <v>0</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f>IF(ROW()-1&lt;=0,"",IF(ROW()-1&lt;=$L$2,IFERROR(INDEX(MCQ!$A:$K,ROW()-1+1,5),""),IF(ROW()-1&lt;=$L$2+$M$2,IFERROR(INDEX(CLOZE_AB!$A:$K,ROW()-1-$L$2+1,5),""),IF(ROW()-1&lt;=$L$2+$M$2+$N$2,IFERROR(INDEX(CLOZE_LIST!$A:$K,ROW()-1-$L$2-$M$2+1,5),""),IF(ROW()-1&lt;=$L$2+$M$2+$N$2+$O$2,IFERROR(INDEX(PROFORMA!$A:$K,ROW()-1-$L$2-$M$2-$N$2+1,5),""),"")))))</f>
        <v>0</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f>IF(ROW()-1&lt;=0,"",IF(ROW()-1&lt;=$L$2,IFERROR(INDEX(MCQ!$A:$K,ROW()-1+1,5),""),IF(ROW()-1&lt;=$L$2+$M$2,IFERROR(INDEX(CLOZE_AB!$A:$K,ROW()-1-$L$2+1,5),""),IF(ROW()-1&lt;=$L$2+$M$2+$N$2,IFERROR(INDEX(CLOZE_LIST!$A:$K,ROW()-1-$L$2-$M$2+1,5),""),IF(ROW()-1&lt;=$L$2+$M$2+$N$2+$O$2,IFERROR(INDEX(PROFORMA!$A:$K,ROW()-1-$L$2-$M$2-$N$2+1,5),""),"")))))</f>
        <v>0</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f>IF(ROW()-1&lt;=0,"",IF(ROW()-1&lt;=$L$2,IFERROR(INDEX(MCQ!$A:$K,ROW()-1+1,5),""),IF(ROW()-1&lt;=$L$2+$M$2,IFERROR(INDEX(CLOZE_AB!$A:$K,ROW()-1-$L$2+1,5),""),IF(ROW()-1&lt;=$L$2+$M$2+$N$2,IFERROR(INDEX(CLOZE_LIST!$A:$K,ROW()-1-$L$2-$M$2+1,5),""),IF(ROW()-1&lt;=$L$2+$M$2+$N$2+$O$2,IFERROR(INDEX(PROFORMA!$A:$K,ROW()-1-$L$2-$M$2-$N$2+1,5),""),"")))))</f>
        <v>0</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f>IF(ROW()-1&lt;=0,"",IF(ROW()-1&lt;=$L$2,IFERROR(INDEX(MCQ!$A:$K,ROW()-1+1,5),""),IF(ROW()-1&lt;=$L$2+$M$2,IFERROR(INDEX(CLOZE_AB!$A:$K,ROW()-1-$L$2+1,5),""),IF(ROW()-1&lt;=$L$2+$M$2+$N$2,IFERROR(INDEX(CLOZE_LIST!$A:$K,ROW()-1-$L$2-$M$2+1,5),""),IF(ROW()-1&lt;=$L$2+$M$2+$N$2+$O$2,IFERROR(INDEX(PROFORMA!$A:$K,ROW()-1-$L$2-$M$2-$N$2+1,5),""),"")))))</f>
        <v>0</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f>IF(ROW()-1&lt;=0,"",IF(ROW()-1&lt;=$L$2,IFERROR(INDEX(MCQ!$A:$K,ROW()-1+1,5),""),IF(ROW()-1&lt;=$L$2+$M$2,IFERROR(INDEX(CLOZE_AB!$A:$K,ROW()-1-$L$2+1,5),""),IF(ROW()-1&lt;=$L$2+$M$2+$N$2,IFERROR(INDEX(CLOZE_LIST!$A:$K,ROW()-1-$L$2-$M$2+1,5),""),IF(ROW()-1&lt;=$L$2+$M$2+$N$2+$O$2,IFERROR(INDEX(PROFORMA!$A:$K,ROW()-1-$L$2-$M$2-$N$2+1,5),""),"")))))</f>
        <v>0</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f>IF(ROW()-1&lt;=0,"",IF(ROW()-1&lt;=$L$2,IFERROR(INDEX(MCQ!$A:$K,ROW()-1+1,5),""),IF(ROW()-1&lt;=$L$2+$M$2,IFERROR(INDEX(CLOZE_AB!$A:$K,ROW()-1-$L$2+1,5),""),IF(ROW()-1&lt;=$L$2+$M$2+$N$2,IFERROR(INDEX(CLOZE_LIST!$A:$K,ROW()-1-$L$2-$M$2+1,5),""),IF(ROW()-1&lt;=$L$2+$M$2+$N$2+$O$2,IFERROR(INDEX(PROFORMA!$A:$K,ROW()-1-$L$2-$M$2-$N$2+1,5),""),"")))))</f>
        <v>0</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f>IF(ROW()-1&lt;=0,"",IF(ROW()-1&lt;=$L$2,IFERROR(INDEX(MCQ!$A:$K,ROW()-1+1,5),""),IF(ROW()-1&lt;=$L$2+$M$2,IFERROR(INDEX(CLOZE_AB!$A:$K,ROW()-1-$L$2+1,5),""),IF(ROW()-1&lt;=$L$2+$M$2+$N$2,IFERROR(INDEX(CLOZE_LIST!$A:$K,ROW()-1-$L$2-$M$2+1,5),""),IF(ROW()-1&lt;=$L$2+$M$2+$N$2+$O$2,IFERROR(INDEX(PROFORMA!$A:$K,ROW()-1-$L$2-$M$2-$N$2+1,5),""),"")))))</f>
        <v>0</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f>IF(ROW()-1&lt;=0,"",IF(ROW()-1&lt;=$L$2,IFERROR(INDEX(MCQ!$A:$K,ROW()-1+1,5),""),IF(ROW()-1&lt;=$L$2+$M$2,IFERROR(INDEX(CLOZE_AB!$A:$K,ROW()-1-$L$2+1,5),""),IF(ROW()-1&lt;=$L$2+$M$2+$N$2,IFERROR(INDEX(CLOZE_LIST!$A:$K,ROW()-1-$L$2-$M$2+1,5),""),IF(ROW()-1&lt;=$L$2+$M$2+$N$2+$O$2,IFERROR(INDEX(PROFORMA!$A:$K,ROW()-1-$L$2-$M$2-$N$2+1,5),""),"")))))</f>
        <v>0</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f>IF(ROW()-1&lt;=0,"",IF(ROW()-1&lt;=$L$2,IFERROR(INDEX(MCQ!$A:$K,ROW()-1+1,5),""),IF(ROW()-1&lt;=$L$2+$M$2,IFERROR(INDEX(CLOZE_AB!$A:$K,ROW()-1-$L$2+1,5),""),IF(ROW()-1&lt;=$L$2+$M$2+$N$2,IFERROR(INDEX(CLOZE_LIST!$A:$K,ROW()-1-$L$2-$M$2+1,5),""),IF(ROW()-1&lt;=$L$2+$M$2+$N$2+$O$2,IFERROR(INDEX(PROFORMA!$A:$K,ROW()-1-$L$2-$M$2-$N$2+1,5),""),"")))))</f>
        <v>0</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f>IF(ROW()-1&lt;=0,"",IF(ROW()-1&lt;=$L$2,IFERROR(INDEX(MCQ!$A:$K,ROW()-1+1,5),""),IF(ROW()-1&lt;=$L$2+$M$2,IFERROR(INDEX(CLOZE_AB!$A:$K,ROW()-1-$L$2+1,5),""),IF(ROW()-1&lt;=$L$2+$M$2+$N$2,IFERROR(INDEX(CLOZE_LIST!$A:$K,ROW()-1-$L$2-$M$2+1,5),""),IF(ROW()-1&lt;=$L$2+$M$2+$N$2+$O$2,IFERROR(INDEX(PROFORMA!$A:$K,ROW()-1-$L$2-$M$2-$N$2+1,5),""),"")))))</f>
        <v>0</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f>IF(ROW()-1&lt;=0,"",IF(ROW()-1&lt;=$L$2,IFERROR(INDEX(MCQ!$A:$K,ROW()-1+1,5),""),IF(ROW()-1&lt;=$L$2+$M$2,IFERROR(INDEX(CLOZE_AB!$A:$K,ROW()-1-$L$2+1,5),""),IF(ROW()-1&lt;=$L$2+$M$2+$N$2,IFERROR(INDEX(CLOZE_LIST!$A:$K,ROW()-1-$L$2-$M$2+1,5),""),IF(ROW()-1&lt;=$L$2+$M$2+$N$2+$O$2,IFERROR(INDEX(PROFORMA!$A:$K,ROW()-1-$L$2-$M$2-$N$2+1,5),""),"")))))</f>
        <v>0</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f>IF(ROW()-1&lt;=0,"",IF(ROW()-1&lt;=$L$2,IFERROR(INDEX(MCQ!$A:$K,ROW()-1+1,5),""),IF(ROW()-1&lt;=$L$2+$M$2,IFERROR(INDEX(CLOZE_AB!$A:$K,ROW()-1-$L$2+1,5),""),IF(ROW()-1&lt;=$L$2+$M$2+$N$2,IFERROR(INDEX(CLOZE_LIST!$A:$K,ROW()-1-$L$2-$M$2+1,5),""),IF(ROW()-1&lt;=$L$2+$M$2+$N$2+$O$2,IFERROR(INDEX(PROFORMA!$A:$K,ROW()-1-$L$2-$M$2-$N$2+1,5),""),"")))))</f>
        <v>0</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f>IF(ROW()-1&lt;=0,"",IF(ROW()-1&lt;=$L$2,IFERROR(INDEX(MCQ!$A:$K,ROW()-1+1,5),""),IF(ROW()-1&lt;=$L$2+$M$2,IFERROR(INDEX(CLOZE_AB!$A:$K,ROW()-1-$L$2+1,5),""),IF(ROW()-1&lt;=$L$2+$M$2+$N$2,IFERROR(INDEX(CLOZE_LIST!$A:$K,ROW()-1-$L$2-$M$2+1,5),""),IF(ROW()-1&lt;=$L$2+$M$2+$N$2+$O$2,IFERROR(INDEX(PROFORMA!$A:$K,ROW()-1-$L$2-$M$2-$N$2+1,5),""),"")))))</f>
        <v>0</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f>IF(ROW()-1&lt;=0,"",IF(ROW()-1&lt;=$L$2,IFERROR(INDEX(MCQ!$A:$K,ROW()-1+1,5),""),IF(ROW()-1&lt;=$L$2+$M$2,IFERROR(INDEX(CLOZE_AB!$A:$K,ROW()-1-$L$2+1,5),""),IF(ROW()-1&lt;=$L$2+$M$2+$N$2,IFERROR(INDEX(CLOZE_LIST!$A:$K,ROW()-1-$L$2-$M$2+1,5),""),IF(ROW()-1&lt;=$L$2+$M$2+$N$2+$O$2,IFERROR(INDEX(PROFORMA!$A:$K,ROW()-1-$L$2-$M$2-$N$2+1,5),""),"")))))</f>
        <v>0</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f>IF(ROW()-1&lt;=0,"",IF(ROW()-1&lt;=$L$2,IFERROR(INDEX(MCQ!$A:$K,ROW()-1+1,5),""),IF(ROW()-1&lt;=$L$2+$M$2,IFERROR(INDEX(CLOZE_AB!$A:$K,ROW()-1-$L$2+1,5),""),IF(ROW()-1&lt;=$L$2+$M$2+$N$2,IFERROR(INDEX(CLOZE_LIST!$A:$K,ROW()-1-$L$2-$M$2+1,5),""),IF(ROW()-1&lt;=$L$2+$M$2+$N$2+$O$2,IFERROR(INDEX(PROFORMA!$A:$K,ROW()-1-$L$2-$M$2-$N$2+1,5),""),"")))))</f>
        <v>0</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f>IF(ROW()-1&lt;=0,"",IF(ROW()-1&lt;=$L$2,IFERROR(INDEX(MCQ!$A:$K,ROW()-1+1,5),""),IF(ROW()-1&lt;=$L$2+$M$2,IFERROR(INDEX(CLOZE_AB!$A:$K,ROW()-1-$L$2+1,5),""),IF(ROW()-1&lt;=$L$2+$M$2+$N$2,IFERROR(INDEX(CLOZE_LIST!$A:$K,ROW()-1-$L$2-$M$2+1,5),""),IF(ROW()-1&lt;=$L$2+$M$2+$N$2+$O$2,IFERROR(INDEX(PROFORMA!$A:$K,ROW()-1-$L$2-$M$2-$N$2+1,5),""),"")))))</f>
        <v>0</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f>IF(ROW()-1&lt;=0,"",IF(ROW()-1&lt;=$L$2,IFERROR(INDEX(MCQ!$A:$K,ROW()-1+1,5),""),IF(ROW()-1&lt;=$L$2+$M$2,IFERROR(INDEX(CLOZE_AB!$A:$K,ROW()-1-$L$2+1,5),""),IF(ROW()-1&lt;=$L$2+$M$2+$N$2,IFERROR(INDEX(CLOZE_LIST!$A:$K,ROW()-1-$L$2-$M$2+1,5),""),IF(ROW()-1&lt;=$L$2+$M$2+$N$2+$O$2,IFERROR(INDEX(PROFORMA!$A:$K,ROW()-1-$L$2-$M$2-$N$2+1,5),""),"")))))</f>
        <v>0</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f>IF(ROW()-1&lt;=0,"",IF(ROW()-1&lt;=$L$2,IFERROR(INDEX(MCQ!$A:$K,ROW()-1+1,5),""),IF(ROW()-1&lt;=$L$2+$M$2,IFERROR(INDEX(CLOZE_AB!$A:$K,ROW()-1-$L$2+1,5),""),IF(ROW()-1&lt;=$L$2+$M$2+$N$2,IFERROR(INDEX(CLOZE_LIST!$A:$K,ROW()-1-$L$2-$M$2+1,5),""),IF(ROW()-1&lt;=$L$2+$M$2+$N$2+$O$2,IFERROR(INDEX(PROFORMA!$A:$K,ROW()-1-$L$2-$M$2-$N$2+1,5),""),"")))))</f>
        <v>0</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f>IF(ROW()-1&lt;=0,"",IF(ROW()-1&lt;=$L$2,IFERROR(INDEX(MCQ!$A:$K,ROW()-1+1,5),""),IF(ROW()-1&lt;=$L$2+$M$2,IFERROR(INDEX(CLOZE_AB!$A:$K,ROW()-1-$L$2+1,5),""),IF(ROW()-1&lt;=$L$2+$M$2+$N$2,IFERROR(INDEX(CLOZE_LIST!$A:$K,ROW()-1-$L$2-$M$2+1,5),""),IF(ROW()-1&lt;=$L$2+$M$2+$N$2+$O$2,IFERROR(INDEX(PROFORMA!$A:$K,ROW()-1-$L$2-$M$2-$N$2+1,5),""),"")))))</f>
        <v>0</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f>IF(ROW()-1&lt;=0,"",IF(ROW()-1&lt;=$L$2,IFERROR(INDEX(MCQ!$A:$K,ROW()-1+1,5),""),IF(ROW()-1&lt;=$L$2+$M$2,IFERROR(INDEX(CLOZE_AB!$A:$K,ROW()-1-$L$2+1,5),""),IF(ROW()-1&lt;=$L$2+$M$2+$N$2,IFERROR(INDEX(CLOZE_LIST!$A:$K,ROW()-1-$L$2-$M$2+1,5),""),IF(ROW()-1&lt;=$L$2+$M$2+$N$2+$O$2,IFERROR(INDEX(PROFORMA!$A:$K,ROW()-1-$L$2-$M$2-$N$2+1,5),""),"")))))</f>
        <v>0</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f>IF(ROW()-1&lt;=0,"",IF(ROW()-1&lt;=$L$2,IFERROR(INDEX(MCQ!$A:$K,ROW()-1+1,5),""),IF(ROW()-1&lt;=$L$2+$M$2,IFERROR(INDEX(CLOZE_AB!$A:$K,ROW()-1-$L$2+1,5),""),IF(ROW()-1&lt;=$L$2+$M$2+$N$2,IFERROR(INDEX(CLOZE_LIST!$A:$K,ROW()-1-$L$2-$M$2+1,5),""),IF(ROW()-1&lt;=$L$2+$M$2+$N$2+$O$2,IFERROR(INDEX(PROFORMA!$A:$K,ROW()-1-$L$2-$M$2-$N$2+1,5),""),"")))))</f>
        <v>0</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f>IF(ROW()-1&lt;=0,"",IF(ROW()-1&lt;=$L$2,IFERROR(INDEX(MCQ!$A:$K,ROW()-1+1,5),""),IF(ROW()-1&lt;=$L$2+$M$2,IFERROR(INDEX(CLOZE_AB!$A:$K,ROW()-1-$L$2+1,5),""),IF(ROW()-1&lt;=$L$2+$M$2+$N$2,IFERROR(INDEX(CLOZE_LIST!$A:$K,ROW()-1-$L$2-$M$2+1,5),""),IF(ROW()-1&lt;=$L$2+$M$2+$N$2+$O$2,IFERROR(INDEX(PROFORMA!$A:$K,ROW()-1-$L$2-$M$2-$N$2+1,5),""),"")))))</f>
        <v>0</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f>IF(ROW()-1&lt;=0,"",IF(ROW()-1&lt;=$L$2,IFERROR(INDEX(MCQ!$A:$K,ROW()-1+1,5),""),IF(ROW()-1&lt;=$L$2+$M$2,IFERROR(INDEX(CLOZE_AB!$A:$K,ROW()-1-$L$2+1,5),""),IF(ROW()-1&lt;=$L$2+$M$2+$N$2,IFERROR(INDEX(CLOZE_LIST!$A:$K,ROW()-1-$L$2-$M$2+1,5),""),IF(ROW()-1&lt;=$L$2+$M$2+$N$2+$O$2,IFERROR(INDEX(PROFORMA!$A:$K,ROW()-1-$L$2-$M$2-$N$2+1,5),""),"")))))</f>
        <v>0</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f>IF(ROW()-1&lt;=0,"",IF(ROW()-1&lt;=$L$2,IFERROR(INDEX(MCQ!$A:$K,ROW()-1+1,5),""),IF(ROW()-1&lt;=$L$2+$M$2,IFERROR(INDEX(CLOZE_AB!$A:$K,ROW()-1-$L$2+1,5),""),IF(ROW()-1&lt;=$L$2+$M$2+$N$2,IFERROR(INDEX(CLOZE_LIST!$A:$K,ROW()-1-$L$2-$M$2+1,5),""),IF(ROW()-1&lt;=$L$2+$M$2+$N$2+$O$2,IFERROR(INDEX(PROFORMA!$A:$K,ROW()-1-$L$2-$M$2-$N$2+1,5),""),"")))))</f>
        <v>0</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f>IF(ROW()-1&lt;=0,"",IF(ROW()-1&lt;=$L$2,IFERROR(INDEX(MCQ!$A:$K,ROW()-1+1,5),""),IF(ROW()-1&lt;=$L$2+$M$2,IFERROR(INDEX(CLOZE_AB!$A:$K,ROW()-1-$L$2+1,5),""),IF(ROW()-1&lt;=$L$2+$M$2+$N$2,IFERROR(INDEX(CLOZE_LIST!$A:$K,ROW()-1-$L$2-$M$2+1,5),""),IF(ROW()-1&lt;=$L$2+$M$2+$N$2+$O$2,IFERROR(INDEX(PROFORMA!$A:$K,ROW()-1-$L$2-$M$2-$N$2+1,5),""),"")))))</f>
        <v>0</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f>IF(ROW()-1&lt;=0,"",IF(ROW()-1&lt;=$L$2,IFERROR(INDEX(MCQ!$A:$K,ROW()-1+1,5),""),IF(ROW()-1&lt;=$L$2+$M$2,IFERROR(INDEX(CLOZE_AB!$A:$K,ROW()-1-$L$2+1,5),""),IF(ROW()-1&lt;=$L$2+$M$2+$N$2,IFERROR(INDEX(CLOZE_LIST!$A:$K,ROW()-1-$L$2-$M$2+1,5),""),IF(ROW()-1&lt;=$L$2+$M$2+$N$2+$O$2,IFERROR(INDEX(PROFORMA!$A:$K,ROW()-1-$L$2-$M$2-$N$2+1,5),""),"")))))</f>
        <v>0</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f>IF(ROW()-1&lt;=0,"",IF(ROW()-1&lt;=$L$2,IFERROR(INDEX(MCQ!$A:$K,ROW()-1+1,5),""),IF(ROW()-1&lt;=$L$2+$M$2,IFERROR(INDEX(CLOZE_AB!$A:$K,ROW()-1-$L$2+1,5),""),IF(ROW()-1&lt;=$L$2+$M$2+$N$2,IFERROR(INDEX(CLOZE_LIST!$A:$K,ROW()-1-$L$2-$M$2+1,5),""),IF(ROW()-1&lt;=$L$2+$M$2+$N$2+$O$2,IFERROR(INDEX(PROFORMA!$A:$K,ROW()-1-$L$2-$M$2-$N$2+1,5),""),"")))))</f>
        <v>0</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f>IF(ROW()-1&lt;=0,"",IF(ROW()-1&lt;=$L$2,IFERROR(INDEX(MCQ!$A:$K,ROW()-1+1,5),""),IF(ROW()-1&lt;=$L$2+$M$2,IFERROR(INDEX(CLOZE_AB!$A:$K,ROW()-1-$L$2+1,5),""),IF(ROW()-1&lt;=$L$2+$M$2+$N$2,IFERROR(INDEX(CLOZE_LIST!$A:$K,ROW()-1-$L$2-$M$2+1,5),""),IF(ROW()-1&lt;=$L$2+$M$2+$N$2+$O$2,IFERROR(INDEX(PROFORMA!$A:$K,ROW()-1-$L$2-$M$2-$N$2+1,5),""),"")))))</f>
        <v>0</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f>IF(ROW()-1&lt;=0,"",IF(ROW()-1&lt;=$L$2,IFERROR(INDEX(MCQ!$A:$K,ROW()-1+1,5),""),IF(ROW()-1&lt;=$L$2+$M$2,IFERROR(INDEX(CLOZE_AB!$A:$K,ROW()-1-$L$2+1,5),""),IF(ROW()-1&lt;=$L$2+$M$2+$N$2,IFERROR(INDEX(CLOZE_LIST!$A:$K,ROW()-1-$L$2-$M$2+1,5),""),IF(ROW()-1&lt;=$L$2+$M$2+$N$2+$O$2,IFERROR(INDEX(PROFORMA!$A:$K,ROW()-1-$L$2-$M$2-$N$2+1,5),""),"")))))</f>
        <v>0</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f>IF(ROW()-1&lt;=0,"",IF(ROW()-1&lt;=$L$2,IFERROR(INDEX(MCQ!$A:$K,ROW()-1+1,5),""),IF(ROW()-1&lt;=$L$2+$M$2,IFERROR(INDEX(CLOZE_AB!$A:$K,ROW()-1-$L$2+1,5),""),IF(ROW()-1&lt;=$L$2+$M$2+$N$2,IFERROR(INDEX(CLOZE_LIST!$A:$K,ROW()-1-$L$2-$M$2+1,5),""),IF(ROW()-1&lt;=$L$2+$M$2+$N$2+$O$2,IFERROR(INDEX(PROFORMA!$A:$K,ROW()-1-$L$2-$M$2-$N$2+1,5),""),"")))))</f>
        <v>0</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f>IF(ROW()-1&lt;=0,"",IF(ROW()-1&lt;=$L$2,IFERROR(INDEX(MCQ!$A:$K,ROW()-1+1,5),""),IF(ROW()-1&lt;=$L$2+$M$2,IFERROR(INDEX(CLOZE_AB!$A:$K,ROW()-1-$L$2+1,5),""),IF(ROW()-1&lt;=$L$2+$M$2+$N$2,IFERROR(INDEX(CLOZE_LIST!$A:$K,ROW()-1-$L$2-$M$2+1,5),""),IF(ROW()-1&lt;=$L$2+$M$2+$N$2+$O$2,IFERROR(INDEX(PROFORMA!$A:$K,ROW()-1-$L$2-$M$2-$N$2+1,5),""),"")))))</f>
        <v>0</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f>IF(ROW()-1&lt;=0,"",IF(ROW()-1&lt;=$L$2,IFERROR(INDEX(MCQ!$A:$K,ROW()-1+1,5),""),IF(ROW()-1&lt;=$L$2+$M$2,IFERROR(INDEX(CLOZE_AB!$A:$K,ROW()-1-$L$2+1,5),""),IF(ROW()-1&lt;=$L$2+$M$2+$N$2,IFERROR(INDEX(CLOZE_LIST!$A:$K,ROW()-1-$L$2-$M$2+1,5),""),IF(ROW()-1&lt;=$L$2+$M$2+$N$2+$O$2,IFERROR(INDEX(PROFORMA!$A:$K,ROW()-1-$L$2-$M$2-$N$2+1,5),""),"")))))</f>
        <v>0</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f>IF(ROW()-1&lt;=0,"",IF(ROW()-1&lt;=$L$2,IFERROR(INDEX(MCQ!$A:$K,ROW()-1+1,5),""),IF(ROW()-1&lt;=$L$2+$M$2,IFERROR(INDEX(CLOZE_AB!$A:$K,ROW()-1-$L$2+1,5),""),IF(ROW()-1&lt;=$L$2+$M$2+$N$2,IFERROR(INDEX(CLOZE_LIST!$A:$K,ROW()-1-$L$2-$M$2+1,5),""),IF(ROW()-1&lt;=$L$2+$M$2+$N$2+$O$2,IFERROR(INDEX(PROFORMA!$A:$K,ROW()-1-$L$2-$M$2-$N$2+1,5),""),"")))))</f>
        <v>0</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f>IF(ROW()-1&lt;=0,"",IF(ROW()-1&lt;=$L$2,IFERROR(INDEX(MCQ!$A:$K,ROW()-1+1,5),""),IF(ROW()-1&lt;=$L$2+$M$2,IFERROR(INDEX(CLOZE_AB!$A:$K,ROW()-1-$L$2+1,5),""),IF(ROW()-1&lt;=$L$2+$M$2+$N$2,IFERROR(INDEX(CLOZE_LIST!$A:$K,ROW()-1-$L$2-$M$2+1,5),""),IF(ROW()-1&lt;=$L$2+$M$2+$N$2+$O$2,IFERROR(INDEX(PROFORMA!$A:$K,ROW()-1-$L$2-$M$2-$N$2+1,5),""),"")))))</f>
        <v>0</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f>IF(ROW()-1&lt;=0,"",IF(ROW()-1&lt;=$L$2,IFERROR(INDEX(MCQ!$A:$K,ROW()-1+1,5),""),IF(ROW()-1&lt;=$L$2+$M$2,IFERROR(INDEX(CLOZE_AB!$A:$K,ROW()-1-$L$2+1,5),""),IF(ROW()-1&lt;=$L$2+$M$2+$N$2,IFERROR(INDEX(CLOZE_LIST!$A:$K,ROW()-1-$L$2-$M$2+1,5),""),IF(ROW()-1&lt;=$L$2+$M$2+$N$2+$O$2,IFERROR(INDEX(PROFORMA!$A:$K,ROW()-1-$L$2-$M$2-$N$2+1,5),""),"")))))</f>
        <v>0</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f>IF(ROW()-1&lt;=0,"",IF(ROW()-1&lt;=$L$2,IFERROR(INDEX(MCQ!$A:$K,ROW()-1+1,5),""),IF(ROW()-1&lt;=$L$2+$M$2,IFERROR(INDEX(CLOZE_AB!$A:$K,ROW()-1-$L$2+1,5),""),IF(ROW()-1&lt;=$L$2+$M$2+$N$2,IFERROR(INDEX(CLOZE_LIST!$A:$K,ROW()-1-$L$2-$M$2+1,5),""),IF(ROW()-1&lt;=$L$2+$M$2+$N$2+$O$2,IFERROR(INDEX(PROFORMA!$A:$K,ROW()-1-$L$2-$M$2-$N$2+1,5),""),"")))))</f>
        <v>0</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f>IF(ROW()-1&lt;=0,"",IF(ROW()-1&lt;=$L$2,IFERROR(INDEX(MCQ!$A:$K,ROW()-1+1,5),""),IF(ROW()-1&lt;=$L$2+$M$2,IFERROR(INDEX(CLOZE_AB!$A:$K,ROW()-1-$L$2+1,5),""),IF(ROW()-1&lt;=$L$2+$M$2+$N$2,IFERROR(INDEX(CLOZE_LIST!$A:$K,ROW()-1-$L$2-$M$2+1,5),""),IF(ROW()-1&lt;=$L$2+$M$2+$N$2+$O$2,IFERROR(INDEX(PROFORMA!$A:$K,ROW()-1-$L$2-$M$2-$N$2+1,5),""),"")))))</f>
        <v>0</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f>IF(ROW()-1&lt;=0,"",IF(ROW()-1&lt;=$L$2,IFERROR(INDEX(MCQ!$A:$K,ROW()-1+1,5),""),IF(ROW()-1&lt;=$L$2+$M$2,IFERROR(INDEX(CLOZE_AB!$A:$K,ROW()-1-$L$2+1,5),""),IF(ROW()-1&lt;=$L$2+$M$2+$N$2,IFERROR(INDEX(CLOZE_LIST!$A:$K,ROW()-1-$L$2-$M$2+1,5),""),IF(ROW()-1&lt;=$L$2+$M$2+$N$2+$O$2,IFERROR(INDEX(PROFORMA!$A:$K,ROW()-1-$L$2-$M$2-$N$2+1,5),""),"")))))</f>
        <v>0</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f>IF(ROW()-1&lt;=0,"",IF(ROW()-1&lt;=$L$2,IFERROR(INDEX(MCQ!$A:$K,ROW()-1+1,5),""),IF(ROW()-1&lt;=$L$2+$M$2,IFERROR(INDEX(CLOZE_AB!$A:$K,ROW()-1-$L$2+1,5),""),IF(ROW()-1&lt;=$L$2+$M$2+$N$2,IFERROR(INDEX(CLOZE_LIST!$A:$K,ROW()-1-$L$2-$M$2+1,5),""),IF(ROW()-1&lt;=$L$2+$M$2+$N$2+$O$2,IFERROR(INDEX(PROFORMA!$A:$K,ROW()-1-$L$2-$M$2-$N$2+1,5),""),"")))))</f>
        <v>0</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f>IF(ROW()-1&lt;=0,"",IF(ROW()-1&lt;=$L$2,IFERROR(INDEX(MCQ!$A:$K,ROW()-1+1,5),""),IF(ROW()-1&lt;=$L$2+$M$2,IFERROR(INDEX(CLOZE_AB!$A:$K,ROW()-1-$L$2+1,5),""),IF(ROW()-1&lt;=$L$2+$M$2+$N$2,IFERROR(INDEX(CLOZE_LIST!$A:$K,ROW()-1-$L$2-$M$2+1,5),""),IF(ROW()-1&lt;=$L$2+$M$2+$N$2+$O$2,IFERROR(INDEX(PROFORMA!$A:$K,ROW()-1-$L$2-$M$2-$N$2+1,5),""),"")))))</f>
        <v>0</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ht="28.8"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f>IF(ROW()-1&lt;=0,"",IF(ROW()-1&lt;=$L$2,IFERROR(INDEX(MCQ!$A:$K,ROW()-1+1,5),""),IF(ROW()-1&lt;=$L$2+$M$2,IFERROR(INDEX(CLOZE_AB!$A:$K,ROW()-1-$L$2+1,5),""),IF(ROW()-1&lt;=$L$2+$M$2+$N$2,IFERROR(INDEX(CLOZE_LIST!$A:$K,ROW()-1-$L$2-$M$2+1,5),""),IF(ROW()-1&lt;=$L$2+$M$2+$N$2+$O$2,IFERROR(INDEX(PROFORMA!$A:$K,ROW()-1-$L$2-$M$2-$N$2+1,5),""),"")))))</f>
        <v>0</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AB_ITNIC_REQ_INVSCHEME_001</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Tax efficient investments</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eis|seis|vct</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143</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AB_ITNIC_REQ_INVSCHEME_002</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Tax efficient investments</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eis|conditions</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143</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AB_ITNIC_REQ_INVSCHEME_003</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Tax efficient investments</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eis|withdrawal</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143</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AB_ITNIC_REQ_INVSCHEME_004</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Tax efficient investments</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eis|cgt</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143</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AB_ITNIC_REQ_INVSCHEME_005</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Tax efficient investments</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seis|limits</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143</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AB_ITNIC_REQ_INVSCHEME_006</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Tax efficient investments</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seis|criteria</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143</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AB_ITNIC_REQ_INVSCHEME_007</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Tax efficient investments</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vct|relief</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143</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AB_ITNIC_REQ_INVSCHEME_008</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Tax efficient investments</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vct|cgt</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143</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AB_ITNIC_REQ_INVSCHEME_009</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Tax efficient investments</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ordering|reducers</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143</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AB_ITNIC_REQ_INVSCHEME_010</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Tax efficient investments</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timing|reinvestment</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143</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AB_ITNIC_REQ_INVSCHEME_011</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Tax efficient investments</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timing|seis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143</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AB_ITNIC_REQ_INVSCHEME_012</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Tax efficient investments</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eis|claims</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143</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AB_ITNIC_REQ_EMPSHARESCHEME_001</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saye|limits</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143</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AB_ITNIC_REQ_EMPSHARESCHEME_002</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saye|term</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143</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AB_ITNIC_REQ_EMPSHARESCHEME_003</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saye|tax</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143</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AB_ITNIC_REQ_EMPSHARESCHEME_004</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saye|completion</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143</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AB_ITNIC_REQ_EMPSHARESCHEME_005</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saye|disposal</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143</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AB_ITNIC_REQ_EMPSHARESCHEME_006</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csop|shares</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143</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AB_ITNIC_REQ_EMPSHARESCHEME_007</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csop|eligibility</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143</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AB_ITNIC_REQ_EMPSHARESCHEME_008</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csop|population</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143</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AB_ITNIC_REQ_EMPSHARESCHEME_009</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csop|window</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143</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AB_ITNIC_REQ_EMPSHARESCHEME_010</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csop|cap</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143</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AB_ITNIC_REQ_EMPSHARESCHEME_011</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csop|disposal</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143</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AB_ITNIC_REQ_EMPSHARESCHEME_012</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emi|purpose</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143</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AB_ITNIC_REQ_EMPSHARESCHEME_013</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emi|company</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143</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AB_ITNIC_REQ_EMPSHARESCHEME_014</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requirements</v>
      </c>
      <c r="D170" s="3" t="str">
        <f>IF(ROW()-1&lt;=0,"",IF(ROW()-1&lt;=$L$2,IFERROR(INDEX(MCQ!$A:$K,ROW()-1+1,4),""),IF(ROW()-1&lt;=$L$2+$M$2,IFERROR(INDEX(CLOZE_AB!$A:$K,ROW()-1-$L$2+1,4),""),IF(ROW()-1&lt;=$L$2+$M$2+$N$2,IFERROR(INDEX(CLOZE_LIST!$A:$K,ROW()-1-$L$2-$M$2+1,4),""),IF(ROW()-1&lt;=$L$2+$M$2+$N$2+$O$2,IFERROR(INDEX(PROFORMA!$A:$K,ROW()-1-$L$2-$M$2-$N$2+1,4),""),"")))))</f>
        <v>Employee share schemes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f>IF(ROW()-1&lt;=0,"",IF(ROW()-1&lt;=$L$2,IFERROR(INDEX(MCQ!$A:$K,ROW()-1+1,7),""),IF(ROW()-1&lt;=$L$2+$M$2,IFERROR(INDEX(CLOZE_AB!$A:$K,ROW()-1-$L$2+1,7),""),IF(ROW()-1&lt;=$L$2+$M$2+$N$2,IFERROR(INDEX(CLOZE_LIST!$A:$K,ROW()-1-$L$2-$M$2+1,7),""),IF(ROW()-1&lt;=$L$2+$M$2+$N$2+$O$2,IFERROR(INDEX(PROFORMA!$A:$K,ROW()-1-$L$2-$M$2-$N$2+1,7),""),"")))))</f>
        <v>0</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emi|company2</v>
      </c>
      <c r="J170" s="3" t="str">
        <f>IF(ROW()-1&lt;=0,"",IF(ROW()-1&lt;=$L$2,IFERROR(INDEX(MCQ!$A:$K,ROW()-1+1,10),""),IF(ROW()-1&lt;=$L$2+$M$2,IFERROR(INDEX(CLOZE_AB!$A:$K,ROW()-1-$L$2+1,10),""),IF(ROW()-1&lt;=$L$2+$M$2+$N$2,IFERROR(INDEX(CLOZE_LIST!$A:$K,ROW()-1-$L$2-$M$2+1,10),""),IF(ROW()-1&lt;=$L$2+$M$2+$N$2+$O$2,IFERROR(INDEX(PROFORMA!$A:$K,ROW()-1-$L$2-$M$2-$N$2+1,10),""),"")))))</f>
        <v>user_notes</v>
      </c>
      <c r="K170" s="3">
        <f>IF(ROW()-1&lt;=0,"",IF(ROW()-1&lt;=$L$2,IFERROR(INDEX(MCQ!$A:$K,ROW()-1+1,11),""),IF(ROW()-1&lt;=$L$2+$M$2,IFERROR(INDEX(CLOZE_AB!$A:$K,ROW()-1-$L$2+1,11),""),IF(ROW()-1&lt;=$L$2+$M$2+$N$2,IFERROR(INDEX(CLOZE_LIST!$A:$K,ROW()-1-$L$2-$M$2+1,11),""),IF(ROW()-1&lt;=$L$2+$M$2+$N$2+$O$2,IFERROR(INDEX(PROFORMA!$A:$K,ROW()-1-$L$2-$M$2-$N$2+1,11),""),"")))))</f>
        <v>1</v>
      </c>
      <c r="L170" s="3">
        <f>COUNTA(MCQ!$A:$A)-1</f>
        <v>143</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AB_ITNIC_REQ_EMPSHARESCHEME_015</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requirements</v>
      </c>
      <c r="D171" s="3" t="str">
        <f>IF(ROW()-1&lt;=0,"",IF(ROW()-1&lt;=$L$2,IFERROR(INDEX(MCQ!$A:$K,ROW()-1+1,4),""),IF(ROW()-1&lt;=$L$2+$M$2,IFERROR(INDEX(CLOZE_AB!$A:$K,ROW()-1-$L$2+1,4),""),IF(ROW()-1&lt;=$L$2+$M$2+$N$2,IFERROR(INDEX(CLOZE_LIST!$A:$K,ROW()-1-$L$2-$M$2+1,4),""),IF(ROW()-1&lt;=$L$2+$M$2+$N$2+$O$2,IFERROR(INDEX(PROFORMA!$A:$K,ROW()-1-$L$2-$M$2-$N$2+1,4),""),"")))))</f>
        <v>Employee share schemes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f>IF(ROW()-1&lt;=0,"",IF(ROW()-1&lt;=$L$2,IFERROR(INDEX(MCQ!$A:$K,ROW()-1+1,7),""),IF(ROW()-1&lt;=$L$2+$M$2,IFERROR(INDEX(CLOZE_AB!$A:$K,ROW()-1-$L$2+1,7),""),IF(ROW()-1&lt;=$L$2+$M$2+$N$2,IFERROR(INDEX(CLOZE_LIST!$A:$K,ROW()-1-$L$2-$M$2+1,7),""),IF(ROW()-1&lt;=$L$2+$M$2+$N$2+$O$2,IFERROR(INDEX(PROFORMA!$A:$K,ROW()-1-$L$2-$M$2-$N$2+1,7),""),"")))))</f>
        <v>0</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emi|employee</v>
      </c>
      <c r="J171" s="3" t="str">
        <f>IF(ROW()-1&lt;=0,"",IF(ROW()-1&lt;=$L$2,IFERROR(INDEX(MCQ!$A:$K,ROW()-1+1,10),""),IF(ROW()-1&lt;=$L$2+$M$2,IFERROR(INDEX(CLOZE_AB!$A:$K,ROW()-1-$L$2+1,10),""),IF(ROW()-1&lt;=$L$2+$M$2+$N$2,IFERROR(INDEX(CLOZE_LIST!$A:$K,ROW()-1-$L$2-$M$2+1,10),""),IF(ROW()-1&lt;=$L$2+$M$2+$N$2+$O$2,IFERROR(INDEX(PROFORMA!$A:$K,ROW()-1-$L$2-$M$2-$N$2+1,10),""),"")))))</f>
        <v>user_notes</v>
      </c>
      <c r="K171" s="3">
        <f>IF(ROW()-1&lt;=0,"",IF(ROW()-1&lt;=$L$2,IFERROR(INDEX(MCQ!$A:$K,ROW()-1+1,11),""),IF(ROW()-1&lt;=$L$2+$M$2,IFERROR(INDEX(CLOZE_AB!$A:$K,ROW()-1-$L$2+1,11),""),IF(ROW()-1&lt;=$L$2+$M$2+$N$2,IFERROR(INDEX(CLOZE_LIST!$A:$K,ROW()-1-$L$2-$M$2+1,11),""),IF(ROW()-1&lt;=$L$2+$M$2+$N$2+$O$2,IFERROR(INDEX(PROFORMA!$A:$K,ROW()-1-$L$2-$M$2-$N$2+1,11),""),"")))))</f>
        <v>1</v>
      </c>
      <c r="L171" s="3">
        <f>COUNTA(MCQ!$A:$A)-1</f>
        <v>143</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AB_ITNIC_REQ_EMPSHARESCHEME_016</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requirements</v>
      </c>
      <c r="D172" s="3" t="str">
        <f>IF(ROW()-1&lt;=0,"",IF(ROW()-1&lt;=$L$2,IFERROR(INDEX(MCQ!$A:$K,ROW()-1+1,4),""),IF(ROW()-1&lt;=$L$2+$M$2,IFERROR(INDEX(CLOZE_AB!$A:$K,ROW()-1-$L$2+1,4),""),IF(ROW()-1&lt;=$L$2+$M$2+$N$2,IFERROR(INDEX(CLOZE_LIST!$A:$K,ROW()-1-$L$2-$M$2+1,4),""),IF(ROW()-1&lt;=$L$2+$M$2+$N$2+$O$2,IFERROR(INDEX(PROFORMA!$A:$K,ROW()-1-$L$2-$M$2-$N$2+1,4),""),"")))))</f>
        <v>Employee share schemes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f>IF(ROW()-1&lt;=0,"",IF(ROW()-1&lt;=$L$2,IFERROR(INDEX(MCQ!$A:$K,ROW()-1+1,7),""),IF(ROW()-1&lt;=$L$2+$M$2,IFERROR(INDEX(CLOZE_AB!$A:$K,ROW()-1-$L$2+1,7),""),IF(ROW()-1&lt;=$L$2+$M$2+$N$2,IFERROR(INDEX(CLOZE_LIST!$A:$K,ROW()-1-$L$2-$M$2+1,7),""),IF(ROW()-1&lt;=$L$2+$M$2+$N$2+$O$2,IFERROR(INDEX(PROFORMA!$A:$K,ROW()-1-$L$2-$M$2-$N$2+1,7),""),"")))))</f>
        <v>0</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emi|ownership</v>
      </c>
      <c r="J172" s="3" t="str">
        <f>IF(ROW()-1&lt;=0,"",IF(ROW()-1&lt;=$L$2,IFERROR(INDEX(MCQ!$A:$K,ROW()-1+1,10),""),IF(ROW()-1&lt;=$L$2+$M$2,IFERROR(INDEX(CLOZE_AB!$A:$K,ROW()-1-$L$2+1,10),""),IF(ROW()-1&lt;=$L$2+$M$2+$N$2,IFERROR(INDEX(CLOZE_LIST!$A:$K,ROW()-1-$L$2-$M$2+1,10),""),IF(ROW()-1&lt;=$L$2+$M$2+$N$2+$O$2,IFERROR(INDEX(PROFORMA!$A:$K,ROW()-1-$L$2-$M$2-$N$2+1,10),""),"")))))</f>
        <v>user_notes</v>
      </c>
      <c r="K172" s="3">
        <f>IF(ROW()-1&lt;=0,"",IF(ROW()-1&lt;=$L$2,IFERROR(INDEX(MCQ!$A:$K,ROW()-1+1,11),""),IF(ROW()-1&lt;=$L$2+$M$2,IFERROR(INDEX(CLOZE_AB!$A:$K,ROW()-1-$L$2+1,11),""),IF(ROW()-1&lt;=$L$2+$M$2+$N$2,IFERROR(INDEX(CLOZE_LIST!$A:$K,ROW()-1-$L$2-$M$2+1,11),""),IF(ROW()-1&lt;=$L$2+$M$2+$N$2+$O$2,IFERROR(INDEX(PROFORMA!$A:$K,ROW()-1-$L$2-$M$2-$N$2+1,11),""),"")))))</f>
        <v>1</v>
      </c>
      <c r="L172" s="3">
        <f>COUNTA(MCQ!$A:$A)-1</f>
        <v>143</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AB_ITNIC_REQ_EMPSHARESCHEME_017</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requirements</v>
      </c>
      <c r="D173" s="3" t="str">
        <f>IF(ROW()-1&lt;=0,"",IF(ROW()-1&lt;=$L$2,IFERROR(INDEX(MCQ!$A:$K,ROW()-1+1,4),""),IF(ROW()-1&lt;=$L$2+$M$2,IFERROR(INDEX(CLOZE_AB!$A:$K,ROW()-1-$L$2+1,4),""),IF(ROW()-1&lt;=$L$2+$M$2+$N$2,IFERROR(INDEX(CLOZE_LIST!$A:$K,ROW()-1-$L$2-$M$2+1,4),""),IF(ROW()-1&lt;=$L$2+$M$2+$N$2+$O$2,IFERROR(INDEX(PROFORMA!$A:$K,ROW()-1-$L$2-$M$2-$N$2+1,4),""),"")))))</f>
        <v>Employee share schemes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f>IF(ROW()-1&lt;=0,"",IF(ROW()-1&lt;=$L$2,IFERROR(INDEX(MCQ!$A:$K,ROW()-1+1,7),""),IF(ROW()-1&lt;=$L$2+$M$2,IFERROR(INDEX(CLOZE_AB!$A:$K,ROW()-1-$L$2+1,7),""),IF(ROW()-1&lt;=$L$2+$M$2+$N$2,IFERROR(INDEX(CLOZE_LIST!$A:$K,ROW()-1-$L$2-$M$2+1,7),""),IF(ROW()-1&lt;=$L$2+$M$2+$N$2+$O$2,IFERROR(INDEX(PROFORMA!$A:$K,ROW()-1-$L$2-$M$2-$N$2+1,7),""),"")))))</f>
        <v>0</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emi|sharetype</v>
      </c>
      <c r="J173" s="3" t="str">
        <f>IF(ROW()-1&lt;=0,"",IF(ROW()-1&lt;=$L$2,IFERROR(INDEX(MCQ!$A:$K,ROW()-1+1,10),""),IF(ROW()-1&lt;=$L$2+$M$2,IFERROR(INDEX(CLOZE_AB!$A:$K,ROW()-1-$L$2+1,10),""),IF(ROW()-1&lt;=$L$2+$M$2+$N$2,IFERROR(INDEX(CLOZE_LIST!$A:$K,ROW()-1-$L$2-$M$2+1,10),""),IF(ROW()-1&lt;=$L$2+$M$2+$N$2+$O$2,IFERROR(INDEX(PROFORMA!$A:$K,ROW()-1-$L$2-$M$2-$N$2+1,10),""),"")))))</f>
        <v>user_notes</v>
      </c>
      <c r="K173" s="3">
        <f>IF(ROW()-1&lt;=0,"",IF(ROW()-1&lt;=$L$2,IFERROR(INDEX(MCQ!$A:$K,ROW()-1+1,11),""),IF(ROW()-1&lt;=$L$2+$M$2,IFERROR(INDEX(CLOZE_AB!$A:$K,ROW()-1-$L$2+1,11),""),IF(ROW()-1&lt;=$L$2+$M$2+$N$2,IFERROR(INDEX(CLOZE_LIST!$A:$K,ROW()-1-$L$2-$M$2+1,11),""),IF(ROW()-1&lt;=$L$2+$M$2+$N$2+$O$2,IFERROR(INDEX(PROFORMA!$A:$K,ROW()-1-$L$2-$M$2-$N$2+1,11),""),"")))))</f>
        <v>1</v>
      </c>
      <c r="L173" s="3">
        <f>COUNTA(MCQ!$A:$A)-1</f>
        <v>143</v>
      </c>
      <c r="M173" s="3">
        <f>COUNTA(CLOZE_AB!$A:$A)-1</f>
        <v>168</v>
      </c>
      <c r="N173" s="3">
        <f>COUNTA(CLOZE_LIST!$A:$A)-1</f>
        <v>199</v>
      </c>
      <c r="O173" s="3">
        <f>COUNTA(PROFORMA!$A:$A)-1</f>
        <v>199</v>
      </c>
    </row>
    <row r="174" spans="1:15" ht="28.8" x14ac:dyDescent="0.3">
      <c r="A174" s="3" t="str">
        <f>IF(ROW()-1&lt;=0,"",IF(ROW()-1&lt;=$L$2,IFERROR(INDEX(MCQ!$A:$K,ROW()-1+1,1),""),IF(ROW()-1&lt;=$L$2+$M$2,IFERROR(INDEX(CLOZE_AB!$A:$K,ROW()-1-$L$2+1,1),""),IF(ROW()-1&lt;=$L$2+$M$2+$N$2,IFERROR(INDEX(CLOZE_LIST!$A:$K,ROW()-1-$L$2-$M$2+1,1),""),IF(ROW()-1&lt;=$L$2+$M$2+$N$2+$O$2,IFERROR(INDEX(PROFORMA!$A:$K,ROW()-1-$L$2-$M$2-$N$2+1,1),""),"")))))</f>
        <v>AB_ITNIC_REQ_EMPSHARESCHEME_018</v>
      </c>
      <c r="B174" s="3" t="str">
        <f>IF(ROW()-1&lt;=0,"",IF(ROW()-1&lt;=$L$2,IFERROR(INDEX(MCQ!$A:$K,ROW()-1+1,2),""),IF(ROW()-1&lt;=$L$2+$M$2,IFERROR(INDEX(CLOZE_AB!$A:$K,ROW()-1-$L$2+1,2),""),IF(ROW()-1&lt;=$L$2+$M$2+$N$2,IFERROR(INDEX(CLOZE_LIST!$A:$K,ROW()-1-$L$2-$M$2+1,2),""),IF(ROW()-1&lt;=$L$2+$M$2+$N$2+$O$2,IFERROR(INDEX(PROFORMA!$A:$K,ROW()-1-$L$2-$M$2-$N$2+1,2),""),"")))))</f>
        <v>Income tax &amp; NIC</v>
      </c>
      <c r="C174" s="3" t="str">
        <f>IF(ROW()-1&lt;=0,"",IF(ROW()-1&lt;=$L$2,IFERROR(INDEX(MCQ!$A:$K,ROW()-1+1,3),""),IF(ROW()-1&lt;=$L$2+$M$2,IFERROR(INDEX(CLOZE_AB!$A:$K,ROW()-1-$L$2+1,3),""),IF(ROW()-1&lt;=$L$2+$M$2+$N$2,IFERROR(INDEX(CLOZE_LIST!$A:$K,ROW()-1-$L$2-$M$2+1,3),""),IF(ROW()-1&lt;=$L$2+$M$2+$N$2+$O$2,IFERROR(INDEX(PROFORMA!$A:$K,ROW()-1-$L$2-$M$2-$N$2+1,3),""),"")))))</f>
        <v>requirements</v>
      </c>
      <c r="D174" s="3" t="str">
        <f>IF(ROW()-1&lt;=0,"",IF(ROW()-1&lt;=$L$2,IFERROR(INDEX(MCQ!$A:$K,ROW()-1+1,4),""),IF(ROW()-1&lt;=$L$2+$M$2,IFERROR(INDEX(CLOZE_AB!$A:$K,ROW()-1-$L$2+1,4),""),IF(ROW()-1&lt;=$L$2+$M$2+$N$2,IFERROR(INDEX(CLOZE_LIST!$A:$K,ROW()-1-$L$2-$M$2+1,4),""),IF(ROW()-1&lt;=$L$2+$M$2+$N$2+$O$2,IFERROR(INDEX(PROFORMA!$A:$K,ROW()-1-$L$2-$M$2-$N$2+1,4),""),"")))))</f>
        <v>Employee share schemes</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3</v>
      </c>
      <c r="G174" s="3">
        <f>IF(ROW()-1&lt;=0,"",IF(ROW()-1&lt;=$L$2,IFERROR(INDEX(MCQ!$A:$K,ROW()-1+1,7),""),IF(ROW()-1&lt;=$L$2+$M$2,IFERROR(INDEX(CLOZE_AB!$A:$K,ROW()-1-$L$2+1,7),""),IF(ROW()-1&lt;=$L$2+$M$2+$N$2,IFERROR(INDEX(CLOZE_LIST!$A:$K,ROW()-1-$L$2-$M$2+1,7),""),IF(ROW()-1&lt;=$L$2+$M$2+$N$2+$O$2,IFERROR(INDEX(PROFORMA!$A:$K,ROW()-1-$L$2-$M$2-$N$2+1,7),""),"")))))</f>
        <v>0</v>
      </c>
      <c r="H174" s="3" t="str">
        <f>IF(ROW()-1&lt;=0,"",IF(ROW()-1&lt;=$L$2,IFERROR(INDEX(MCQ!$A:$K,ROW()-1+1,8),""),IF(ROW()-1&lt;=$L$2+$M$2,IFERROR(INDEX(CLOZE_AB!$A:$K,ROW()-1-$L$2+1,8),""),IF(ROW()-1&lt;=$L$2+$M$2+$N$2,IFERROR(INDEX(CLOZE_LIST!$A:$K,ROW()-1-$L$2-$M$2+1,8),""),IF(ROW()-1&lt;=$L$2+$M$2+$N$2+$O$2,IFERROR(INDEX(PROFORMA!$A:$K,ROW()-1-$L$2-$M$2-$N$2+1,8),""),"")))))</f>
        <v>Y</v>
      </c>
      <c r="I174" s="3" t="str">
        <f>IF(ROW()-1&lt;=0,"",IF(ROW()-1&lt;=$L$2,IFERROR(INDEX(MCQ!$A:$K,ROW()-1+1,9),""),IF(ROW()-1&lt;=$L$2+$M$2,IFERROR(INDEX(CLOZE_AB!$A:$K,ROW()-1-$L$2+1,9),""),IF(ROW()-1&lt;=$L$2+$M$2+$N$2,IFERROR(INDEX(CLOZE_LIST!$A:$K,ROW()-1-$L$2-$M$2+1,9),""),IF(ROW()-1&lt;=$L$2+$M$2+$N$2+$O$2,IFERROR(INDEX(PROFORMA!$A:$K,ROW()-1-$L$2-$M$2-$N$2+1,9),""),"")))))</f>
        <v>emi|limits</v>
      </c>
      <c r="J174" s="3" t="str">
        <f>IF(ROW()-1&lt;=0,"",IF(ROW()-1&lt;=$L$2,IFERROR(INDEX(MCQ!$A:$K,ROW()-1+1,10),""),IF(ROW()-1&lt;=$L$2+$M$2,IFERROR(INDEX(CLOZE_AB!$A:$K,ROW()-1-$L$2+1,10),""),IF(ROW()-1&lt;=$L$2+$M$2+$N$2,IFERROR(INDEX(CLOZE_LIST!$A:$K,ROW()-1-$L$2-$M$2+1,10),""),IF(ROW()-1&lt;=$L$2+$M$2+$N$2+$O$2,IFERROR(INDEX(PROFORMA!$A:$K,ROW()-1-$L$2-$M$2-$N$2+1,10),""),"")))))</f>
        <v>user_notes</v>
      </c>
      <c r="K174" s="3">
        <f>IF(ROW()-1&lt;=0,"",IF(ROW()-1&lt;=$L$2,IFERROR(INDEX(MCQ!$A:$K,ROW()-1+1,11),""),IF(ROW()-1&lt;=$L$2+$M$2,IFERROR(INDEX(CLOZE_AB!$A:$K,ROW()-1-$L$2+1,11),""),IF(ROW()-1&lt;=$L$2+$M$2+$N$2,IFERROR(INDEX(CLOZE_LIST!$A:$K,ROW()-1-$L$2-$M$2+1,11),""),IF(ROW()-1&lt;=$L$2+$M$2+$N$2+$O$2,IFERROR(INDEX(PROFORMA!$A:$K,ROW()-1-$L$2-$M$2-$N$2+1,11),""),"")))))</f>
        <v>1</v>
      </c>
      <c r="L174" s="3">
        <f>COUNTA(MCQ!$A:$A)-1</f>
        <v>143</v>
      </c>
      <c r="M174" s="3">
        <f>COUNTA(CLOZE_AB!$A:$A)-1</f>
        <v>168</v>
      </c>
      <c r="N174" s="3">
        <f>COUNTA(CLOZE_LIST!$A:$A)-1</f>
        <v>199</v>
      </c>
      <c r="O174" s="3">
        <f>COUNTA(PROFORMA!$A:$A)-1</f>
        <v>199</v>
      </c>
    </row>
    <row r="175" spans="1:15" ht="28.8" x14ac:dyDescent="0.3">
      <c r="A175" s="3" t="str">
        <f>IF(ROW()-1&lt;=0,"",IF(ROW()-1&lt;=$L$2,IFERROR(INDEX(MCQ!$A:$K,ROW()-1+1,1),""),IF(ROW()-1&lt;=$L$2+$M$2,IFERROR(INDEX(CLOZE_AB!$A:$K,ROW()-1-$L$2+1,1),""),IF(ROW()-1&lt;=$L$2+$M$2+$N$2,IFERROR(INDEX(CLOZE_LIST!$A:$K,ROW()-1-$L$2-$M$2+1,1),""),IF(ROW()-1&lt;=$L$2+$M$2+$N$2+$O$2,IFERROR(INDEX(PROFORMA!$A:$K,ROW()-1-$L$2-$M$2-$N$2+1,1),""),"")))))</f>
        <v>AB_ITNIC_REQ_EMPSHARESCHEME_019</v>
      </c>
      <c r="B175" s="3" t="str">
        <f>IF(ROW()-1&lt;=0,"",IF(ROW()-1&lt;=$L$2,IFERROR(INDEX(MCQ!$A:$K,ROW()-1+1,2),""),IF(ROW()-1&lt;=$L$2+$M$2,IFERROR(INDEX(CLOZE_AB!$A:$K,ROW()-1-$L$2+1,2),""),IF(ROW()-1&lt;=$L$2+$M$2+$N$2,IFERROR(INDEX(CLOZE_LIST!$A:$K,ROW()-1-$L$2-$M$2+1,2),""),IF(ROW()-1&lt;=$L$2+$M$2+$N$2+$O$2,IFERROR(INDEX(PROFORMA!$A:$K,ROW()-1-$L$2-$M$2-$N$2+1,2),""),"")))))</f>
        <v>Income tax &amp; NIC</v>
      </c>
      <c r="C175" s="3" t="str">
        <f>IF(ROW()-1&lt;=0,"",IF(ROW()-1&lt;=$L$2,IFERROR(INDEX(MCQ!$A:$K,ROW()-1+1,3),""),IF(ROW()-1&lt;=$L$2+$M$2,IFERROR(INDEX(CLOZE_AB!$A:$K,ROW()-1-$L$2+1,3),""),IF(ROW()-1&lt;=$L$2+$M$2+$N$2,IFERROR(INDEX(CLOZE_LIST!$A:$K,ROW()-1-$L$2-$M$2+1,3),""),IF(ROW()-1&lt;=$L$2+$M$2+$N$2+$O$2,IFERROR(INDEX(PROFORMA!$A:$K,ROW()-1-$L$2-$M$2-$N$2+1,3),""),"")))))</f>
        <v>requirements</v>
      </c>
      <c r="D175" s="3" t="str">
        <f>IF(ROW()-1&lt;=0,"",IF(ROW()-1&lt;=$L$2,IFERROR(INDEX(MCQ!$A:$K,ROW()-1+1,4),""),IF(ROW()-1&lt;=$L$2+$M$2,IFERROR(INDEX(CLOZE_AB!$A:$K,ROW()-1-$L$2+1,4),""),IF(ROW()-1&lt;=$L$2+$M$2+$N$2,IFERROR(INDEX(CLOZE_LIST!$A:$K,ROW()-1-$L$2-$M$2+1,4),""),IF(ROW()-1&lt;=$L$2+$M$2+$N$2+$O$2,IFERROR(INDEX(PROFORMA!$A:$K,ROW()-1-$L$2-$M$2-$N$2+1,4),""),"")))))</f>
        <v>Employee share schemes</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3</v>
      </c>
      <c r="G175" s="3">
        <f>IF(ROW()-1&lt;=0,"",IF(ROW()-1&lt;=$L$2,IFERROR(INDEX(MCQ!$A:$K,ROW()-1+1,7),""),IF(ROW()-1&lt;=$L$2+$M$2,IFERROR(INDEX(CLOZE_AB!$A:$K,ROW()-1-$L$2+1,7),""),IF(ROW()-1&lt;=$L$2+$M$2+$N$2,IFERROR(INDEX(CLOZE_LIST!$A:$K,ROW()-1-$L$2-$M$2+1,7),""),IF(ROW()-1&lt;=$L$2+$M$2+$N$2+$O$2,IFERROR(INDEX(PROFORMA!$A:$K,ROW()-1-$L$2-$M$2-$N$2+1,7),""),"")))))</f>
        <v>0</v>
      </c>
      <c r="H175" s="3" t="str">
        <f>IF(ROW()-1&lt;=0,"",IF(ROW()-1&lt;=$L$2,IFERROR(INDEX(MCQ!$A:$K,ROW()-1+1,8),""),IF(ROW()-1&lt;=$L$2+$M$2,IFERROR(INDEX(CLOZE_AB!$A:$K,ROW()-1-$L$2+1,8),""),IF(ROW()-1&lt;=$L$2+$M$2+$N$2,IFERROR(INDEX(CLOZE_LIST!$A:$K,ROW()-1-$L$2-$M$2+1,8),""),IF(ROW()-1&lt;=$L$2+$M$2+$N$2+$O$2,IFERROR(INDEX(PROFORMA!$A:$K,ROW()-1-$L$2-$M$2-$N$2+1,8),""),"")))))</f>
        <v>Y</v>
      </c>
      <c r="I175" s="3" t="str">
        <f>IF(ROW()-1&lt;=0,"",IF(ROW()-1&lt;=$L$2,IFERROR(INDEX(MCQ!$A:$K,ROW()-1+1,9),""),IF(ROW()-1&lt;=$L$2+$M$2,IFERROR(INDEX(CLOZE_AB!$A:$K,ROW()-1-$L$2+1,9),""),IF(ROW()-1&lt;=$L$2+$M$2+$N$2,IFERROR(INDEX(CLOZE_LIST!$A:$K,ROW()-1-$L$2-$M$2+1,9),""),IF(ROW()-1&lt;=$L$2+$M$2+$N$2+$O$2,IFERROR(INDEX(PROFORMA!$A:$K,ROW()-1-$L$2-$M$2-$N$2+1,9),""),"")))))</f>
        <v>emi|interactions</v>
      </c>
      <c r="J175" s="3" t="str">
        <f>IF(ROW()-1&lt;=0,"",IF(ROW()-1&lt;=$L$2,IFERROR(INDEX(MCQ!$A:$K,ROW()-1+1,10),""),IF(ROW()-1&lt;=$L$2+$M$2,IFERROR(INDEX(CLOZE_AB!$A:$K,ROW()-1-$L$2+1,10),""),IF(ROW()-1&lt;=$L$2+$M$2+$N$2,IFERROR(INDEX(CLOZE_LIST!$A:$K,ROW()-1-$L$2-$M$2+1,10),""),IF(ROW()-1&lt;=$L$2+$M$2+$N$2+$O$2,IFERROR(INDEX(PROFORMA!$A:$K,ROW()-1-$L$2-$M$2-$N$2+1,10),""),"")))))</f>
        <v>user_notes</v>
      </c>
      <c r="K175" s="3">
        <f>IF(ROW()-1&lt;=0,"",IF(ROW()-1&lt;=$L$2,IFERROR(INDEX(MCQ!$A:$K,ROW()-1+1,11),""),IF(ROW()-1&lt;=$L$2+$M$2,IFERROR(INDEX(CLOZE_AB!$A:$K,ROW()-1-$L$2+1,11),""),IF(ROW()-1&lt;=$L$2+$M$2+$N$2,IFERROR(INDEX(CLOZE_LIST!$A:$K,ROW()-1-$L$2-$M$2+1,11),""),IF(ROW()-1&lt;=$L$2+$M$2+$N$2+$O$2,IFERROR(INDEX(PROFORMA!$A:$K,ROW()-1-$L$2-$M$2-$N$2+1,11),""),"")))))</f>
        <v>1</v>
      </c>
      <c r="L175" s="3">
        <f>COUNTA(MCQ!$A:$A)-1</f>
        <v>143</v>
      </c>
      <c r="M175" s="3">
        <f>COUNTA(CLOZE_AB!$A:$A)-1</f>
        <v>168</v>
      </c>
      <c r="N175" s="3">
        <f>COUNTA(CLOZE_LIST!$A:$A)-1</f>
        <v>199</v>
      </c>
      <c r="O175" s="3">
        <f>COUNTA(PROFORMA!$A:$A)-1</f>
        <v>199</v>
      </c>
    </row>
    <row r="176" spans="1:15" ht="28.8" x14ac:dyDescent="0.3">
      <c r="A176" s="3" t="str">
        <f>IF(ROW()-1&lt;=0,"",IF(ROW()-1&lt;=$L$2,IFERROR(INDEX(MCQ!$A:$K,ROW()-1+1,1),""),IF(ROW()-1&lt;=$L$2+$M$2,IFERROR(INDEX(CLOZE_AB!$A:$K,ROW()-1-$L$2+1,1),""),IF(ROW()-1&lt;=$L$2+$M$2+$N$2,IFERROR(INDEX(CLOZE_LIST!$A:$K,ROW()-1-$L$2-$M$2+1,1),""),IF(ROW()-1&lt;=$L$2+$M$2+$N$2+$O$2,IFERROR(INDEX(PROFORMA!$A:$K,ROW()-1-$L$2-$M$2-$N$2+1,1),""),"")))))</f>
        <v>AB_ITNIC_REQ_EMPSHARESCHEME_020</v>
      </c>
      <c r="B176" s="3" t="str">
        <f>IF(ROW()-1&lt;=0,"",IF(ROW()-1&lt;=$L$2,IFERROR(INDEX(MCQ!$A:$K,ROW()-1+1,2),""),IF(ROW()-1&lt;=$L$2+$M$2,IFERROR(INDEX(CLOZE_AB!$A:$K,ROW()-1-$L$2+1,2),""),IF(ROW()-1&lt;=$L$2+$M$2+$N$2,IFERROR(INDEX(CLOZE_LIST!$A:$K,ROW()-1-$L$2-$M$2+1,2),""),IF(ROW()-1&lt;=$L$2+$M$2+$N$2+$O$2,IFERROR(INDEX(PROFORMA!$A:$K,ROW()-1-$L$2-$M$2-$N$2+1,2),""),"")))))</f>
        <v>Income tax &amp; NIC</v>
      </c>
      <c r="C176" s="3" t="str">
        <f>IF(ROW()-1&lt;=0,"",IF(ROW()-1&lt;=$L$2,IFERROR(INDEX(MCQ!$A:$K,ROW()-1+1,3),""),IF(ROW()-1&lt;=$L$2+$M$2,IFERROR(INDEX(CLOZE_AB!$A:$K,ROW()-1-$L$2+1,3),""),IF(ROW()-1&lt;=$L$2+$M$2+$N$2,IFERROR(INDEX(CLOZE_LIST!$A:$K,ROW()-1-$L$2-$M$2+1,3),""),IF(ROW()-1&lt;=$L$2+$M$2+$N$2+$O$2,IFERROR(INDEX(PROFORMA!$A:$K,ROW()-1-$L$2-$M$2-$N$2+1,3),""),"")))))</f>
        <v>requirements</v>
      </c>
      <c r="D176" s="3" t="str">
        <f>IF(ROW()-1&lt;=0,"",IF(ROW()-1&lt;=$L$2,IFERROR(INDEX(MCQ!$A:$K,ROW()-1+1,4),""),IF(ROW()-1&lt;=$L$2+$M$2,IFERROR(INDEX(CLOZE_AB!$A:$K,ROW()-1-$L$2+1,4),""),IF(ROW()-1&lt;=$L$2+$M$2+$N$2,IFERROR(INDEX(CLOZE_LIST!$A:$K,ROW()-1-$L$2-$M$2+1,4),""),IF(ROW()-1&lt;=$L$2+$M$2+$N$2+$O$2,IFERROR(INDEX(PROFORMA!$A:$K,ROW()-1-$L$2-$M$2-$N$2+1,4),""),"")))))</f>
        <v>Employee share schemes</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3</v>
      </c>
      <c r="G176" s="3">
        <f>IF(ROW()-1&lt;=0,"",IF(ROW()-1&lt;=$L$2,IFERROR(INDEX(MCQ!$A:$K,ROW()-1+1,7),""),IF(ROW()-1&lt;=$L$2+$M$2,IFERROR(INDEX(CLOZE_AB!$A:$K,ROW()-1-$L$2+1,7),""),IF(ROW()-1&lt;=$L$2+$M$2+$N$2,IFERROR(INDEX(CLOZE_LIST!$A:$K,ROW()-1-$L$2-$M$2+1,7),""),IF(ROW()-1&lt;=$L$2+$M$2+$N$2+$O$2,IFERROR(INDEX(PROFORMA!$A:$K,ROW()-1-$L$2-$M$2-$N$2+1,7),""),"")))))</f>
        <v>0</v>
      </c>
      <c r="H176" s="3" t="str">
        <f>IF(ROW()-1&lt;=0,"",IF(ROW()-1&lt;=$L$2,IFERROR(INDEX(MCQ!$A:$K,ROW()-1+1,8),""),IF(ROW()-1&lt;=$L$2+$M$2,IFERROR(INDEX(CLOZE_AB!$A:$K,ROW()-1-$L$2+1,8),""),IF(ROW()-1&lt;=$L$2+$M$2+$N$2,IFERROR(INDEX(CLOZE_LIST!$A:$K,ROW()-1-$L$2-$M$2+1,8),""),IF(ROW()-1&lt;=$L$2+$M$2+$N$2+$O$2,IFERROR(INDEX(PROFORMA!$A:$K,ROW()-1-$L$2-$M$2-$N$2+1,8),""),"")))))</f>
        <v>Y</v>
      </c>
      <c r="I176" s="3" t="str">
        <f>IF(ROW()-1&lt;=0,"",IF(ROW()-1&lt;=$L$2,IFERROR(INDEX(MCQ!$A:$K,ROW()-1+1,9),""),IF(ROW()-1&lt;=$L$2+$M$2,IFERROR(INDEX(CLOZE_AB!$A:$K,ROW()-1-$L$2+1,9),""),IF(ROW()-1&lt;=$L$2+$M$2+$N$2,IFERROR(INDEX(CLOZE_LIST!$A:$K,ROW()-1-$L$2-$M$2+1,9),""),IF(ROW()-1&lt;=$L$2+$M$2+$N$2+$O$2,IFERROR(INDEX(PROFORMA!$A:$K,ROW()-1-$L$2-$M$2-$N$2+1,9),""),"")))))</f>
        <v>emi|targets</v>
      </c>
      <c r="J176" s="3" t="str">
        <f>IF(ROW()-1&lt;=0,"",IF(ROW()-1&lt;=$L$2,IFERROR(INDEX(MCQ!$A:$K,ROW()-1+1,10),""),IF(ROW()-1&lt;=$L$2+$M$2,IFERROR(INDEX(CLOZE_AB!$A:$K,ROW()-1-$L$2+1,10),""),IF(ROW()-1&lt;=$L$2+$M$2+$N$2,IFERROR(INDEX(CLOZE_LIST!$A:$K,ROW()-1-$L$2-$M$2+1,10),""),IF(ROW()-1&lt;=$L$2+$M$2+$N$2+$O$2,IFERROR(INDEX(PROFORMA!$A:$K,ROW()-1-$L$2-$M$2-$N$2+1,10),""),"")))))</f>
        <v>user_notes</v>
      </c>
      <c r="K176" s="3">
        <f>IF(ROW()-1&lt;=0,"",IF(ROW()-1&lt;=$L$2,IFERROR(INDEX(MCQ!$A:$K,ROW()-1+1,11),""),IF(ROW()-1&lt;=$L$2+$M$2,IFERROR(INDEX(CLOZE_AB!$A:$K,ROW()-1-$L$2+1,11),""),IF(ROW()-1&lt;=$L$2+$M$2+$N$2,IFERROR(INDEX(CLOZE_LIST!$A:$K,ROW()-1-$L$2-$M$2+1,11),""),IF(ROW()-1&lt;=$L$2+$M$2+$N$2+$O$2,IFERROR(INDEX(PROFORMA!$A:$K,ROW()-1-$L$2-$M$2-$N$2+1,11),""),"")))))</f>
        <v>1</v>
      </c>
      <c r="L176" s="3">
        <f>COUNTA(MCQ!$A:$A)-1</f>
        <v>143</v>
      </c>
      <c r="M176" s="3">
        <f>COUNTA(CLOZE_AB!$A:$A)-1</f>
        <v>168</v>
      </c>
      <c r="N176" s="3">
        <f>COUNTA(CLOZE_LIST!$A:$A)-1</f>
        <v>199</v>
      </c>
      <c r="O176" s="3">
        <f>COUNTA(PROFORMA!$A:$A)-1</f>
        <v>199</v>
      </c>
    </row>
    <row r="177" spans="1:15" ht="28.8" x14ac:dyDescent="0.3">
      <c r="A177" s="3" t="str">
        <f>IF(ROW()-1&lt;=0,"",IF(ROW()-1&lt;=$L$2,IFERROR(INDEX(MCQ!$A:$K,ROW()-1+1,1),""),IF(ROW()-1&lt;=$L$2+$M$2,IFERROR(INDEX(CLOZE_AB!$A:$K,ROW()-1-$L$2+1,1),""),IF(ROW()-1&lt;=$L$2+$M$2+$N$2,IFERROR(INDEX(CLOZE_LIST!$A:$K,ROW()-1-$L$2-$M$2+1,1),""),IF(ROW()-1&lt;=$L$2+$M$2+$N$2+$O$2,IFERROR(INDEX(PROFORMA!$A:$K,ROW()-1-$L$2-$M$2-$N$2+1,1),""),"")))))</f>
        <v>AB_ITNIC_REQ_EMPSHARESCHEME_021</v>
      </c>
      <c r="B177" s="3" t="str">
        <f>IF(ROW()-1&lt;=0,"",IF(ROW()-1&lt;=$L$2,IFERROR(INDEX(MCQ!$A:$K,ROW()-1+1,2),""),IF(ROW()-1&lt;=$L$2+$M$2,IFERROR(INDEX(CLOZE_AB!$A:$K,ROW()-1-$L$2+1,2),""),IF(ROW()-1&lt;=$L$2+$M$2+$N$2,IFERROR(INDEX(CLOZE_LIST!$A:$K,ROW()-1-$L$2-$M$2+1,2),""),IF(ROW()-1&lt;=$L$2+$M$2+$N$2+$O$2,IFERROR(INDEX(PROFORMA!$A:$K,ROW()-1-$L$2-$M$2-$N$2+1,2),""),"")))))</f>
        <v>Income tax &amp; NIC</v>
      </c>
      <c r="C177" s="3" t="str">
        <f>IF(ROW()-1&lt;=0,"",IF(ROW()-1&lt;=$L$2,IFERROR(INDEX(MCQ!$A:$K,ROW()-1+1,3),""),IF(ROW()-1&lt;=$L$2+$M$2,IFERROR(INDEX(CLOZE_AB!$A:$K,ROW()-1-$L$2+1,3),""),IF(ROW()-1&lt;=$L$2+$M$2+$N$2,IFERROR(INDEX(CLOZE_LIST!$A:$K,ROW()-1-$L$2-$M$2+1,3),""),IF(ROW()-1&lt;=$L$2+$M$2+$N$2+$O$2,IFERROR(INDEX(PROFORMA!$A:$K,ROW()-1-$L$2-$M$2-$N$2+1,3),""),"")))))</f>
        <v>requirements</v>
      </c>
      <c r="D177" s="3" t="str">
        <f>IF(ROW()-1&lt;=0,"",IF(ROW()-1&lt;=$L$2,IFERROR(INDEX(MCQ!$A:$K,ROW()-1+1,4),""),IF(ROW()-1&lt;=$L$2+$M$2,IFERROR(INDEX(CLOZE_AB!$A:$K,ROW()-1-$L$2+1,4),""),IF(ROW()-1&lt;=$L$2+$M$2+$N$2,IFERROR(INDEX(CLOZE_LIST!$A:$K,ROW()-1-$L$2-$M$2+1,4),""),IF(ROW()-1&lt;=$L$2+$M$2+$N$2+$O$2,IFERROR(INDEX(PROFORMA!$A:$K,ROW()-1-$L$2-$M$2-$N$2+1,4),""),"")))))</f>
        <v>Employee share schemes</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3</v>
      </c>
      <c r="G177" s="3">
        <f>IF(ROW()-1&lt;=0,"",IF(ROW()-1&lt;=$L$2,IFERROR(INDEX(MCQ!$A:$K,ROW()-1+1,7),""),IF(ROW()-1&lt;=$L$2+$M$2,IFERROR(INDEX(CLOZE_AB!$A:$K,ROW()-1-$L$2+1,7),""),IF(ROW()-1&lt;=$L$2+$M$2+$N$2,IFERROR(INDEX(CLOZE_LIST!$A:$K,ROW()-1-$L$2-$M$2+1,7),""),IF(ROW()-1&lt;=$L$2+$M$2+$N$2+$O$2,IFERROR(INDEX(PROFORMA!$A:$K,ROW()-1-$L$2-$M$2-$N$2+1,7),""),"")))))</f>
        <v>0</v>
      </c>
      <c r="H177" s="3" t="str">
        <f>IF(ROW()-1&lt;=0,"",IF(ROW()-1&lt;=$L$2,IFERROR(INDEX(MCQ!$A:$K,ROW()-1+1,8),""),IF(ROW()-1&lt;=$L$2+$M$2,IFERROR(INDEX(CLOZE_AB!$A:$K,ROW()-1-$L$2+1,8),""),IF(ROW()-1&lt;=$L$2+$M$2+$N$2,IFERROR(INDEX(CLOZE_LIST!$A:$K,ROW()-1-$L$2-$M$2+1,8),""),IF(ROW()-1&lt;=$L$2+$M$2+$N$2+$O$2,IFERROR(INDEX(PROFORMA!$A:$K,ROW()-1-$L$2-$M$2-$N$2+1,8),""),"")))))</f>
        <v>Y</v>
      </c>
      <c r="I177" s="3" t="str">
        <f>IF(ROW()-1&lt;=0,"",IF(ROW()-1&lt;=$L$2,IFERROR(INDEX(MCQ!$A:$K,ROW()-1+1,9),""),IF(ROW()-1&lt;=$L$2+$M$2,IFERROR(INDEX(CLOZE_AB!$A:$K,ROW()-1-$L$2+1,9),""),IF(ROW()-1&lt;=$L$2+$M$2+$N$2,IFERROR(INDEX(CLOZE_LIST!$A:$K,ROW()-1-$L$2-$M$2+1,9),""),IF(ROW()-1&lt;=$L$2+$M$2+$N$2+$O$2,IFERROR(INDEX(PROFORMA!$A:$K,ROW()-1-$L$2-$M$2-$N$2+1,9),""),"")))))</f>
        <v>emi|discount</v>
      </c>
      <c r="J177" s="3" t="str">
        <f>IF(ROW()-1&lt;=0,"",IF(ROW()-1&lt;=$L$2,IFERROR(INDEX(MCQ!$A:$K,ROW()-1+1,10),""),IF(ROW()-1&lt;=$L$2+$M$2,IFERROR(INDEX(CLOZE_AB!$A:$K,ROW()-1-$L$2+1,10),""),IF(ROW()-1&lt;=$L$2+$M$2+$N$2,IFERROR(INDEX(CLOZE_LIST!$A:$K,ROW()-1-$L$2-$M$2+1,10),""),IF(ROW()-1&lt;=$L$2+$M$2+$N$2+$O$2,IFERROR(INDEX(PROFORMA!$A:$K,ROW()-1-$L$2-$M$2-$N$2+1,10),""),"")))))</f>
        <v>user_notes</v>
      </c>
      <c r="K177" s="3">
        <f>IF(ROW()-1&lt;=0,"",IF(ROW()-1&lt;=$L$2,IFERROR(INDEX(MCQ!$A:$K,ROW()-1+1,11),""),IF(ROW()-1&lt;=$L$2+$M$2,IFERROR(INDEX(CLOZE_AB!$A:$K,ROW()-1-$L$2+1,11),""),IF(ROW()-1&lt;=$L$2+$M$2+$N$2,IFERROR(INDEX(CLOZE_LIST!$A:$K,ROW()-1-$L$2-$M$2+1,11),""),IF(ROW()-1&lt;=$L$2+$M$2+$N$2+$O$2,IFERROR(INDEX(PROFORMA!$A:$K,ROW()-1-$L$2-$M$2-$N$2+1,11),""),"")))))</f>
        <v>1</v>
      </c>
      <c r="L177" s="3">
        <f>COUNTA(MCQ!$A:$A)-1</f>
        <v>143</v>
      </c>
      <c r="M177" s="3">
        <f>COUNTA(CLOZE_AB!$A:$A)-1</f>
        <v>168</v>
      </c>
      <c r="N177" s="3">
        <f>COUNTA(CLOZE_LIST!$A:$A)-1</f>
        <v>199</v>
      </c>
      <c r="O177" s="3">
        <f>COUNTA(PROFORMA!$A:$A)-1</f>
        <v>199</v>
      </c>
    </row>
    <row r="178" spans="1:15" ht="28.8" x14ac:dyDescent="0.3">
      <c r="A178" s="3" t="str">
        <f>IF(ROW()-1&lt;=0,"",IF(ROW()-1&lt;=$L$2,IFERROR(INDEX(MCQ!$A:$K,ROW()-1+1,1),""),IF(ROW()-1&lt;=$L$2+$M$2,IFERROR(INDEX(CLOZE_AB!$A:$K,ROW()-1-$L$2+1,1),""),IF(ROW()-1&lt;=$L$2+$M$2+$N$2,IFERROR(INDEX(CLOZE_LIST!$A:$K,ROW()-1-$L$2-$M$2+1,1),""),IF(ROW()-1&lt;=$L$2+$M$2+$N$2+$O$2,IFERROR(INDEX(PROFORMA!$A:$K,ROW()-1-$L$2-$M$2-$N$2+1,1),""),"")))))</f>
        <v>AB_ITNIC_REQ_EMPSHARESCHEME_022</v>
      </c>
      <c r="B178" s="3" t="str">
        <f>IF(ROW()-1&lt;=0,"",IF(ROW()-1&lt;=$L$2,IFERROR(INDEX(MCQ!$A:$K,ROW()-1+1,2),""),IF(ROW()-1&lt;=$L$2+$M$2,IFERROR(INDEX(CLOZE_AB!$A:$K,ROW()-1-$L$2+1,2),""),IF(ROW()-1&lt;=$L$2+$M$2+$N$2,IFERROR(INDEX(CLOZE_LIST!$A:$K,ROW()-1-$L$2-$M$2+1,2),""),IF(ROW()-1&lt;=$L$2+$M$2+$N$2+$O$2,IFERROR(INDEX(PROFORMA!$A:$K,ROW()-1-$L$2-$M$2-$N$2+1,2),""),"")))))</f>
        <v>Income tax &amp; NIC</v>
      </c>
      <c r="C178" s="3" t="str">
        <f>IF(ROW()-1&lt;=0,"",IF(ROW()-1&lt;=$L$2,IFERROR(INDEX(MCQ!$A:$K,ROW()-1+1,3),""),IF(ROW()-1&lt;=$L$2+$M$2,IFERROR(INDEX(CLOZE_AB!$A:$K,ROW()-1-$L$2+1,3),""),IF(ROW()-1&lt;=$L$2+$M$2+$N$2,IFERROR(INDEX(CLOZE_LIST!$A:$K,ROW()-1-$L$2-$M$2+1,3),""),IF(ROW()-1&lt;=$L$2+$M$2+$N$2+$O$2,IFERROR(INDEX(PROFORMA!$A:$K,ROW()-1-$L$2-$M$2-$N$2+1,3),""),"")))))</f>
        <v>requirements</v>
      </c>
      <c r="D178" s="3" t="str">
        <f>IF(ROW()-1&lt;=0,"",IF(ROW()-1&lt;=$L$2,IFERROR(INDEX(MCQ!$A:$K,ROW()-1+1,4),""),IF(ROW()-1&lt;=$L$2+$M$2,IFERROR(INDEX(CLOZE_AB!$A:$K,ROW()-1-$L$2+1,4),""),IF(ROW()-1&lt;=$L$2+$M$2+$N$2,IFERROR(INDEX(CLOZE_LIST!$A:$K,ROW()-1-$L$2-$M$2+1,4),""),IF(ROW()-1&lt;=$L$2+$M$2+$N$2+$O$2,IFERROR(INDEX(PROFORMA!$A:$K,ROW()-1-$L$2-$M$2-$N$2+1,4),""),"")))))</f>
        <v>Employee share schemes</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3</v>
      </c>
      <c r="G178" s="3">
        <f>IF(ROW()-1&lt;=0,"",IF(ROW()-1&lt;=$L$2,IFERROR(INDEX(MCQ!$A:$K,ROW()-1+1,7),""),IF(ROW()-1&lt;=$L$2+$M$2,IFERROR(INDEX(CLOZE_AB!$A:$K,ROW()-1-$L$2+1,7),""),IF(ROW()-1&lt;=$L$2+$M$2+$N$2,IFERROR(INDEX(CLOZE_LIST!$A:$K,ROW()-1-$L$2-$M$2+1,7),""),IF(ROW()-1&lt;=$L$2+$M$2+$N$2+$O$2,IFERROR(INDEX(PROFORMA!$A:$K,ROW()-1-$L$2-$M$2-$N$2+1,7),""),"")))))</f>
        <v>0</v>
      </c>
      <c r="H178" s="3" t="str">
        <f>IF(ROW()-1&lt;=0,"",IF(ROW()-1&lt;=$L$2,IFERROR(INDEX(MCQ!$A:$K,ROW()-1+1,8),""),IF(ROW()-1&lt;=$L$2+$M$2,IFERROR(INDEX(CLOZE_AB!$A:$K,ROW()-1-$L$2+1,8),""),IF(ROW()-1&lt;=$L$2+$M$2+$N$2,IFERROR(INDEX(CLOZE_LIST!$A:$K,ROW()-1-$L$2-$M$2+1,8),""),IF(ROW()-1&lt;=$L$2+$M$2+$N$2+$O$2,IFERROR(INDEX(PROFORMA!$A:$K,ROW()-1-$L$2-$M$2-$N$2+1,8),""),"")))))</f>
        <v>Y</v>
      </c>
      <c r="I178" s="3" t="str">
        <f>IF(ROW()-1&lt;=0,"",IF(ROW()-1&lt;=$L$2,IFERROR(INDEX(MCQ!$A:$K,ROW()-1+1,9),""),IF(ROW()-1&lt;=$L$2+$M$2,IFERROR(INDEX(CLOZE_AB!$A:$K,ROW()-1-$L$2+1,9),""),IF(ROW()-1&lt;=$L$2+$M$2+$N$2,IFERROR(INDEX(CLOZE_LIST!$A:$K,ROW()-1-$L$2-$M$2+1,9),""),IF(ROW()-1&lt;=$L$2+$M$2+$N$2+$O$2,IFERROR(INDEX(PROFORMA!$A:$K,ROW()-1-$L$2-$M$2-$N$2+1,9),""),"")))))</f>
        <v>emi|nic|listed</v>
      </c>
      <c r="J178" s="3" t="str">
        <f>IF(ROW()-1&lt;=0,"",IF(ROW()-1&lt;=$L$2,IFERROR(INDEX(MCQ!$A:$K,ROW()-1+1,10),""),IF(ROW()-1&lt;=$L$2+$M$2,IFERROR(INDEX(CLOZE_AB!$A:$K,ROW()-1-$L$2+1,10),""),IF(ROW()-1&lt;=$L$2+$M$2+$N$2,IFERROR(INDEX(CLOZE_LIST!$A:$K,ROW()-1-$L$2-$M$2+1,10),""),IF(ROW()-1&lt;=$L$2+$M$2+$N$2+$O$2,IFERROR(INDEX(PROFORMA!$A:$K,ROW()-1-$L$2-$M$2-$N$2+1,10),""),"")))))</f>
        <v>user_notes</v>
      </c>
      <c r="K178" s="3">
        <f>IF(ROW()-1&lt;=0,"",IF(ROW()-1&lt;=$L$2,IFERROR(INDEX(MCQ!$A:$K,ROW()-1+1,11),""),IF(ROW()-1&lt;=$L$2+$M$2,IFERROR(INDEX(CLOZE_AB!$A:$K,ROW()-1-$L$2+1,11),""),IF(ROW()-1&lt;=$L$2+$M$2+$N$2,IFERROR(INDEX(CLOZE_LIST!$A:$K,ROW()-1-$L$2-$M$2+1,11),""),IF(ROW()-1&lt;=$L$2+$M$2+$N$2+$O$2,IFERROR(INDEX(PROFORMA!$A:$K,ROW()-1-$L$2-$M$2-$N$2+1,11),""),"")))))</f>
        <v>1</v>
      </c>
      <c r="L178" s="3">
        <f>COUNTA(MCQ!$A:$A)-1</f>
        <v>143</v>
      </c>
      <c r="M178" s="3">
        <f>COUNTA(CLOZE_AB!$A:$A)-1</f>
        <v>168</v>
      </c>
      <c r="N178" s="3">
        <f>COUNTA(CLOZE_LIST!$A:$A)-1</f>
        <v>199</v>
      </c>
      <c r="O178" s="3">
        <f>COUNTA(PROFORMA!$A:$A)-1</f>
        <v>199</v>
      </c>
    </row>
    <row r="179" spans="1:15" ht="28.8" x14ac:dyDescent="0.3">
      <c r="A179" s="3" t="str">
        <f>IF(ROW()-1&lt;=0,"",IF(ROW()-1&lt;=$L$2,IFERROR(INDEX(MCQ!$A:$K,ROW()-1+1,1),""),IF(ROW()-1&lt;=$L$2+$M$2,IFERROR(INDEX(CLOZE_AB!$A:$K,ROW()-1-$L$2+1,1),""),IF(ROW()-1&lt;=$L$2+$M$2+$N$2,IFERROR(INDEX(CLOZE_LIST!$A:$K,ROW()-1-$L$2-$M$2+1,1),""),IF(ROW()-1&lt;=$L$2+$M$2+$N$2+$O$2,IFERROR(INDEX(PROFORMA!$A:$K,ROW()-1-$L$2-$M$2-$N$2+1,1),""),"")))))</f>
        <v>AB_ITNIC_REQ_EMPSHARESCHEME_023</v>
      </c>
      <c r="B179" s="3" t="str">
        <f>IF(ROW()-1&lt;=0,"",IF(ROW()-1&lt;=$L$2,IFERROR(INDEX(MCQ!$A:$K,ROW()-1+1,2),""),IF(ROW()-1&lt;=$L$2+$M$2,IFERROR(INDEX(CLOZE_AB!$A:$K,ROW()-1-$L$2+1,2),""),IF(ROW()-1&lt;=$L$2+$M$2+$N$2,IFERROR(INDEX(CLOZE_LIST!$A:$K,ROW()-1-$L$2-$M$2+1,2),""),IF(ROW()-1&lt;=$L$2+$M$2+$N$2+$O$2,IFERROR(INDEX(PROFORMA!$A:$K,ROW()-1-$L$2-$M$2-$N$2+1,2),""),"")))))</f>
        <v>Income tax &amp; NIC</v>
      </c>
      <c r="C179" s="3" t="str">
        <f>IF(ROW()-1&lt;=0,"",IF(ROW()-1&lt;=$L$2,IFERROR(INDEX(MCQ!$A:$K,ROW()-1+1,3),""),IF(ROW()-1&lt;=$L$2+$M$2,IFERROR(INDEX(CLOZE_AB!$A:$K,ROW()-1-$L$2+1,3),""),IF(ROW()-1&lt;=$L$2+$M$2+$N$2,IFERROR(INDEX(CLOZE_LIST!$A:$K,ROW()-1-$L$2-$M$2+1,3),""),IF(ROW()-1&lt;=$L$2+$M$2+$N$2+$O$2,IFERROR(INDEX(PROFORMA!$A:$K,ROW()-1-$L$2-$M$2-$N$2+1,3),""),"")))))</f>
        <v>requirements</v>
      </c>
      <c r="D179" s="3" t="str">
        <f>IF(ROW()-1&lt;=0,"",IF(ROW()-1&lt;=$L$2,IFERROR(INDEX(MCQ!$A:$K,ROW()-1+1,4),""),IF(ROW()-1&lt;=$L$2+$M$2,IFERROR(INDEX(CLOZE_AB!$A:$K,ROW()-1-$L$2+1,4),""),IF(ROW()-1&lt;=$L$2+$M$2+$N$2,IFERROR(INDEX(CLOZE_LIST!$A:$K,ROW()-1-$L$2-$M$2+1,4),""),IF(ROW()-1&lt;=$L$2+$M$2+$N$2+$O$2,IFERROR(INDEX(PROFORMA!$A:$K,ROW()-1-$L$2-$M$2-$N$2+1,4),""),"")))))</f>
        <v>Employee share schemes</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3</v>
      </c>
      <c r="G179" s="3">
        <f>IF(ROW()-1&lt;=0,"",IF(ROW()-1&lt;=$L$2,IFERROR(INDEX(MCQ!$A:$K,ROW()-1+1,7),""),IF(ROW()-1&lt;=$L$2+$M$2,IFERROR(INDEX(CLOZE_AB!$A:$K,ROW()-1-$L$2+1,7),""),IF(ROW()-1&lt;=$L$2+$M$2+$N$2,IFERROR(INDEX(CLOZE_LIST!$A:$K,ROW()-1-$L$2-$M$2+1,7),""),IF(ROW()-1&lt;=$L$2+$M$2+$N$2+$O$2,IFERROR(INDEX(PROFORMA!$A:$K,ROW()-1-$L$2-$M$2-$N$2+1,7),""),"")))))</f>
        <v>0</v>
      </c>
      <c r="H179" s="3" t="str">
        <f>IF(ROW()-1&lt;=0,"",IF(ROW()-1&lt;=$L$2,IFERROR(INDEX(MCQ!$A:$K,ROW()-1+1,8),""),IF(ROW()-1&lt;=$L$2+$M$2,IFERROR(INDEX(CLOZE_AB!$A:$K,ROW()-1-$L$2+1,8),""),IF(ROW()-1&lt;=$L$2+$M$2+$N$2,IFERROR(INDEX(CLOZE_LIST!$A:$K,ROW()-1-$L$2-$M$2+1,8),""),IF(ROW()-1&lt;=$L$2+$M$2+$N$2+$O$2,IFERROR(INDEX(PROFORMA!$A:$K,ROW()-1-$L$2-$M$2-$N$2+1,8),""),"")))))</f>
        <v>Y</v>
      </c>
      <c r="I179" s="3" t="str">
        <f>IF(ROW()-1&lt;=0,"",IF(ROW()-1&lt;=$L$2,IFERROR(INDEX(MCQ!$A:$K,ROW()-1+1,9),""),IF(ROW()-1&lt;=$L$2+$M$2,IFERROR(INDEX(CLOZE_AB!$A:$K,ROW()-1-$L$2+1,9),""),IF(ROW()-1&lt;=$L$2+$M$2+$N$2,IFERROR(INDEX(CLOZE_LIST!$A:$K,ROW()-1-$L$2-$M$2+1,9),""),IF(ROW()-1&lt;=$L$2+$M$2+$N$2+$O$2,IFERROR(INDEX(PROFORMA!$A:$K,ROW()-1-$L$2-$M$2-$N$2+1,9),""),"")))))</f>
        <v>emi|badr</v>
      </c>
      <c r="J179" s="3" t="str">
        <f>IF(ROW()-1&lt;=0,"",IF(ROW()-1&lt;=$L$2,IFERROR(INDEX(MCQ!$A:$K,ROW()-1+1,10),""),IF(ROW()-1&lt;=$L$2+$M$2,IFERROR(INDEX(CLOZE_AB!$A:$K,ROW()-1-$L$2+1,10),""),IF(ROW()-1&lt;=$L$2+$M$2+$N$2,IFERROR(INDEX(CLOZE_LIST!$A:$K,ROW()-1-$L$2-$M$2+1,10),""),IF(ROW()-1&lt;=$L$2+$M$2+$N$2+$O$2,IFERROR(INDEX(PROFORMA!$A:$K,ROW()-1-$L$2-$M$2-$N$2+1,10),""),"")))))</f>
        <v>user_notes</v>
      </c>
      <c r="K179" s="3">
        <f>IF(ROW()-1&lt;=0,"",IF(ROW()-1&lt;=$L$2,IFERROR(INDEX(MCQ!$A:$K,ROW()-1+1,11),""),IF(ROW()-1&lt;=$L$2+$M$2,IFERROR(INDEX(CLOZE_AB!$A:$K,ROW()-1-$L$2+1,11),""),IF(ROW()-1&lt;=$L$2+$M$2+$N$2,IFERROR(INDEX(CLOZE_LIST!$A:$K,ROW()-1-$L$2-$M$2+1,11),""),IF(ROW()-1&lt;=$L$2+$M$2+$N$2+$O$2,IFERROR(INDEX(PROFORMA!$A:$K,ROW()-1-$L$2-$M$2-$N$2+1,11),""),"")))))</f>
        <v>1</v>
      </c>
      <c r="L179" s="3">
        <f>COUNTA(MCQ!$A:$A)-1</f>
        <v>143</v>
      </c>
      <c r="M179" s="3">
        <f>COUNTA(CLOZE_AB!$A:$A)-1</f>
        <v>168</v>
      </c>
      <c r="N179" s="3">
        <f>COUNTA(CLOZE_LIST!$A:$A)-1</f>
        <v>199</v>
      </c>
      <c r="O179" s="3">
        <f>COUNTA(PROFORMA!$A:$A)-1</f>
        <v>199</v>
      </c>
    </row>
    <row r="180" spans="1:15" ht="28.8" x14ac:dyDescent="0.3">
      <c r="A180" s="3" t="str">
        <f>IF(ROW()-1&lt;=0,"",IF(ROW()-1&lt;=$L$2,IFERROR(INDEX(MCQ!$A:$K,ROW()-1+1,1),""),IF(ROW()-1&lt;=$L$2+$M$2,IFERROR(INDEX(CLOZE_AB!$A:$K,ROW()-1-$L$2+1,1),""),IF(ROW()-1&lt;=$L$2+$M$2+$N$2,IFERROR(INDEX(CLOZE_LIST!$A:$K,ROW()-1-$L$2-$M$2+1,1),""),IF(ROW()-1&lt;=$L$2+$M$2+$N$2+$O$2,IFERROR(INDEX(PROFORMA!$A:$K,ROW()-1-$L$2-$M$2-$N$2+1,1),""),"")))))</f>
        <v>AB_ITNIC_REQ_EMPSHARESCHEME_024</v>
      </c>
      <c r="B180" s="3" t="str">
        <f>IF(ROW()-1&lt;=0,"",IF(ROW()-1&lt;=$L$2,IFERROR(INDEX(MCQ!$A:$K,ROW()-1+1,2),""),IF(ROW()-1&lt;=$L$2+$M$2,IFERROR(INDEX(CLOZE_AB!$A:$K,ROW()-1-$L$2+1,2),""),IF(ROW()-1&lt;=$L$2+$M$2+$N$2,IFERROR(INDEX(CLOZE_LIST!$A:$K,ROW()-1-$L$2-$M$2+1,2),""),IF(ROW()-1&lt;=$L$2+$M$2+$N$2+$O$2,IFERROR(INDEX(PROFORMA!$A:$K,ROW()-1-$L$2-$M$2-$N$2+1,2),""),"")))))</f>
        <v>Income tax &amp; NIC</v>
      </c>
      <c r="C180" s="3" t="str">
        <f>IF(ROW()-1&lt;=0,"",IF(ROW()-1&lt;=$L$2,IFERROR(INDEX(MCQ!$A:$K,ROW()-1+1,3),""),IF(ROW()-1&lt;=$L$2+$M$2,IFERROR(INDEX(CLOZE_AB!$A:$K,ROW()-1-$L$2+1,3),""),IF(ROW()-1&lt;=$L$2+$M$2+$N$2,IFERROR(INDEX(CLOZE_LIST!$A:$K,ROW()-1-$L$2-$M$2+1,3),""),IF(ROW()-1&lt;=$L$2+$M$2+$N$2+$O$2,IFERROR(INDEX(PROFORMA!$A:$K,ROW()-1-$L$2-$M$2-$N$2+1,3),""),"")))))</f>
        <v>requirements</v>
      </c>
      <c r="D180" s="3" t="str">
        <f>IF(ROW()-1&lt;=0,"",IF(ROW()-1&lt;=$L$2,IFERROR(INDEX(MCQ!$A:$K,ROW()-1+1,4),""),IF(ROW()-1&lt;=$L$2+$M$2,IFERROR(INDEX(CLOZE_AB!$A:$K,ROW()-1-$L$2+1,4),""),IF(ROW()-1&lt;=$L$2+$M$2+$N$2,IFERROR(INDEX(CLOZE_LIST!$A:$K,ROW()-1-$L$2-$M$2+1,4),""),IF(ROW()-1&lt;=$L$2+$M$2+$N$2+$O$2,IFERROR(INDEX(PROFORMA!$A:$K,ROW()-1-$L$2-$M$2-$N$2+1,4),""),"")))))</f>
        <v>Employee share schemes</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3</v>
      </c>
      <c r="G180" s="3">
        <f>IF(ROW()-1&lt;=0,"",IF(ROW()-1&lt;=$L$2,IFERROR(INDEX(MCQ!$A:$K,ROW()-1+1,7),""),IF(ROW()-1&lt;=$L$2+$M$2,IFERROR(INDEX(CLOZE_AB!$A:$K,ROW()-1-$L$2+1,7),""),IF(ROW()-1&lt;=$L$2+$M$2+$N$2,IFERROR(INDEX(CLOZE_LIST!$A:$K,ROW()-1-$L$2-$M$2+1,7),""),IF(ROW()-1&lt;=$L$2+$M$2+$N$2+$O$2,IFERROR(INDEX(PROFORMA!$A:$K,ROW()-1-$L$2-$M$2-$N$2+1,7),""),"")))))</f>
        <v>0</v>
      </c>
      <c r="H180" s="3" t="str">
        <f>IF(ROW()-1&lt;=0,"",IF(ROW()-1&lt;=$L$2,IFERROR(INDEX(MCQ!$A:$K,ROW()-1+1,8),""),IF(ROW()-1&lt;=$L$2+$M$2,IFERROR(INDEX(CLOZE_AB!$A:$K,ROW()-1-$L$2+1,8),""),IF(ROW()-1&lt;=$L$2+$M$2+$N$2,IFERROR(INDEX(CLOZE_LIST!$A:$K,ROW()-1-$L$2-$M$2+1,8),""),IF(ROW()-1&lt;=$L$2+$M$2+$N$2+$O$2,IFERROR(INDEX(PROFORMA!$A:$K,ROW()-1-$L$2-$M$2-$N$2+1,8),""),"")))))</f>
        <v>Y</v>
      </c>
      <c r="I180" s="3" t="str">
        <f>IF(ROW()-1&lt;=0,"",IF(ROW()-1&lt;=$L$2,IFERROR(INDEX(MCQ!$A:$K,ROW()-1+1,9),""),IF(ROW()-1&lt;=$L$2+$M$2,IFERROR(INDEX(CLOZE_AB!$A:$K,ROW()-1-$L$2+1,9),""),IF(ROW()-1&lt;=$L$2+$M$2+$N$2,IFERROR(INDEX(CLOZE_LIST!$A:$K,ROW()-1-$L$2-$M$2+1,9),""),IF(ROW()-1&lt;=$L$2+$M$2+$N$2+$O$2,IFERROR(INDEX(PROFORMA!$A:$K,ROW()-1-$L$2-$M$2-$N$2+1,9),""),"")))))</f>
        <v>sip|structure</v>
      </c>
      <c r="J180" s="3" t="str">
        <f>IF(ROW()-1&lt;=0,"",IF(ROW()-1&lt;=$L$2,IFERROR(INDEX(MCQ!$A:$K,ROW()-1+1,10),""),IF(ROW()-1&lt;=$L$2+$M$2,IFERROR(INDEX(CLOZE_AB!$A:$K,ROW()-1-$L$2+1,10),""),IF(ROW()-1&lt;=$L$2+$M$2+$N$2,IFERROR(INDEX(CLOZE_LIST!$A:$K,ROW()-1-$L$2-$M$2+1,10),""),IF(ROW()-1&lt;=$L$2+$M$2+$N$2+$O$2,IFERROR(INDEX(PROFORMA!$A:$K,ROW()-1-$L$2-$M$2-$N$2+1,10),""),"")))))</f>
        <v>user_notes</v>
      </c>
      <c r="K180" s="3">
        <f>IF(ROW()-1&lt;=0,"",IF(ROW()-1&lt;=$L$2,IFERROR(INDEX(MCQ!$A:$K,ROW()-1+1,11),""),IF(ROW()-1&lt;=$L$2+$M$2,IFERROR(INDEX(CLOZE_AB!$A:$K,ROW()-1-$L$2+1,11),""),IF(ROW()-1&lt;=$L$2+$M$2+$N$2,IFERROR(INDEX(CLOZE_LIST!$A:$K,ROW()-1-$L$2-$M$2+1,11),""),IF(ROW()-1&lt;=$L$2+$M$2+$N$2+$O$2,IFERROR(INDEX(PROFORMA!$A:$K,ROW()-1-$L$2-$M$2-$N$2+1,11),""),"")))))</f>
        <v>1</v>
      </c>
      <c r="L180" s="3">
        <f>COUNTA(MCQ!$A:$A)-1</f>
        <v>143</v>
      </c>
      <c r="M180" s="3">
        <f>COUNTA(CLOZE_AB!$A:$A)-1</f>
        <v>168</v>
      </c>
      <c r="N180" s="3">
        <f>COUNTA(CLOZE_LIST!$A:$A)-1</f>
        <v>199</v>
      </c>
      <c r="O180" s="3">
        <f>COUNTA(PROFORMA!$A:$A)-1</f>
        <v>199</v>
      </c>
    </row>
    <row r="181" spans="1:15" ht="28.8" x14ac:dyDescent="0.3">
      <c r="A181" s="3" t="str">
        <f>IF(ROW()-1&lt;=0,"",IF(ROW()-1&lt;=$L$2,IFERROR(INDEX(MCQ!$A:$K,ROW()-1+1,1),""),IF(ROW()-1&lt;=$L$2+$M$2,IFERROR(INDEX(CLOZE_AB!$A:$K,ROW()-1-$L$2+1,1),""),IF(ROW()-1&lt;=$L$2+$M$2+$N$2,IFERROR(INDEX(CLOZE_LIST!$A:$K,ROW()-1-$L$2-$M$2+1,1),""),IF(ROW()-1&lt;=$L$2+$M$2+$N$2+$O$2,IFERROR(INDEX(PROFORMA!$A:$K,ROW()-1-$L$2-$M$2-$N$2+1,1),""),"")))))</f>
        <v>AB_ITNIC_REQ_EMPSHARESCHEME_025</v>
      </c>
      <c r="B181" s="3" t="str">
        <f>IF(ROW()-1&lt;=0,"",IF(ROW()-1&lt;=$L$2,IFERROR(INDEX(MCQ!$A:$K,ROW()-1+1,2),""),IF(ROW()-1&lt;=$L$2+$M$2,IFERROR(INDEX(CLOZE_AB!$A:$K,ROW()-1-$L$2+1,2),""),IF(ROW()-1&lt;=$L$2+$M$2+$N$2,IFERROR(INDEX(CLOZE_LIST!$A:$K,ROW()-1-$L$2-$M$2+1,2),""),IF(ROW()-1&lt;=$L$2+$M$2+$N$2+$O$2,IFERROR(INDEX(PROFORMA!$A:$K,ROW()-1-$L$2-$M$2-$N$2+1,2),""),"")))))</f>
        <v>Income tax &amp; NIC</v>
      </c>
      <c r="C181" s="3" t="str">
        <f>IF(ROW()-1&lt;=0,"",IF(ROW()-1&lt;=$L$2,IFERROR(INDEX(MCQ!$A:$K,ROW()-1+1,3),""),IF(ROW()-1&lt;=$L$2+$M$2,IFERROR(INDEX(CLOZE_AB!$A:$K,ROW()-1-$L$2+1,3),""),IF(ROW()-1&lt;=$L$2+$M$2+$N$2,IFERROR(INDEX(CLOZE_LIST!$A:$K,ROW()-1-$L$2-$M$2+1,3),""),IF(ROW()-1&lt;=$L$2+$M$2+$N$2+$O$2,IFERROR(INDEX(PROFORMA!$A:$K,ROW()-1-$L$2-$M$2-$N$2+1,3),""),"")))))</f>
        <v>requirements</v>
      </c>
      <c r="D181" s="3" t="str">
        <f>IF(ROW()-1&lt;=0,"",IF(ROW()-1&lt;=$L$2,IFERROR(INDEX(MCQ!$A:$K,ROW()-1+1,4),""),IF(ROW()-1&lt;=$L$2+$M$2,IFERROR(INDEX(CLOZE_AB!$A:$K,ROW()-1-$L$2+1,4),""),IF(ROW()-1&lt;=$L$2+$M$2+$N$2,IFERROR(INDEX(CLOZE_LIST!$A:$K,ROW()-1-$L$2-$M$2+1,4),""),IF(ROW()-1&lt;=$L$2+$M$2+$N$2+$O$2,IFERROR(INDEX(PROFORMA!$A:$K,ROW()-1-$L$2-$M$2-$N$2+1,4),""),"")))))</f>
        <v>Employee share schemes</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3</v>
      </c>
      <c r="G181" s="3">
        <f>IF(ROW()-1&lt;=0,"",IF(ROW()-1&lt;=$L$2,IFERROR(INDEX(MCQ!$A:$K,ROW()-1+1,7),""),IF(ROW()-1&lt;=$L$2+$M$2,IFERROR(INDEX(CLOZE_AB!$A:$K,ROW()-1-$L$2+1,7),""),IF(ROW()-1&lt;=$L$2+$M$2+$N$2,IFERROR(INDEX(CLOZE_LIST!$A:$K,ROW()-1-$L$2-$M$2+1,7),""),IF(ROW()-1&lt;=$L$2+$M$2+$N$2+$O$2,IFERROR(INDEX(PROFORMA!$A:$K,ROW()-1-$L$2-$M$2-$N$2+1,7),""),"")))))</f>
        <v>0</v>
      </c>
      <c r="H181" s="3" t="str">
        <f>IF(ROW()-1&lt;=0,"",IF(ROW()-1&lt;=$L$2,IFERROR(INDEX(MCQ!$A:$K,ROW()-1+1,8),""),IF(ROW()-1&lt;=$L$2+$M$2,IFERROR(INDEX(CLOZE_AB!$A:$K,ROW()-1-$L$2+1,8),""),IF(ROW()-1&lt;=$L$2+$M$2+$N$2,IFERROR(INDEX(CLOZE_LIST!$A:$K,ROW()-1-$L$2-$M$2+1,8),""),IF(ROW()-1&lt;=$L$2+$M$2+$N$2+$O$2,IFERROR(INDEX(PROFORMA!$A:$K,ROW()-1-$L$2-$M$2-$N$2+1,8),""),"")))))</f>
        <v>Y</v>
      </c>
      <c r="I181" s="3" t="str">
        <f>IF(ROW()-1&lt;=0,"",IF(ROW()-1&lt;=$L$2,IFERROR(INDEX(MCQ!$A:$K,ROW()-1+1,9),""),IF(ROW()-1&lt;=$L$2+$M$2,IFERROR(INDEX(CLOZE_AB!$A:$K,ROW()-1-$L$2+1,9),""),IF(ROW()-1&lt;=$L$2+$M$2+$N$2,IFERROR(INDEX(CLOZE_LIST!$A:$K,ROW()-1-$L$2-$M$2+1,9),""),IF(ROW()-1&lt;=$L$2+$M$2+$N$2+$O$2,IFERROR(INDEX(PROFORMA!$A:$K,ROW()-1-$L$2-$M$2-$N$2+1,9),""),"")))))</f>
        <v>sip|eligibility</v>
      </c>
      <c r="J181" s="3" t="str">
        <f>IF(ROW()-1&lt;=0,"",IF(ROW()-1&lt;=$L$2,IFERROR(INDEX(MCQ!$A:$K,ROW()-1+1,10),""),IF(ROW()-1&lt;=$L$2+$M$2,IFERROR(INDEX(CLOZE_AB!$A:$K,ROW()-1-$L$2+1,10),""),IF(ROW()-1&lt;=$L$2+$M$2+$N$2,IFERROR(INDEX(CLOZE_LIST!$A:$K,ROW()-1-$L$2-$M$2+1,10),""),IF(ROW()-1&lt;=$L$2+$M$2+$N$2+$O$2,IFERROR(INDEX(PROFORMA!$A:$K,ROW()-1-$L$2-$M$2-$N$2+1,10),""),"")))))</f>
        <v>user_notes</v>
      </c>
      <c r="K181" s="3">
        <f>IF(ROW()-1&lt;=0,"",IF(ROW()-1&lt;=$L$2,IFERROR(INDEX(MCQ!$A:$K,ROW()-1+1,11),""),IF(ROW()-1&lt;=$L$2+$M$2,IFERROR(INDEX(CLOZE_AB!$A:$K,ROW()-1-$L$2+1,11),""),IF(ROW()-1&lt;=$L$2+$M$2+$N$2,IFERROR(INDEX(CLOZE_LIST!$A:$K,ROW()-1-$L$2-$M$2+1,11),""),IF(ROW()-1&lt;=$L$2+$M$2+$N$2+$O$2,IFERROR(INDEX(PROFORMA!$A:$K,ROW()-1-$L$2-$M$2-$N$2+1,11),""),"")))))</f>
        <v>1</v>
      </c>
      <c r="L181" s="3">
        <f>COUNTA(MCQ!$A:$A)-1</f>
        <v>143</v>
      </c>
      <c r="M181" s="3">
        <f>COUNTA(CLOZE_AB!$A:$A)-1</f>
        <v>168</v>
      </c>
      <c r="N181" s="3">
        <f>COUNTA(CLOZE_LIST!$A:$A)-1</f>
        <v>199</v>
      </c>
      <c r="O181" s="3">
        <f>COUNTA(PROFORMA!$A:$A)-1</f>
        <v>199</v>
      </c>
    </row>
    <row r="182" spans="1:15" ht="28.8" x14ac:dyDescent="0.3">
      <c r="A182" s="3" t="str">
        <f>IF(ROW()-1&lt;=0,"",IF(ROW()-1&lt;=$L$2,IFERROR(INDEX(MCQ!$A:$K,ROW()-1+1,1),""),IF(ROW()-1&lt;=$L$2+$M$2,IFERROR(INDEX(CLOZE_AB!$A:$K,ROW()-1-$L$2+1,1),""),IF(ROW()-1&lt;=$L$2+$M$2+$N$2,IFERROR(INDEX(CLOZE_LIST!$A:$K,ROW()-1-$L$2-$M$2+1,1),""),IF(ROW()-1&lt;=$L$2+$M$2+$N$2+$O$2,IFERROR(INDEX(PROFORMA!$A:$K,ROW()-1-$L$2-$M$2-$N$2+1,1),""),"")))))</f>
        <v>AB_ITNIC_REQ_EMPSHARESCHEME_026</v>
      </c>
      <c r="B182" s="3" t="str">
        <f>IF(ROW()-1&lt;=0,"",IF(ROW()-1&lt;=$L$2,IFERROR(INDEX(MCQ!$A:$K,ROW()-1+1,2),""),IF(ROW()-1&lt;=$L$2+$M$2,IFERROR(INDEX(CLOZE_AB!$A:$K,ROW()-1-$L$2+1,2),""),IF(ROW()-1&lt;=$L$2+$M$2+$N$2,IFERROR(INDEX(CLOZE_LIST!$A:$K,ROW()-1-$L$2-$M$2+1,2),""),IF(ROW()-1&lt;=$L$2+$M$2+$N$2+$O$2,IFERROR(INDEX(PROFORMA!$A:$K,ROW()-1-$L$2-$M$2-$N$2+1,2),""),"")))))</f>
        <v>Income tax &amp; NIC</v>
      </c>
      <c r="C182" s="3" t="str">
        <f>IF(ROW()-1&lt;=0,"",IF(ROW()-1&lt;=$L$2,IFERROR(INDEX(MCQ!$A:$K,ROW()-1+1,3),""),IF(ROW()-1&lt;=$L$2+$M$2,IFERROR(INDEX(CLOZE_AB!$A:$K,ROW()-1-$L$2+1,3),""),IF(ROW()-1&lt;=$L$2+$M$2+$N$2,IFERROR(INDEX(CLOZE_LIST!$A:$K,ROW()-1-$L$2-$M$2+1,3),""),IF(ROW()-1&lt;=$L$2+$M$2+$N$2+$O$2,IFERROR(INDEX(PROFORMA!$A:$K,ROW()-1-$L$2-$M$2-$N$2+1,3),""),"")))))</f>
        <v>requirements</v>
      </c>
      <c r="D182" s="3" t="str">
        <f>IF(ROW()-1&lt;=0,"",IF(ROW()-1&lt;=$L$2,IFERROR(INDEX(MCQ!$A:$K,ROW()-1+1,4),""),IF(ROW()-1&lt;=$L$2+$M$2,IFERROR(INDEX(CLOZE_AB!$A:$K,ROW()-1-$L$2+1,4),""),IF(ROW()-1&lt;=$L$2+$M$2+$N$2,IFERROR(INDEX(CLOZE_LIST!$A:$K,ROW()-1-$L$2-$M$2+1,4),""),IF(ROW()-1&lt;=$L$2+$M$2+$N$2+$O$2,IFERROR(INDEX(PROFORMA!$A:$K,ROW()-1-$L$2-$M$2-$N$2+1,4),""),"")))))</f>
        <v>Employee share schemes</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3</v>
      </c>
      <c r="G182" s="3">
        <f>IF(ROW()-1&lt;=0,"",IF(ROW()-1&lt;=$L$2,IFERROR(INDEX(MCQ!$A:$K,ROW()-1+1,7),""),IF(ROW()-1&lt;=$L$2+$M$2,IFERROR(INDEX(CLOZE_AB!$A:$K,ROW()-1-$L$2+1,7),""),IF(ROW()-1&lt;=$L$2+$M$2+$N$2,IFERROR(INDEX(CLOZE_LIST!$A:$K,ROW()-1-$L$2-$M$2+1,7),""),IF(ROW()-1&lt;=$L$2+$M$2+$N$2+$O$2,IFERROR(INDEX(PROFORMA!$A:$K,ROW()-1-$L$2-$M$2-$N$2+1,7),""),"")))))</f>
        <v>0</v>
      </c>
      <c r="H182" s="3" t="str">
        <f>IF(ROW()-1&lt;=0,"",IF(ROW()-1&lt;=$L$2,IFERROR(INDEX(MCQ!$A:$K,ROW()-1+1,8),""),IF(ROW()-1&lt;=$L$2+$M$2,IFERROR(INDEX(CLOZE_AB!$A:$K,ROW()-1-$L$2+1,8),""),IF(ROW()-1&lt;=$L$2+$M$2+$N$2,IFERROR(INDEX(CLOZE_LIST!$A:$K,ROW()-1-$L$2-$M$2+1,8),""),IF(ROW()-1&lt;=$L$2+$M$2+$N$2+$O$2,IFERROR(INDEX(PROFORMA!$A:$K,ROW()-1-$L$2-$M$2-$N$2+1,8),""),"")))))</f>
        <v>Y</v>
      </c>
      <c r="I182" s="3" t="str">
        <f>IF(ROW()-1&lt;=0,"",IF(ROW()-1&lt;=$L$2,IFERROR(INDEX(MCQ!$A:$K,ROW()-1+1,9),""),IF(ROW()-1&lt;=$L$2+$M$2,IFERROR(INDEX(CLOZE_AB!$A:$K,ROW()-1-$L$2+1,9),""),IF(ROW()-1&lt;=$L$2+$M$2+$N$2,IFERROR(INDEX(CLOZE_LIST!$A:$K,ROW()-1-$L$2-$M$2+1,9),""),IF(ROW()-1&lt;=$L$2+$M$2+$N$2+$O$2,IFERROR(INDEX(PROFORMA!$A:$K,ROW()-1-$L$2-$M$2-$N$2+1,9),""),"")))))</f>
        <v>sip|company</v>
      </c>
      <c r="J182" s="3" t="str">
        <f>IF(ROW()-1&lt;=0,"",IF(ROW()-1&lt;=$L$2,IFERROR(INDEX(MCQ!$A:$K,ROW()-1+1,10),""),IF(ROW()-1&lt;=$L$2+$M$2,IFERROR(INDEX(CLOZE_AB!$A:$K,ROW()-1-$L$2+1,10),""),IF(ROW()-1&lt;=$L$2+$M$2+$N$2,IFERROR(INDEX(CLOZE_LIST!$A:$K,ROW()-1-$L$2-$M$2+1,10),""),IF(ROW()-1&lt;=$L$2+$M$2+$N$2+$O$2,IFERROR(INDEX(PROFORMA!$A:$K,ROW()-1-$L$2-$M$2-$N$2+1,10),""),"")))))</f>
        <v>user_notes</v>
      </c>
      <c r="K182" s="3">
        <f>IF(ROW()-1&lt;=0,"",IF(ROW()-1&lt;=$L$2,IFERROR(INDEX(MCQ!$A:$K,ROW()-1+1,11),""),IF(ROW()-1&lt;=$L$2+$M$2,IFERROR(INDEX(CLOZE_AB!$A:$K,ROW()-1-$L$2+1,11),""),IF(ROW()-1&lt;=$L$2+$M$2+$N$2,IFERROR(INDEX(CLOZE_LIST!$A:$K,ROW()-1-$L$2-$M$2+1,11),""),IF(ROW()-1&lt;=$L$2+$M$2+$N$2+$O$2,IFERROR(INDEX(PROFORMA!$A:$K,ROW()-1-$L$2-$M$2-$N$2+1,11),""),"")))))</f>
        <v>1</v>
      </c>
      <c r="L182" s="3">
        <f>COUNTA(MCQ!$A:$A)-1</f>
        <v>143</v>
      </c>
      <c r="M182" s="3">
        <f>COUNTA(CLOZE_AB!$A:$A)-1</f>
        <v>168</v>
      </c>
      <c r="N182" s="3">
        <f>COUNTA(CLOZE_LIST!$A:$A)-1</f>
        <v>199</v>
      </c>
      <c r="O182" s="3">
        <f>COUNTA(PROFORMA!$A:$A)-1</f>
        <v>199</v>
      </c>
    </row>
    <row r="183" spans="1:15" ht="28.8" x14ac:dyDescent="0.3">
      <c r="A183" s="3" t="str">
        <f>IF(ROW()-1&lt;=0,"",IF(ROW()-1&lt;=$L$2,IFERROR(INDEX(MCQ!$A:$K,ROW()-1+1,1),""),IF(ROW()-1&lt;=$L$2+$M$2,IFERROR(INDEX(CLOZE_AB!$A:$K,ROW()-1-$L$2+1,1),""),IF(ROW()-1&lt;=$L$2+$M$2+$N$2,IFERROR(INDEX(CLOZE_LIST!$A:$K,ROW()-1-$L$2-$M$2+1,1),""),IF(ROW()-1&lt;=$L$2+$M$2+$N$2+$O$2,IFERROR(INDEX(PROFORMA!$A:$K,ROW()-1-$L$2-$M$2-$N$2+1,1),""),"")))))</f>
        <v>AB_ITNIC_REQ_EMPSHARESCHEME_027</v>
      </c>
      <c r="B183" s="3" t="str">
        <f>IF(ROW()-1&lt;=0,"",IF(ROW()-1&lt;=$L$2,IFERROR(INDEX(MCQ!$A:$K,ROW()-1+1,2),""),IF(ROW()-1&lt;=$L$2+$M$2,IFERROR(INDEX(CLOZE_AB!$A:$K,ROW()-1-$L$2+1,2),""),IF(ROW()-1&lt;=$L$2+$M$2+$N$2,IFERROR(INDEX(CLOZE_LIST!$A:$K,ROW()-1-$L$2-$M$2+1,2),""),IF(ROW()-1&lt;=$L$2+$M$2+$N$2+$O$2,IFERROR(INDEX(PROFORMA!$A:$K,ROW()-1-$L$2-$M$2-$N$2+1,2),""),"")))))</f>
        <v>Income tax &amp; NIC</v>
      </c>
      <c r="C183" s="3" t="str">
        <f>IF(ROW()-1&lt;=0,"",IF(ROW()-1&lt;=$L$2,IFERROR(INDEX(MCQ!$A:$K,ROW()-1+1,3),""),IF(ROW()-1&lt;=$L$2+$M$2,IFERROR(INDEX(CLOZE_AB!$A:$K,ROW()-1-$L$2+1,3),""),IF(ROW()-1&lt;=$L$2+$M$2+$N$2,IFERROR(INDEX(CLOZE_LIST!$A:$K,ROW()-1-$L$2-$M$2+1,3),""),IF(ROW()-1&lt;=$L$2+$M$2+$N$2+$O$2,IFERROR(INDEX(PROFORMA!$A:$K,ROW()-1-$L$2-$M$2-$N$2+1,3),""),"")))))</f>
        <v>requirements</v>
      </c>
      <c r="D183" s="3" t="str">
        <f>IF(ROW()-1&lt;=0,"",IF(ROW()-1&lt;=$L$2,IFERROR(INDEX(MCQ!$A:$K,ROW()-1+1,4),""),IF(ROW()-1&lt;=$L$2+$M$2,IFERROR(INDEX(CLOZE_AB!$A:$K,ROW()-1-$L$2+1,4),""),IF(ROW()-1&lt;=$L$2+$M$2+$N$2,IFERROR(INDEX(CLOZE_LIST!$A:$K,ROW()-1-$L$2-$M$2+1,4),""),IF(ROW()-1&lt;=$L$2+$M$2+$N$2+$O$2,IFERROR(INDEX(PROFORMA!$A:$K,ROW()-1-$L$2-$M$2-$N$2+1,4),""),"")))))</f>
        <v>Employee share schemes</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3</v>
      </c>
      <c r="G183" s="3">
        <f>IF(ROW()-1&lt;=0,"",IF(ROW()-1&lt;=$L$2,IFERROR(INDEX(MCQ!$A:$K,ROW()-1+1,7),""),IF(ROW()-1&lt;=$L$2+$M$2,IFERROR(INDEX(CLOZE_AB!$A:$K,ROW()-1-$L$2+1,7),""),IF(ROW()-1&lt;=$L$2+$M$2+$N$2,IFERROR(INDEX(CLOZE_LIST!$A:$K,ROW()-1-$L$2-$M$2+1,7),""),IF(ROW()-1&lt;=$L$2+$M$2+$N$2+$O$2,IFERROR(INDEX(PROFORMA!$A:$K,ROW()-1-$L$2-$M$2-$N$2+1,7),""),"")))))</f>
        <v>0</v>
      </c>
      <c r="H183" s="3" t="str">
        <f>IF(ROW()-1&lt;=0,"",IF(ROW()-1&lt;=$L$2,IFERROR(INDEX(MCQ!$A:$K,ROW()-1+1,8),""),IF(ROW()-1&lt;=$L$2+$M$2,IFERROR(INDEX(CLOZE_AB!$A:$K,ROW()-1-$L$2+1,8),""),IF(ROW()-1&lt;=$L$2+$M$2+$N$2,IFERROR(INDEX(CLOZE_LIST!$A:$K,ROW()-1-$L$2-$M$2+1,8),""),IF(ROW()-1&lt;=$L$2+$M$2+$N$2+$O$2,IFERROR(INDEX(PROFORMA!$A:$K,ROW()-1-$L$2-$M$2-$N$2+1,8),""),"")))))</f>
        <v>Y</v>
      </c>
      <c r="I183" s="3" t="str">
        <f>IF(ROW()-1&lt;=0,"",IF(ROW()-1&lt;=$L$2,IFERROR(INDEX(MCQ!$A:$K,ROW()-1+1,9),""),IF(ROW()-1&lt;=$L$2+$M$2,IFERROR(INDEX(CLOZE_AB!$A:$K,ROW()-1-$L$2+1,9),""),IF(ROW()-1&lt;=$L$2+$M$2+$N$2,IFERROR(INDEX(CLOZE_LIST!$A:$K,ROW()-1-$L$2-$M$2+1,9),""),IF(ROW()-1&lt;=$L$2+$M$2+$N$2+$O$2,IFERROR(INDEX(PROFORMA!$A:$K,ROW()-1-$L$2-$M$2-$N$2+1,9),""),"")))))</f>
        <v>sip|free</v>
      </c>
      <c r="J183" s="3" t="str">
        <f>IF(ROW()-1&lt;=0,"",IF(ROW()-1&lt;=$L$2,IFERROR(INDEX(MCQ!$A:$K,ROW()-1+1,10),""),IF(ROW()-1&lt;=$L$2+$M$2,IFERROR(INDEX(CLOZE_AB!$A:$K,ROW()-1-$L$2+1,10),""),IF(ROW()-1&lt;=$L$2+$M$2+$N$2,IFERROR(INDEX(CLOZE_LIST!$A:$K,ROW()-1-$L$2-$M$2+1,10),""),IF(ROW()-1&lt;=$L$2+$M$2+$N$2+$O$2,IFERROR(INDEX(PROFORMA!$A:$K,ROW()-1-$L$2-$M$2-$N$2+1,10),""),"")))))</f>
        <v>user_notes</v>
      </c>
      <c r="K183" s="3">
        <f>IF(ROW()-1&lt;=0,"",IF(ROW()-1&lt;=$L$2,IFERROR(INDEX(MCQ!$A:$K,ROW()-1+1,11),""),IF(ROW()-1&lt;=$L$2+$M$2,IFERROR(INDEX(CLOZE_AB!$A:$K,ROW()-1-$L$2+1,11),""),IF(ROW()-1&lt;=$L$2+$M$2+$N$2,IFERROR(INDEX(CLOZE_LIST!$A:$K,ROW()-1-$L$2-$M$2+1,11),""),IF(ROW()-1&lt;=$L$2+$M$2+$N$2+$O$2,IFERROR(INDEX(PROFORMA!$A:$K,ROW()-1-$L$2-$M$2-$N$2+1,11),""),"")))))</f>
        <v>1</v>
      </c>
      <c r="L183" s="3">
        <f>COUNTA(MCQ!$A:$A)-1</f>
        <v>143</v>
      </c>
      <c r="M183" s="3">
        <f>COUNTA(CLOZE_AB!$A:$A)-1</f>
        <v>168</v>
      </c>
      <c r="N183" s="3">
        <f>COUNTA(CLOZE_LIST!$A:$A)-1</f>
        <v>199</v>
      </c>
      <c r="O183" s="3">
        <f>COUNTA(PROFORMA!$A:$A)-1</f>
        <v>199</v>
      </c>
    </row>
    <row r="184" spans="1:15" ht="28.8" x14ac:dyDescent="0.3">
      <c r="A184" s="3" t="str">
        <f>IF(ROW()-1&lt;=0,"",IF(ROW()-1&lt;=$L$2,IFERROR(INDEX(MCQ!$A:$K,ROW()-1+1,1),""),IF(ROW()-1&lt;=$L$2+$M$2,IFERROR(INDEX(CLOZE_AB!$A:$K,ROW()-1-$L$2+1,1),""),IF(ROW()-1&lt;=$L$2+$M$2+$N$2,IFERROR(INDEX(CLOZE_LIST!$A:$K,ROW()-1-$L$2-$M$2+1,1),""),IF(ROW()-1&lt;=$L$2+$M$2+$N$2+$O$2,IFERROR(INDEX(PROFORMA!$A:$K,ROW()-1-$L$2-$M$2-$N$2+1,1),""),"")))))</f>
        <v>AB_ITNIC_REQ_EMPSHARESCHEME_028</v>
      </c>
      <c r="B184" s="3" t="str">
        <f>IF(ROW()-1&lt;=0,"",IF(ROW()-1&lt;=$L$2,IFERROR(INDEX(MCQ!$A:$K,ROW()-1+1,2),""),IF(ROW()-1&lt;=$L$2+$M$2,IFERROR(INDEX(CLOZE_AB!$A:$K,ROW()-1-$L$2+1,2),""),IF(ROW()-1&lt;=$L$2+$M$2+$N$2,IFERROR(INDEX(CLOZE_LIST!$A:$K,ROW()-1-$L$2-$M$2+1,2),""),IF(ROW()-1&lt;=$L$2+$M$2+$N$2+$O$2,IFERROR(INDEX(PROFORMA!$A:$K,ROW()-1-$L$2-$M$2-$N$2+1,2),""),"")))))</f>
        <v>Income tax &amp; NIC</v>
      </c>
      <c r="C184" s="3" t="str">
        <f>IF(ROW()-1&lt;=0,"",IF(ROW()-1&lt;=$L$2,IFERROR(INDEX(MCQ!$A:$K,ROW()-1+1,3),""),IF(ROW()-1&lt;=$L$2+$M$2,IFERROR(INDEX(CLOZE_AB!$A:$K,ROW()-1-$L$2+1,3),""),IF(ROW()-1&lt;=$L$2+$M$2+$N$2,IFERROR(INDEX(CLOZE_LIST!$A:$K,ROW()-1-$L$2-$M$2+1,3),""),IF(ROW()-1&lt;=$L$2+$M$2+$N$2+$O$2,IFERROR(INDEX(PROFORMA!$A:$K,ROW()-1-$L$2-$M$2-$N$2+1,3),""),"")))))</f>
        <v>requirements</v>
      </c>
      <c r="D184" s="3" t="str">
        <f>IF(ROW()-1&lt;=0,"",IF(ROW()-1&lt;=$L$2,IFERROR(INDEX(MCQ!$A:$K,ROW()-1+1,4),""),IF(ROW()-1&lt;=$L$2+$M$2,IFERROR(INDEX(CLOZE_AB!$A:$K,ROW()-1-$L$2+1,4),""),IF(ROW()-1&lt;=$L$2+$M$2+$N$2,IFERROR(INDEX(CLOZE_LIST!$A:$K,ROW()-1-$L$2-$M$2+1,4),""),IF(ROW()-1&lt;=$L$2+$M$2+$N$2+$O$2,IFERROR(INDEX(PROFORMA!$A:$K,ROW()-1-$L$2-$M$2-$N$2+1,4),""),"")))))</f>
        <v>Employee share schemes</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3</v>
      </c>
      <c r="G184" s="3">
        <f>IF(ROW()-1&lt;=0,"",IF(ROW()-1&lt;=$L$2,IFERROR(INDEX(MCQ!$A:$K,ROW()-1+1,7),""),IF(ROW()-1&lt;=$L$2+$M$2,IFERROR(INDEX(CLOZE_AB!$A:$K,ROW()-1-$L$2+1,7),""),IF(ROW()-1&lt;=$L$2+$M$2+$N$2,IFERROR(INDEX(CLOZE_LIST!$A:$K,ROW()-1-$L$2-$M$2+1,7),""),IF(ROW()-1&lt;=$L$2+$M$2+$N$2+$O$2,IFERROR(INDEX(PROFORMA!$A:$K,ROW()-1-$L$2-$M$2-$N$2+1,7),""),"")))))</f>
        <v>0</v>
      </c>
      <c r="H184" s="3" t="str">
        <f>IF(ROW()-1&lt;=0,"",IF(ROW()-1&lt;=$L$2,IFERROR(INDEX(MCQ!$A:$K,ROW()-1+1,8),""),IF(ROW()-1&lt;=$L$2+$M$2,IFERROR(INDEX(CLOZE_AB!$A:$K,ROW()-1-$L$2+1,8),""),IF(ROW()-1&lt;=$L$2+$M$2+$N$2,IFERROR(INDEX(CLOZE_LIST!$A:$K,ROW()-1-$L$2-$M$2+1,8),""),IF(ROW()-1&lt;=$L$2+$M$2+$N$2+$O$2,IFERROR(INDEX(PROFORMA!$A:$K,ROW()-1-$L$2-$M$2-$N$2+1,8),""),"")))))</f>
        <v>Y</v>
      </c>
      <c r="I184" s="3" t="str">
        <f>IF(ROW()-1&lt;=0,"",IF(ROW()-1&lt;=$L$2,IFERROR(INDEX(MCQ!$A:$K,ROW()-1+1,9),""),IF(ROW()-1&lt;=$L$2+$M$2,IFERROR(INDEX(CLOZE_AB!$A:$K,ROW()-1-$L$2+1,9),""),IF(ROW()-1&lt;=$L$2+$M$2+$N$2,IFERROR(INDEX(CLOZE_LIST!$A:$K,ROW()-1-$L$2-$M$2+1,9),""),IF(ROW()-1&lt;=$L$2+$M$2+$N$2+$O$2,IFERROR(INDEX(PROFORMA!$A:$K,ROW()-1-$L$2-$M$2-$N$2+1,9),""),"")))))</f>
        <v>sip|partnership</v>
      </c>
      <c r="J184" s="3" t="str">
        <f>IF(ROW()-1&lt;=0,"",IF(ROW()-1&lt;=$L$2,IFERROR(INDEX(MCQ!$A:$K,ROW()-1+1,10),""),IF(ROW()-1&lt;=$L$2+$M$2,IFERROR(INDEX(CLOZE_AB!$A:$K,ROW()-1-$L$2+1,10),""),IF(ROW()-1&lt;=$L$2+$M$2+$N$2,IFERROR(INDEX(CLOZE_LIST!$A:$K,ROW()-1-$L$2-$M$2+1,10),""),IF(ROW()-1&lt;=$L$2+$M$2+$N$2+$O$2,IFERROR(INDEX(PROFORMA!$A:$K,ROW()-1-$L$2-$M$2-$N$2+1,10),""),"")))))</f>
        <v>user_notes</v>
      </c>
      <c r="K184" s="3">
        <f>IF(ROW()-1&lt;=0,"",IF(ROW()-1&lt;=$L$2,IFERROR(INDEX(MCQ!$A:$K,ROW()-1+1,11),""),IF(ROW()-1&lt;=$L$2+$M$2,IFERROR(INDEX(CLOZE_AB!$A:$K,ROW()-1-$L$2+1,11),""),IF(ROW()-1&lt;=$L$2+$M$2+$N$2,IFERROR(INDEX(CLOZE_LIST!$A:$K,ROW()-1-$L$2-$M$2+1,11),""),IF(ROW()-1&lt;=$L$2+$M$2+$N$2+$O$2,IFERROR(INDEX(PROFORMA!$A:$K,ROW()-1-$L$2-$M$2-$N$2+1,11),""),"")))))</f>
        <v>1</v>
      </c>
      <c r="L184" s="3">
        <f>COUNTA(MCQ!$A:$A)-1</f>
        <v>143</v>
      </c>
      <c r="M184" s="3">
        <f>COUNTA(CLOZE_AB!$A:$A)-1</f>
        <v>168</v>
      </c>
      <c r="N184" s="3">
        <f>COUNTA(CLOZE_LIST!$A:$A)-1</f>
        <v>199</v>
      </c>
      <c r="O184" s="3">
        <f>COUNTA(PROFORMA!$A:$A)-1</f>
        <v>199</v>
      </c>
    </row>
    <row r="185" spans="1:15" ht="28.8" x14ac:dyDescent="0.3">
      <c r="A185" s="3" t="str">
        <f>IF(ROW()-1&lt;=0,"",IF(ROW()-1&lt;=$L$2,IFERROR(INDEX(MCQ!$A:$K,ROW()-1+1,1),""),IF(ROW()-1&lt;=$L$2+$M$2,IFERROR(INDEX(CLOZE_AB!$A:$K,ROW()-1-$L$2+1,1),""),IF(ROW()-1&lt;=$L$2+$M$2+$N$2,IFERROR(INDEX(CLOZE_LIST!$A:$K,ROW()-1-$L$2-$M$2+1,1),""),IF(ROW()-1&lt;=$L$2+$M$2+$N$2+$O$2,IFERROR(INDEX(PROFORMA!$A:$K,ROW()-1-$L$2-$M$2-$N$2+1,1),""),"")))))</f>
        <v>AB_ITNIC_REQ_EMPSHARESCHEME_029</v>
      </c>
      <c r="B185" s="3" t="str">
        <f>IF(ROW()-1&lt;=0,"",IF(ROW()-1&lt;=$L$2,IFERROR(INDEX(MCQ!$A:$K,ROW()-1+1,2),""),IF(ROW()-1&lt;=$L$2+$M$2,IFERROR(INDEX(CLOZE_AB!$A:$K,ROW()-1-$L$2+1,2),""),IF(ROW()-1&lt;=$L$2+$M$2+$N$2,IFERROR(INDEX(CLOZE_LIST!$A:$K,ROW()-1-$L$2-$M$2+1,2),""),IF(ROW()-1&lt;=$L$2+$M$2+$N$2+$O$2,IFERROR(INDEX(PROFORMA!$A:$K,ROW()-1-$L$2-$M$2-$N$2+1,2),""),"")))))</f>
        <v>Income tax &amp; NIC</v>
      </c>
      <c r="C185" s="3" t="str">
        <f>IF(ROW()-1&lt;=0,"",IF(ROW()-1&lt;=$L$2,IFERROR(INDEX(MCQ!$A:$K,ROW()-1+1,3),""),IF(ROW()-1&lt;=$L$2+$M$2,IFERROR(INDEX(CLOZE_AB!$A:$K,ROW()-1-$L$2+1,3),""),IF(ROW()-1&lt;=$L$2+$M$2+$N$2,IFERROR(INDEX(CLOZE_LIST!$A:$K,ROW()-1-$L$2-$M$2+1,3),""),IF(ROW()-1&lt;=$L$2+$M$2+$N$2+$O$2,IFERROR(INDEX(PROFORMA!$A:$K,ROW()-1-$L$2-$M$2-$N$2+1,3),""),"")))))</f>
        <v>requirements</v>
      </c>
      <c r="D185" s="3" t="str">
        <f>IF(ROW()-1&lt;=0,"",IF(ROW()-1&lt;=$L$2,IFERROR(INDEX(MCQ!$A:$K,ROW()-1+1,4),""),IF(ROW()-1&lt;=$L$2+$M$2,IFERROR(INDEX(CLOZE_AB!$A:$K,ROW()-1-$L$2+1,4),""),IF(ROW()-1&lt;=$L$2+$M$2+$N$2,IFERROR(INDEX(CLOZE_LIST!$A:$K,ROW()-1-$L$2-$M$2+1,4),""),IF(ROW()-1&lt;=$L$2+$M$2+$N$2+$O$2,IFERROR(INDEX(PROFORMA!$A:$K,ROW()-1-$L$2-$M$2-$N$2+1,4),""),"")))))</f>
        <v>Employee share schemes</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3</v>
      </c>
      <c r="G185" s="3">
        <f>IF(ROW()-1&lt;=0,"",IF(ROW()-1&lt;=$L$2,IFERROR(INDEX(MCQ!$A:$K,ROW()-1+1,7),""),IF(ROW()-1&lt;=$L$2+$M$2,IFERROR(INDEX(CLOZE_AB!$A:$K,ROW()-1-$L$2+1,7),""),IF(ROW()-1&lt;=$L$2+$M$2+$N$2,IFERROR(INDEX(CLOZE_LIST!$A:$K,ROW()-1-$L$2-$M$2+1,7),""),IF(ROW()-1&lt;=$L$2+$M$2+$N$2+$O$2,IFERROR(INDEX(PROFORMA!$A:$K,ROW()-1-$L$2-$M$2-$N$2+1,7),""),"")))))</f>
        <v>0</v>
      </c>
      <c r="H185" s="3" t="str">
        <f>IF(ROW()-1&lt;=0,"",IF(ROW()-1&lt;=$L$2,IFERROR(INDEX(MCQ!$A:$K,ROW()-1+1,8),""),IF(ROW()-1&lt;=$L$2+$M$2,IFERROR(INDEX(CLOZE_AB!$A:$K,ROW()-1-$L$2+1,8),""),IF(ROW()-1&lt;=$L$2+$M$2+$N$2,IFERROR(INDEX(CLOZE_LIST!$A:$K,ROW()-1-$L$2-$M$2+1,8),""),IF(ROW()-1&lt;=$L$2+$M$2+$N$2+$O$2,IFERROR(INDEX(PROFORMA!$A:$K,ROW()-1-$L$2-$M$2-$N$2+1,8),""),"")))))</f>
        <v>Y</v>
      </c>
      <c r="I185" s="3" t="str">
        <f>IF(ROW()-1&lt;=0,"",IF(ROW()-1&lt;=$L$2,IFERROR(INDEX(MCQ!$A:$K,ROW()-1+1,9),""),IF(ROW()-1&lt;=$L$2+$M$2,IFERROR(INDEX(CLOZE_AB!$A:$K,ROW()-1-$L$2+1,9),""),IF(ROW()-1&lt;=$L$2+$M$2+$N$2,IFERROR(INDEX(CLOZE_LIST!$A:$K,ROW()-1-$L$2-$M$2+1,9),""),IF(ROW()-1&lt;=$L$2+$M$2+$N$2+$O$2,IFERROR(INDEX(PROFORMA!$A:$K,ROW()-1-$L$2-$M$2-$N$2+1,9),""),"")))))</f>
        <v>sip|matching</v>
      </c>
      <c r="J185" s="3" t="str">
        <f>IF(ROW()-1&lt;=0,"",IF(ROW()-1&lt;=$L$2,IFERROR(INDEX(MCQ!$A:$K,ROW()-1+1,10),""),IF(ROW()-1&lt;=$L$2+$M$2,IFERROR(INDEX(CLOZE_AB!$A:$K,ROW()-1-$L$2+1,10),""),IF(ROW()-1&lt;=$L$2+$M$2+$N$2,IFERROR(INDEX(CLOZE_LIST!$A:$K,ROW()-1-$L$2-$M$2+1,10),""),IF(ROW()-1&lt;=$L$2+$M$2+$N$2+$O$2,IFERROR(INDEX(PROFORMA!$A:$K,ROW()-1-$L$2-$M$2-$N$2+1,10),""),"")))))</f>
        <v>user_notes</v>
      </c>
      <c r="K185" s="3">
        <f>IF(ROW()-1&lt;=0,"",IF(ROW()-1&lt;=$L$2,IFERROR(INDEX(MCQ!$A:$K,ROW()-1+1,11),""),IF(ROW()-1&lt;=$L$2+$M$2,IFERROR(INDEX(CLOZE_AB!$A:$K,ROW()-1-$L$2+1,11),""),IF(ROW()-1&lt;=$L$2+$M$2+$N$2,IFERROR(INDEX(CLOZE_LIST!$A:$K,ROW()-1-$L$2-$M$2+1,11),""),IF(ROW()-1&lt;=$L$2+$M$2+$N$2+$O$2,IFERROR(INDEX(PROFORMA!$A:$K,ROW()-1-$L$2-$M$2-$N$2+1,11),""),"")))))</f>
        <v>1</v>
      </c>
      <c r="L185" s="3">
        <f>COUNTA(MCQ!$A:$A)-1</f>
        <v>143</v>
      </c>
      <c r="M185" s="3">
        <f>COUNTA(CLOZE_AB!$A:$A)-1</f>
        <v>168</v>
      </c>
      <c r="N185" s="3">
        <f>COUNTA(CLOZE_LIST!$A:$A)-1</f>
        <v>199</v>
      </c>
      <c r="O185" s="3">
        <f>COUNTA(PROFORMA!$A:$A)-1</f>
        <v>199</v>
      </c>
    </row>
    <row r="186" spans="1:15" ht="28.8" x14ac:dyDescent="0.3">
      <c r="A186" s="3" t="str">
        <f>IF(ROW()-1&lt;=0,"",IF(ROW()-1&lt;=$L$2,IFERROR(INDEX(MCQ!$A:$K,ROW()-1+1,1),""),IF(ROW()-1&lt;=$L$2+$M$2,IFERROR(INDEX(CLOZE_AB!$A:$K,ROW()-1-$L$2+1,1),""),IF(ROW()-1&lt;=$L$2+$M$2+$N$2,IFERROR(INDEX(CLOZE_LIST!$A:$K,ROW()-1-$L$2-$M$2+1,1),""),IF(ROW()-1&lt;=$L$2+$M$2+$N$2+$O$2,IFERROR(INDEX(PROFORMA!$A:$K,ROW()-1-$L$2-$M$2-$N$2+1,1),""),"")))))</f>
        <v>AB_ITNIC_REQ_EMPSHARESCHEME_030</v>
      </c>
      <c r="B186" s="3" t="str">
        <f>IF(ROW()-1&lt;=0,"",IF(ROW()-1&lt;=$L$2,IFERROR(INDEX(MCQ!$A:$K,ROW()-1+1,2),""),IF(ROW()-1&lt;=$L$2+$M$2,IFERROR(INDEX(CLOZE_AB!$A:$K,ROW()-1-$L$2+1,2),""),IF(ROW()-1&lt;=$L$2+$M$2+$N$2,IFERROR(INDEX(CLOZE_LIST!$A:$K,ROW()-1-$L$2-$M$2+1,2),""),IF(ROW()-1&lt;=$L$2+$M$2+$N$2+$O$2,IFERROR(INDEX(PROFORMA!$A:$K,ROW()-1-$L$2-$M$2-$N$2+1,2),""),"")))))</f>
        <v>Income tax &amp; NIC</v>
      </c>
      <c r="C186" s="3" t="str">
        <f>IF(ROW()-1&lt;=0,"",IF(ROW()-1&lt;=$L$2,IFERROR(INDEX(MCQ!$A:$K,ROW()-1+1,3),""),IF(ROW()-1&lt;=$L$2+$M$2,IFERROR(INDEX(CLOZE_AB!$A:$K,ROW()-1-$L$2+1,3),""),IF(ROW()-1&lt;=$L$2+$M$2+$N$2,IFERROR(INDEX(CLOZE_LIST!$A:$K,ROW()-1-$L$2-$M$2+1,3),""),IF(ROW()-1&lt;=$L$2+$M$2+$N$2+$O$2,IFERROR(INDEX(PROFORMA!$A:$K,ROW()-1-$L$2-$M$2-$N$2+1,3),""),"")))))</f>
        <v>requirements</v>
      </c>
      <c r="D186" s="3" t="str">
        <f>IF(ROW()-1&lt;=0,"",IF(ROW()-1&lt;=$L$2,IFERROR(INDEX(MCQ!$A:$K,ROW()-1+1,4),""),IF(ROW()-1&lt;=$L$2+$M$2,IFERROR(INDEX(CLOZE_AB!$A:$K,ROW()-1-$L$2+1,4),""),IF(ROW()-1&lt;=$L$2+$M$2+$N$2,IFERROR(INDEX(CLOZE_LIST!$A:$K,ROW()-1-$L$2-$M$2+1,4),""),IF(ROW()-1&lt;=$L$2+$M$2+$N$2+$O$2,IFERROR(INDEX(PROFORMA!$A:$K,ROW()-1-$L$2-$M$2-$N$2+1,4),""),"")))))</f>
        <v>Employee share schemes</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3</v>
      </c>
      <c r="G186" s="3">
        <f>IF(ROW()-1&lt;=0,"",IF(ROW()-1&lt;=$L$2,IFERROR(INDEX(MCQ!$A:$K,ROW()-1+1,7),""),IF(ROW()-1&lt;=$L$2+$M$2,IFERROR(INDEX(CLOZE_AB!$A:$K,ROW()-1-$L$2+1,7),""),IF(ROW()-1&lt;=$L$2+$M$2+$N$2,IFERROR(INDEX(CLOZE_LIST!$A:$K,ROW()-1-$L$2-$M$2+1,7),""),IF(ROW()-1&lt;=$L$2+$M$2+$N$2+$O$2,IFERROR(INDEX(PROFORMA!$A:$K,ROW()-1-$L$2-$M$2-$N$2+1,7),""),"")))))</f>
        <v>0</v>
      </c>
      <c r="H186" s="3" t="str">
        <f>IF(ROW()-1&lt;=0,"",IF(ROW()-1&lt;=$L$2,IFERROR(INDEX(MCQ!$A:$K,ROW()-1+1,8),""),IF(ROW()-1&lt;=$L$2+$M$2,IFERROR(INDEX(CLOZE_AB!$A:$K,ROW()-1-$L$2+1,8),""),IF(ROW()-1&lt;=$L$2+$M$2+$N$2,IFERROR(INDEX(CLOZE_LIST!$A:$K,ROW()-1-$L$2-$M$2+1,8),""),IF(ROW()-1&lt;=$L$2+$M$2+$N$2+$O$2,IFERROR(INDEX(PROFORMA!$A:$K,ROW()-1-$L$2-$M$2-$N$2+1,8),""),"")))))</f>
        <v>Y</v>
      </c>
      <c r="I186" s="3" t="str">
        <f>IF(ROW()-1&lt;=0,"",IF(ROW()-1&lt;=$L$2,IFERROR(INDEX(MCQ!$A:$K,ROW()-1+1,9),""),IF(ROW()-1&lt;=$L$2+$M$2,IFERROR(INDEX(CLOZE_AB!$A:$K,ROW()-1-$L$2+1,9),""),IF(ROW()-1&lt;=$L$2+$M$2+$N$2,IFERROR(INDEX(CLOZE_LIST!$A:$K,ROW()-1-$L$2-$M$2+1,9),""),IF(ROW()-1&lt;=$L$2+$M$2+$N$2+$O$2,IFERROR(INDEX(PROFORMA!$A:$K,ROW()-1-$L$2-$M$2-$N$2+1,9),""),"")))))</f>
        <v>sip|dividends</v>
      </c>
      <c r="J186" s="3" t="str">
        <f>IF(ROW()-1&lt;=0,"",IF(ROW()-1&lt;=$L$2,IFERROR(INDEX(MCQ!$A:$K,ROW()-1+1,10),""),IF(ROW()-1&lt;=$L$2+$M$2,IFERROR(INDEX(CLOZE_AB!$A:$K,ROW()-1-$L$2+1,10),""),IF(ROW()-1&lt;=$L$2+$M$2+$N$2,IFERROR(INDEX(CLOZE_LIST!$A:$K,ROW()-1-$L$2-$M$2+1,10),""),IF(ROW()-1&lt;=$L$2+$M$2+$N$2+$O$2,IFERROR(INDEX(PROFORMA!$A:$K,ROW()-1-$L$2-$M$2-$N$2+1,10),""),"")))))</f>
        <v>user_notes</v>
      </c>
      <c r="K186" s="3">
        <f>IF(ROW()-1&lt;=0,"",IF(ROW()-1&lt;=$L$2,IFERROR(INDEX(MCQ!$A:$K,ROW()-1+1,11),""),IF(ROW()-1&lt;=$L$2+$M$2,IFERROR(INDEX(CLOZE_AB!$A:$K,ROW()-1-$L$2+1,11),""),IF(ROW()-1&lt;=$L$2+$M$2+$N$2,IFERROR(INDEX(CLOZE_LIST!$A:$K,ROW()-1-$L$2-$M$2+1,11),""),IF(ROW()-1&lt;=$L$2+$M$2+$N$2+$O$2,IFERROR(INDEX(PROFORMA!$A:$K,ROW()-1-$L$2-$M$2-$N$2+1,11),""),"")))))</f>
        <v>1</v>
      </c>
      <c r="L186" s="3">
        <f>COUNTA(MCQ!$A:$A)-1</f>
        <v>143</v>
      </c>
      <c r="M186" s="3">
        <f>COUNTA(CLOZE_AB!$A:$A)-1</f>
        <v>168</v>
      </c>
      <c r="N186" s="3">
        <f>COUNTA(CLOZE_LIST!$A:$A)-1</f>
        <v>199</v>
      </c>
      <c r="O186" s="3">
        <f>COUNTA(PROFORMA!$A:$A)-1</f>
        <v>199</v>
      </c>
    </row>
    <row r="187" spans="1:15" ht="28.8" x14ac:dyDescent="0.3">
      <c r="A187" s="3" t="str">
        <f>IF(ROW()-1&lt;=0,"",IF(ROW()-1&lt;=$L$2,IFERROR(INDEX(MCQ!$A:$K,ROW()-1+1,1),""),IF(ROW()-1&lt;=$L$2+$M$2,IFERROR(INDEX(CLOZE_AB!$A:$K,ROW()-1-$L$2+1,1),""),IF(ROW()-1&lt;=$L$2+$M$2+$N$2,IFERROR(INDEX(CLOZE_LIST!$A:$K,ROW()-1-$L$2-$M$2+1,1),""),IF(ROW()-1&lt;=$L$2+$M$2+$N$2+$O$2,IFERROR(INDEX(PROFORMA!$A:$K,ROW()-1-$L$2-$M$2-$N$2+1,1),""),"")))))</f>
        <v>AB_ITNIC_REQ_EMPSHARESCHEME_031</v>
      </c>
      <c r="B187" s="3" t="str">
        <f>IF(ROW()-1&lt;=0,"",IF(ROW()-1&lt;=$L$2,IFERROR(INDEX(MCQ!$A:$K,ROW()-1+1,2),""),IF(ROW()-1&lt;=$L$2+$M$2,IFERROR(INDEX(CLOZE_AB!$A:$K,ROW()-1-$L$2+1,2),""),IF(ROW()-1&lt;=$L$2+$M$2+$N$2,IFERROR(INDEX(CLOZE_LIST!$A:$K,ROW()-1-$L$2-$M$2+1,2),""),IF(ROW()-1&lt;=$L$2+$M$2+$N$2+$O$2,IFERROR(INDEX(PROFORMA!$A:$K,ROW()-1-$L$2-$M$2-$N$2+1,2),""),"")))))</f>
        <v>Income tax &amp; NIC</v>
      </c>
      <c r="C187" s="3" t="str">
        <f>IF(ROW()-1&lt;=0,"",IF(ROW()-1&lt;=$L$2,IFERROR(INDEX(MCQ!$A:$K,ROW()-1+1,3),""),IF(ROW()-1&lt;=$L$2+$M$2,IFERROR(INDEX(CLOZE_AB!$A:$K,ROW()-1-$L$2+1,3),""),IF(ROW()-1&lt;=$L$2+$M$2+$N$2,IFERROR(INDEX(CLOZE_LIST!$A:$K,ROW()-1-$L$2-$M$2+1,3),""),IF(ROW()-1&lt;=$L$2+$M$2+$N$2+$O$2,IFERROR(INDEX(PROFORMA!$A:$K,ROW()-1-$L$2-$M$2-$N$2+1,3),""),"")))))</f>
        <v>requirements</v>
      </c>
      <c r="D187" s="3" t="str">
        <f>IF(ROW()-1&lt;=0,"",IF(ROW()-1&lt;=$L$2,IFERROR(INDEX(MCQ!$A:$K,ROW()-1+1,4),""),IF(ROW()-1&lt;=$L$2+$M$2,IFERROR(INDEX(CLOZE_AB!$A:$K,ROW()-1-$L$2+1,4),""),IF(ROW()-1&lt;=$L$2+$M$2+$N$2,IFERROR(INDEX(CLOZE_LIST!$A:$K,ROW()-1-$L$2-$M$2+1,4),""),IF(ROW()-1&lt;=$L$2+$M$2+$N$2+$O$2,IFERROR(INDEX(PROFORMA!$A:$K,ROW()-1-$L$2-$M$2-$N$2+1,4),""),"")))))</f>
        <v>Employee share schemes</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3</v>
      </c>
      <c r="G187" s="3">
        <f>IF(ROW()-1&lt;=0,"",IF(ROW()-1&lt;=$L$2,IFERROR(INDEX(MCQ!$A:$K,ROW()-1+1,7),""),IF(ROW()-1&lt;=$L$2+$M$2,IFERROR(INDEX(CLOZE_AB!$A:$K,ROW()-1-$L$2+1,7),""),IF(ROW()-1&lt;=$L$2+$M$2+$N$2,IFERROR(INDEX(CLOZE_LIST!$A:$K,ROW()-1-$L$2-$M$2+1,7),""),IF(ROW()-1&lt;=$L$2+$M$2+$N$2+$O$2,IFERROR(INDEX(PROFORMA!$A:$K,ROW()-1-$L$2-$M$2-$N$2+1,7),""),"")))))</f>
        <v>0</v>
      </c>
      <c r="H187" s="3" t="str">
        <f>IF(ROW()-1&lt;=0,"",IF(ROW()-1&lt;=$L$2,IFERROR(INDEX(MCQ!$A:$K,ROW()-1+1,8),""),IF(ROW()-1&lt;=$L$2+$M$2,IFERROR(INDEX(CLOZE_AB!$A:$K,ROW()-1-$L$2+1,8),""),IF(ROW()-1&lt;=$L$2+$M$2+$N$2,IFERROR(INDEX(CLOZE_LIST!$A:$K,ROW()-1-$L$2-$M$2+1,8),""),IF(ROW()-1&lt;=$L$2+$M$2+$N$2+$O$2,IFERROR(INDEX(PROFORMA!$A:$K,ROW()-1-$L$2-$M$2-$N$2+1,8),""),"")))))</f>
        <v>Y</v>
      </c>
      <c r="I187" s="3" t="str">
        <f>IF(ROW()-1&lt;=0,"",IF(ROW()-1&lt;=$L$2,IFERROR(INDEX(MCQ!$A:$K,ROW()-1+1,9),""),IF(ROW()-1&lt;=$L$2+$M$2,IFERROR(INDEX(CLOZE_AB!$A:$K,ROW()-1-$L$2+1,9),""),IF(ROW()-1&lt;=$L$2+$M$2+$N$2,IFERROR(INDEX(CLOZE_LIST!$A:$K,ROW()-1-$L$2-$M$2+1,9),""),IF(ROW()-1&lt;=$L$2+$M$2+$N$2+$O$2,IFERROR(INDEX(PROFORMA!$A:$K,ROW()-1-$L$2-$M$2-$N$2+1,9),""),"")))))</f>
        <v>sip|exit5</v>
      </c>
      <c r="J187" s="3" t="str">
        <f>IF(ROW()-1&lt;=0,"",IF(ROW()-1&lt;=$L$2,IFERROR(INDEX(MCQ!$A:$K,ROW()-1+1,10),""),IF(ROW()-1&lt;=$L$2+$M$2,IFERROR(INDEX(CLOZE_AB!$A:$K,ROW()-1-$L$2+1,10),""),IF(ROW()-1&lt;=$L$2+$M$2+$N$2,IFERROR(INDEX(CLOZE_LIST!$A:$K,ROW()-1-$L$2-$M$2+1,10),""),IF(ROW()-1&lt;=$L$2+$M$2+$N$2+$O$2,IFERROR(INDEX(PROFORMA!$A:$K,ROW()-1-$L$2-$M$2-$N$2+1,10),""),"")))))</f>
        <v>user_notes</v>
      </c>
      <c r="K187" s="3">
        <f>IF(ROW()-1&lt;=0,"",IF(ROW()-1&lt;=$L$2,IFERROR(INDEX(MCQ!$A:$K,ROW()-1+1,11),""),IF(ROW()-1&lt;=$L$2+$M$2,IFERROR(INDEX(CLOZE_AB!$A:$K,ROW()-1-$L$2+1,11),""),IF(ROW()-1&lt;=$L$2+$M$2+$N$2,IFERROR(INDEX(CLOZE_LIST!$A:$K,ROW()-1-$L$2-$M$2+1,11),""),IF(ROW()-1&lt;=$L$2+$M$2+$N$2+$O$2,IFERROR(INDEX(PROFORMA!$A:$K,ROW()-1-$L$2-$M$2-$N$2+1,11),""),"")))))</f>
        <v>1</v>
      </c>
      <c r="L187" s="3">
        <f>COUNTA(MCQ!$A:$A)-1</f>
        <v>143</v>
      </c>
      <c r="M187" s="3">
        <f>COUNTA(CLOZE_AB!$A:$A)-1</f>
        <v>168</v>
      </c>
      <c r="N187" s="3">
        <f>COUNTA(CLOZE_LIST!$A:$A)-1</f>
        <v>199</v>
      </c>
      <c r="O187" s="3">
        <f>COUNTA(PROFORMA!$A:$A)-1</f>
        <v>199</v>
      </c>
    </row>
    <row r="188" spans="1:15" ht="28.8" x14ac:dyDescent="0.3">
      <c r="A188" s="3" t="str">
        <f>IF(ROW()-1&lt;=0,"",IF(ROW()-1&lt;=$L$2,IFERROR(INDEX(MCQ!$A:$K,ROW()-1+1,1),""),IF(ROW()-1&lt;=$L$2+$M$2,IFERROR(INDEX(CLOZE_AB!$A:$K,ROW()-1-$L$2+1,1),""),IF(ROW()-1&lt;=$L$2+$M$2+$N$2,IFERROR(INDEX(CLOZE_LIST!$A:$K,ROW()-1-$L$2-$M$2+1,1),""),IF(ROW()-1&lt;=$L$2+$M$2+$N$2+$O$2,IFERROR(INDEX(PROFORMA!$A:$K,ROW()-1-$L$2-$M$2-$N$2+1,1),""),"")))))</f>
        <v>AB_ITNIC_REQ_EMPSHARESCHEME_032</v>
      </c>
      <c r="B188" s="3" t="str">
        <f>IF(ROW()-1&lt;=0,"",IF(ROW()-1&lt;=$L$2,IFERROR(INDEX(MCQ!$A:$K,ROW()-1+1,2),""),IF(ROW()-1&lt;=$L$2+$M$2,IFERROR(INDEX(CLOZE_AB!$A:$K,ROW()-1-$L$2+1,2),""),IF(ROW()-1&lt;=$L$2+$M$2+$N$2,IFERROR(INDEX(CLOZE_LIST!$A:$K,ROW()-1-$L$2-$M$2+1,2),""),IF(ROW()-1&lt;=$L$2+$M$2+$N$2+$O$2,IFERROR(INDEX(PROFORMA!$A:$K,ROW()-1-$L$2-$M$2-$N$2+1,2),""),"")))))</f>
        <v>Income tax &amp; NIC</v>
      </c>
      <c r="C188" s="3" t="str">
        <f>IF(ROW()-1&lt;=0,"",IF(ROW()-1&lt;=$L$2,IFERROR(INDEX(MCQ!$A:$K,ROW()-1+1,3),""),IF(ROW()-1&lt;=$L$2+$M$2,IFERROR(INDEX(CLOZE_AB!$A:$K,ROW()-1-$L$2+1,3),""),IF(ROW()-1&lt;=$L$2+$M$2+$N$2,IFERROR(INDEX(CLOZE_LIST!$A:$K,ROW()-1-$L$2-$M$2+1,3),""),IF(ROW()-1&lt;=$L$2+$M$2+$N$2+$O$2,IFERROR(INDEX(PROFORMA!$A:$K,ROW()-1-$L$2-$M$2-$N$2+1,3),""),"")))))</f>
        <v>requirements</v>
      </c>
      <c r="D188" s="3" t="str">
        <f>IF(ROW()-1&lt;=0,"",IF(ROW()-1&lt;=$L$2,IFERROR(INDEX(MCQ!$A:$K,ROW()-1+1,4),""),IF(ROW()-1&lt;=$L$2+$M$2,IFERROR(INDEX(CLOZE_AB!$A:$K,ROW()-1-$L$2+1,4),""),IF(ROW()-1&lt;=$L$2+$M$2+$N$2,IFERROR(INDEX(CLOZE_LIST!$A:$K,ROW()-1-$L$2-$M$2+1,4),""),IF(ROW()-1&lt;=$L$2+$M$2+$N$2+$O$2,IFERROR(INDEX(PROFORMA!$A:$K,ROW()-1-$L$2-$M$2-$N$2+1,4),""),"")))))</f>
        <v>Employee share schemes</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3</v>
      </c>
      <c r="G188" s="3">
        <f>IF(ROW()-1&lt;=0,"",IF(ROW()-1&lt;=$L$2,IFERROR(INDEX(MCQ!$A:$K,ROW()-1+1,7),""),IF(ROW()-1&lt;=$L$2+$M$2,IFERROR(INDEX(CLOZE_AB!$A:$K,ROW()-1-$L$2+1,7),""),IF(ROW()-1&lt;=$L$2+$M$2+$N$2,IFERROR(INDEX(CLOZE_LIST!$A:$K,ROW()-1-$L$2-$M$2+1,7),""),IF(ROW()-1&lt;=$L$2+$M$2+$N$2+$O$2,IFERROR(INDEX(PROFORMA!$A:$K,ROW()-1-$L$2-$M$2-$N$2+1,7),""),"")))))</f>
        <v>0</v>
      </c>
      <c r="H188" s="3" t="str">
        <f>IF(ROW()-1&lt;=0,"",IF(ROW()-1&lt;=$L$2,IFERROR(INDEX(MCQ!$A:$K,ROW()-1+1,8),""),IF(ROW()-1&lt;=$L$2+$M$2,IFERROR(INDEX(CLOZE_AB!$A:$K,ROW()-1-$L$2+1,8),""),IF(ROW()-1&lt;=$L$2+$M$2+$N$2,IFERROR(INDEX(CLOZE_LIST!$A:$K,ROW()-1-$L$2-$M$2+1,8),""),IF(ROW()-1&lt;=$L$2+$M$2+$N$2+$O$2,IFERROR(INDEX(PROFORMA!$A:$K,ROW()-1-$L$2-$M$2-$N$2+1,8),""),"")))))</f>
        <v>Y</v>
      </c>
      <c r="I188" s="3" t="str">
        <f>IF(ROW()-1&lt;=0,"",IF(ROW()-1&lt;=$L$2,IFERROR(INDEX(MCQ!$A:$K,ROW()-1+1,9),""),IF(ROW()-1&lt;=$L$2+$M$2,IFERROR(INDEX(CLOZE_AB!$A:$K,ROW()-1-$L$2+1,9),""),IF(ROW()-1&lt;=$L$2+$M$2+$N$2,IFERROR(INDEX(CLOZE_LIST!$A:$K,ROW()-1-$L$2-$M$2+1,9),""),IF(ROW()-1&lt;=$L$2+$M$2+$N$2+$O$2,IFERROR(INDEX(PROFORMA!$A:$K,ROW()-1-$L$2-$M$2-$N$2+1,9),""),"")))))</f>
        <v>sip|exit3</v>
      </c>
      <c r="J188" s="3" t="str">
        <f>IF(ROW()-1&lt;=0,"",IF(ROW()-1&lt;=$L$2,IFERROR(INDEX(MCQ!$A:$K,ROW()-1+1,10),""),IF(ROW()-1&lt;=$L$2+$M$2,IFERROR(INDEX(CLOZE_AB!$A:$K,ROW()-1-$L$2+1,10),""),IF(ROW()-1&lt;=$L$2+$M$2+$N$2,IFERROR(INDEX(CLOZE_LIST!$A:$K,ROW()-1-$L$2-$M$2+1,10),""),IF(ROW()-1&lt;=$L$2+$M$2+$N$2+$O$2,IFERROR(INDEX(PROFORMA!$A:$K,ROW()-1-$L$2-$M$2-$N$2+1,10),""),"")))))</f>
        <v>user_notes</v>
      </c>
      <c r="K188" s="3">
        <f>IF(ROW()-1&lt;=0,"",IF(ROW()-1&lt;=$L$2,IFERROR(INDEX(MCQ!$A:$K,ROW()-1+1,11),""),IF(ROW()-1&lt;=$L$2+$M$2,IFERROR(INDEX(CLOZE_AB!$A:$K,ROW()-1-$L$2+1,11),""),IF(ROW()-1&lt;=$L$2+$M$2+$N$2,IFERROR(INDEX(CLOZE_LIST!$A:$K,ROW()-1-$L$2-$M$2+1,11),""),IF(ROW()-1&lt;=$L$2+$M$2+$N$2+$O$2,IFERROR(INDEX(PROFORMA!$A:$K,ROW()-1-$L$2-$M$2-$N$2+1,11),""),"")))))</f>
        <v>1</v>
      </c>
      <c r="L188" s="3">
        <f>COUNTA(MCQ!$A:$A)-1</f>
        <v>143</v>
      </c>
      <c r="M188" s="3">
        <f>COUNTA(CLOZE_AB!$A:$A)-1</f>
        <v>168</v>
      </c>
      <c r="N188" s="3">
        <f>COUNTA(CLOZE_LIST!$A:$A)-1</f>
        <v>199</v>
      </c>
      <c r="O188" s="3">
        <f>COUNTA(PROFORMA!$A:$A)-1</f>
        <v>199</v>
      </c>
    </row>
    <row r="189" spans="1:15" ht="28.8" x14ac:dyDescent="0.3">
      <c r="A189" s="3" t="str">
        <f>IF(ROW()-1&lt;=0,"",IF(ROW()-1&lt;=$L$2,IFERROR(INDEX(MCQ!$A:$K,ROW()-1+1,1),""),IF(ROW()-1&lt;=$L$2+$M$2,IFERROR(INDEX(CLOZE_AB!$A:$K,ROW()-1-$L$2+1,1),""),IF(ROW()-1&lt;=$L$2+$M$2+$N$2,IFERROR(INDEX(CLOZE_LIST!$A:$K,ROW()-1-$L$2-$M$2+1,1),""),IF(ROW()-1&lt;=$L$2+$M$2+$N$2+$O$2,IFERROR(INDEX(PROFORMA!$A:$K,ROW()-1-$L$2-$M$2-$N$2+1,1),""),"")))))</f>
        <v>AB_ITNIC_REQ_EMPSHARESCHEME_033</v>
      </c>
      <c r="B189" s="3" t="str">
        <f>IF(ROW()-1&lt;=0,"",IF(ROW()-1&lt;=$L$2,IFERROR(INDEX(MCQ!$A:$K,ROW()-1+1,2),""),IF(ROW()-1&lt;=$L$2+$M$2,IFERROR(INDEX(CLOZE_AB!$A:$K,ROW()-1-$L$2+1,2),""),IF(ROW()-1&lt;=$L$2+$M$2+$N$2,IFERROR(INDEX(CLOZE_LIST!$A:$K,ROW()-1-$L$2-$M$2+1,2),""),IF(ROW()-1&lt;=$L$2+$M$2+$N$2+$O$2,IFERROR(INDEX(PROFORMA!$A:$K,ROW()-1-$L$2-$M$2-$N$2+1,2),""),"")))))</f>
        <v>Income tax &amp; NIC</v>
      </c>
      <c r="C189" s="3" t="str">
        <f>IF(ROW()-1&lt;=0,"",IF(ROW()-1&lt;=$L$2,IFERROR(INDEX(MCQ!$A:$K,ROW()-1+1,3),""),IF(ROW()-1&lt;=$L$2+$M$2,IFERROR(INDEX(CLOZE_AB!$A:$K,ROW()-1-$L$2+1,3),""),IF(ROW()-1&lt;=$L$2+$M$2+$N$2,IFERROR(INDEX(CLOZE_LIST!$A:$K,ROW()-1-$L$2-$M$2+1,3),""),IF(ROW()-1&lt;=$L$2+$M$2+$N$2+$O$2,IFERROR(INDEX(PROFORMA!$A:$K,ROW()-1-$L$2-$M$2-$N$2+1,3),""),"")))))</f>
        <v>requirements</v>
      </c>
      <c r="D189" s="3" t="str">
        <f>IF(ROW()-1&lt;=0,"",IF(ROW()-1&lt;=$L$2,IFERROR(INDEX(MCQ!$A:$K,ROW()-1+1,4),""),IF(ROW()-1&lt;=$L$2+$M$2,IFERROR(INDEX(CLOZE_AB!$A:$K,ROW()-1-$L$2+1,4),""),IF(ROW()-1&lt;=$L$2+$M$2+$N$2,IFERROR(INDEX(CLOZE_LIST!$A:$K,ROW()-1-$L$2-$M$2+1,4),""),IF(ROW()-1&lt;=$L$2+$M$2+$N$2+$O$2,IFERROR(INDEX(PROFORMA!$A:$K,ROW()-1-$L$2-$M$2-$N$2+1,4),""),"")))))</f>
        <v>Employee share schemes</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3</v>
      </c>
      <c r="G189" s="3">
        <f>IF(ROW()-1&lt;=0,"",IF(ROW()-1&lt;=$L$2,IFERROR(INDEX(MCQ!$A:$K,ROW()-1+1,7),""),IF(ROW()-1&lt;=$L$2+$M$2,IFERROR(INDEX(CLOZE_AB!$A:$K,ROW()-1-$L$2+1,7),""),IF(ROW()-1&lt;=$L$2+$M$2+$N$2,IFERROR(INDEX(CLOZE_LIST!$A:$K,ROW()-1-$L$2-$M$2+1,7),""),IF(ROW()-1&lt;=$L$2+$M$2+$N$2+$O$2,IFERROR(INDEX(PROFORMA!$A:$K,ROW()-1-$L$2-$M$2-$N$2+1,7),""),"")))))</f>
        <v>0</v>
      </c>
      <c r="H189" s="3" t="str">
        <f>IF(ROW()-1&lt;=0,"",IF(ROW()-1&lt;=$L$2,IFERROR(INDEX(MCQ!$A:$K,ROW()-1+1,8),""),IF(ROW()-1&lt;=$L$2+$M$2,IFERROR(INDEX(CLOZE_AB!$A:$K,ROW()-1-$L$2+1,8),""),IF(ROW()-1&lt;=$L$2+$M$2+$N$2,IFERROR(INDEX(CLOZE_LIST!$A:$K,ROW()-1-$L$2-$M$2+1,8),""),IF(ROW()-1&lt;=$L$2+$M$2+$N$2+$O$2,IFERROR(INDEX(PROFORMA!$A:$K,ROW()-1-$L$2-$M$2-$N$2+1,8),""),"")))))</f>
        <v>Y</v>
      </c>
      <c r="I189" s="3" t="str">
        <f>IF(ROW()-1&lt;=0,"",IF(ROW()-1&lt;=$L$2,IFERROR(INDEX(MCQ!$A:$K,ROW()-1+1,9),""),IF(ROW()-1&lt;=$L$2+$M$2,IFERROR(INDEX(CLOZE_AB!$A:$K,ROW()-1-$L$2+1,9),""),IF(ROW()-1&lt;=$L$2+$M$2+$N$2,IFERROR(INDEX(CLOZE_LIST!$A:$K,ROW()-1-$L$2-$M$2+1,9),""),IF(ROW()-1&lt;=$L$2+$M$2+$N$2+$O$2,IFERROR(INDEX(PROFORMA!$A:$K,ROW()-1-$L$2-$M$2-$N$2+1,9),""),"")))))</f>
        <v>sip|exit35</v>
      </c>
      <c r="J189" s="3" t="str">
        <f>IF(ROW()-1&lt;=0,"",IF(ROW()-1&lt;=$L$2,IFERROR(INDEX(MCQ!$A:$K,ROW()-1+1,10),""),IF(ROW()-1&lt;=$L$2+$M$2,IFERROR(INDEX(CLOZE_AB!$A:$K,ROW()-1-$L$2+1,10),""),IF(ROW()-1&lt;=$L$2+$M$2+$N$2,IFERROR(INDEX(CLOZE_LIST!$A:$K,ROW()-1-$L$2-$M$2+1,10),""),IF(ROW()-1&lt;=$L$2+$M$2+$N$2+$O$2,IFERROR(INDEX(PROFORMA!$A:$K,ROW()-1-$L$2-$M$2-$N$2+1,10),""),"")))))</f>
        <v>user_notes</v>
      </c>
      <c r="K189" s="3">
        <f>IF(ROW()-1&lt;=0,"",IF(ROW()-1&lt;=$L$2,IFERROR(INDEX(MCQ!$A:$K,ROW()-1+1,11),""),IF(ROW()-1&lt;=$L$2+$M$2,IFERROR(INDEX(CLOZE_AB!$A:$K,ROW()-1-$L$2+1,11),""),IF(ROW()-1&lt;=$L$2+$M$2+$N$2,IFERROR(INDEX(CLOZE_LIST!$A:$K,ROW()-1-$L$2-$M$2+1,11),""),IF(ROW()-1&lt;=$L$2+$M$2+$N$2+$O$2,IFERROR(INDEX(PROFORMA!$A:$K,ROW()-1-$L$2-$M$2-$N$2+1,11),""),"")))))</f>
        <v>1</v>
      </c>
      <c r="L189" s="3">
        <f>COUNTA(MCQ!$A:$A)-1</f>
        <v>143</v>
      </c>
      <c r="M189" s="3">
        <f>COUNTA(CLOZE_AB!$A:$A)-1</f>
        <v>168</v>
      </c>
      <c r="N189" s="3">
        <f>COUNTA(CLOZE_LIST!$A:$A)-1</f>
        <v>199</v>
      </c>
      <c r="O189" s="3">
        <f>COUNTA(PROFORMA!$A:$A)-1</f>
        <v>199</v>
      </c>
    </row>
    <row r="190" spans="1:15" x14ac:dyDescent="0.3">
      <c r="A190" s="3" t="str">
        <f>IF(ROW()-1&lt;=0,"",IF(ROW()-1&lt;=$L$2,IFERROR(INDEX(MCQ!$A:$K,ROW()-1+1,1),""),IF(ROW()-1&lt;=$L$2+$M$2,IFERROR(INDEX(CLOZE_AB!$A:$K,ROW()-1-$L$2+1,1),""),IF(ROW()-1&lt;=$L$2+$M$2+$N$2,IFERROR(INDEX(CLOZE_LIST!$A:$K,ROW()-1-$L$2-$M$2+1,1),""),IF(ROW()-1&lt;=$L$2+$M$2+$N$2+$O$2,IFERROR(INDEX(PROFORMA!$A:$K,ROW()-1-$L$2-$M$2-$N$2+1,1),""),"")))))</f>
        <v>AB_ITNIC_REQ_EMPSHARESCHEME_034</v>
      </c>
      <c r="B190" s="3" t="str">
        <f>IF(ROW()-1&lt;=0,"",IF(ROW()-1&lt;=$L$2,IFERROR(INDEX(MCQ!$A:$K,ROW()-1+1,2),""),IF(ROW()-1&lt;=$L$2+$M$2,IFERROR(INDEX(CLOZE_AB!$A:$K,ROW()-1-$L$2+1,2),""),IF(ROW()-1&lt;=$L$2+$M$2+$N$2,IFERROR(INDEX(CLOZE_LIST!$A:$K,ROW()-1-$L$2-$M$2+1,2),""),IF(ROW()-1&lt;=$L$2+$M$2+$N$2+$O$2,IFERROR(INDEX(PROFORMA!$A:$K,ROW()-1-$L$2-$M$2-$N$2+1,2),""),"")))))</f>
        <v>Income tax &amp; NIC</v>
      </c>
      <c r="C190" s="3" t="str">
        <f>IF(ROW()-1&lt;=0,"",IF(ROW()-1&lt;=$L$2,IFERROR(INDEX(MCQ!$A:$K,ROW()-1+1,3),""),IF(ROW()-1&lt;=$L$2+$M$2,IFERROR(INDEX(CLOZE_AB!$A:$K,ROW()-1-$L$2+1,3),""),IF(ROW()-1&lt;=$L$2+$M$2+$N$2,IFERROR(INDEX(CLOZE_LIST!$A:$K,ROW()-1-$L$2-$M$2+1,3),""),IF(ROW()-1&lt;=$L$2+$M$2+$N$2+$O$2,IFERROR(INDEX(PROFORMA!$A:$K,ROW()-1-$L$2-$M$2-$N$2+1,3),""),"")))))</f>
        <v>requirements</v>
      </c>
      <c r="D190" s="3" t="str">
        <f>IF(ROW()-1&lt;=0,"",IF(ROW()-1&lt;=$L$2,IFERROR(INDEX(MCQ!$A:$K,ROW()-1+1,4),""),IF(ROW()-1&lt;=$L$2+$M$2,IFERROR(INDEX(CLOZE_AB!$A:$K,ROW()-1-$L$2+1,4),""),IF(ROW()-1&lt;=$L$2+$M$2+$N$2,IFERROR(INDEX(CLOZE_LIST!$A:$K,ROW()-1-$L$2-$M$2+1,4),""),IF(ROW()-1&lt;=$L$2+$M$2+$N$2+$O$2,IFERROR(INDEX(PROFORMA!$A:$K,ROW()-1-$L$2-$M$2-$N$2+1,4),""),"")))))</f>
        <v>Employee share schemes</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3</v>
      </c>
      <c r="G190" s="3">
        <f>IF(ROW()-1&lt;=0,"",IF(ROW()-1&lt;=$L$2,IFERROR(INDEX(MCQ!$A:$K,ROW()-1+1,7),""),IF(ROW()-1&lt;=$L$2+$M$2,IFERROR(INDEX(CLOZE_AB!$A:$K,ROW()-1-$L$2+1,7),""),IF(ROW()-1&lt;=$L$2+$M$2+$N$2,IFERROR(INDEX(CLOZE_LIST!$A:$K,ROW()-1-$L$2-$M$2+1,7),""),IF(ROW()-1&lt;=$L$2+$M$2+$N$2+$O$2,IFERROR(INDEX(PROFORMA!$A:$K,ROW()-1-$L$2-$M$2-$N$2+1,7),""),"")))))</f>
        <v>0</v>
      </c>
      <c r="H190" s="3" t="str">
        <f>IF(ROW()-1&lt;=0,"",IF(ROW()-1&lt;=$L$2,IFERROR(INDEX(MCQ!$A:$K,ROW()-1+1,8),""),IF(ROW()-1&lt;=$L$2+$M$2,IFERROR(INDEX(CLOZE_AB!$A:$K,ROW()-1-$L$2+1,8),""),IF(ROW()-1&lt;=$L$2+$M$2+$N$2,IFERROR(INDEX(CLOZE_LIST!$A:$K,ROW()-1-$L$2-$M$2+1,8),""),IF(ROW()-1&lt;=$L$2+$M$2+$N$2+$O$2,IFERROR(INDEX(PROFORMA!$A:$K,ROW()-1-$L$2-$M$2-$N$2+1,8),""),"")))))</f>
        <v>Y</v>
      </c>
      <c r="I190" s="3" t="str">
        <f>IF(ROW()-1&lt;=0,"",IF(ROW()-1&lt;=$L$2,IFERROR(INDEX(MCQ!$A:$K,ROW()-1+1,9),""),IF(ROW()-1&lt;=$L$2+$M$2,IFERROR(INDEX(CLOZE_AB!$A:$K,ROW()-1-$L$2+1,9),""),IF(ROW()-1&lt;=$L$2+$M$2+$N$2,IFERROR(INDEX(CLOZE_LIST!$A:$K,ROW()-1-$L$2-$M$2+1,9),""),IF(ROW()-1&lt;=$L$2+$M$2+$N$2+$O$2,IFERROR(INDEX(PROFORMA!$A:$K,ROW()-1-$L$2-$M$2-$N$2+1,9),""),"")))))</f>
        <v>compare|tax</v>
      </c>
      <c r="J190" s="3" t="str">
        <f>IF(ROW()-1&lt;=0,"",IF(ROW()-1&lt;=$L$2,IFERROR(INDEX(MCQ!$A:$K,ROW()-1+1,10),""),IF(ROW()-1&lt;=$L$2+$M$2,IFERROR(INDEX(CLOZE_AB!$A:$K,ROW()-1-$L$2+1,10),""),IF(ROW()-1&lt;=$L$2+$M$2+$N$2,IFERROR(INDEX(CLOZE_LIST!$A:$K,ROW()-1-$L$2-$M$2+1,10),""),IF(ROW()-1&lt;=$L$2+$M$2+$N$2+$O$2,IFERROR(INDEX(PROFORMA!$A:$K,ROW()-1-$L$2-$M$2-$N$2+1,10),""),"")))))</f>
        <v>user_notes</v>
      </c>
      <c r="K190" s="3">
        <f>IF(ROW()-1&lt;=0,"",IF(ROW()-1&lt;=$L$2,IFERROR(INDEX(MCQ!$A:$K,ROW()-1+1,11),""),IF(ROW()-1&lt;=$L$2+$M$2,IFERROR(INDEX(CLOZE_AB!$A:$K,ROW()-1-$L$2+1,11),""),IF(ROW()-1&lt;=$L$2+$M$2+$N$2,IFERROR(INDEX(CLOZE_LIST!$A:$K,ROW()-1-$L$2-$M$2+1,11),""),IF(ROW()-1&lt;=$L$2+$M$2+$N$2+$O$2,IFERROR(INDEX(PROFORMA!$A:$K,ROW()-1-$L$2-$M$2-$N$2+1,11),""),"")))))</f>
        <v>1</v>
      </c>
      <c r="L190" s="3">
        <f>COUNTA(MCQ!$A:$A)-1</f>
        <v>143</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AB_ITNIC_CALC_DISALLOW_001</v>
      </c>
      <c r="B191" s="3" t="str">
        <f>IF(ROW()-1&lt;=0,"",IF(ROW()-1&lt;=$L$2,IFERROR(INDEX(MCQ!$A:$K,ROW()-1+1,2),""),IF(ROW()-1&lt;=$L$2+$M$2,IFERROR(INDEX(CLOZE_AB!$A:$K,ROW()-1-$L$2+1,2),""),IF(ROW()-1&lt;=$L$2+$M$2+$N$2,IFERROR(INDEX(CLOZE_LIST!$A:$K,ROW()-1-$L$2-$M$2+1,2),""),IF(ROW()-1&lt;=$L$2+$M$2+$N$2+$O$2,IFERROR(INDEX(PROFORMA!$A:$K,ROW()-1-$L$2-$M$2-$N$2+1,2),""),"")))))</f>
        <v>Income tax &amp; NIC</v>
      </c>
      <c r="C191" s="3" t="str">
        <f>IF(ROW()-1&lt;=0,"",IF(ROW()-1&lt;=$L$2,IFERROR(INDEX(MCQ!$A:$K,ROW()-1+1,3),""),IF(ROW()-1&lt;=$L$2+$M$2,IFERROR(INDEX(CLOZE_AB!$A:$K,ROW()-1-$L$2+1,3),""),IF(ROW()-1&lt;=$L$2+$M$2+$N$2,IFERROR(INDEX(CLOZE_LIST!$A:$K,ROW()-1-$L$2-$M$2+1,3),""),IF(ROW()-1&lt;=$L$2+$M$2+$N$2+$O$2,IFERROR(INDEX(PROFORMA!$A:$K,ROW()-1-$L$2-$M$2-$N$2+1,3),""),"")))))</f>
        <v>calculations</v>
      </c>
      <c r="D191" s="3" t="str">
        <f>IF(ROW()-1&lt;=0,"",IF(ROW()-1&lt;=$L$2,IFERROR(INDEX(MCQ!$A:$K,ROW()-1+1,4),""),IF(ROW()-1&lt;=$L$2+$M$2,IFERROR(INDEX(CLOZE_AB!$A:$K,ROW()-1-$L$2+1,4),""),IF(ROW()-1&lt;=$L$2+$M$2+$N$2,IFERROR(INDEX(CLOZE_LIST!$A:$K,ROW()-1-$L$2-$M$2+1,4),""),IF(ROW()-1&lt;=$L$2+$M$2+$N$2+$O$2,IFERROR(INDEX(PROFORMA!$A:$K,ROW()-1-$L$2-$M$2-$N$2+1,4),""),"")))))</f>
        <v>Disallowable trading expenses</v>
      </c>
      <c r="E191" s="3" t="str">
        <f>IF(ROW()-1&lt;=0,"",IF(ROW()-1&lt;=$L$2,IFERROR(INDEX(MCQ!$A:$K,ROW()-1+1,5),""),IF(ROW()-1&lt;=$L$2+$M$2,IFERROR(INDEX(CLOZE_AB!$A:$K,ROW()-1-$L$2+1,5),""),IF(ROW()-1&lt;=$L$2+$M$2+$N$2,IFERROR(INDEX(CLOZE_LIST!$A:$K,ROW()-1-$L$2-$M$2+1,5),""),IF(ROW()-1&lt;=$L$2+$M$2+$N$2+$O$2,IFERROR(INDEX(PROFORMA!$A:$K,ROW()-1-$L$2-$M$2-$N$2+1,5),""),"")))))</f>
        <v>cloze_ab</v>
      </c>
      <c r="F191" s="3">
        <f>IF(ROW()-1&lt;=0,"",IF(ROW()-1&lt;=$L$2,IFERROR(INDEX(MCQ!$A:$K,ROW()-1+1,6),""),IF(ROW()-1&lt;=$L$2+$M$2,IFERROR(INDEX(CLOZE_AB!$A:$K,ROW()-1-$L$2+1,6),""),IF(ROW()-1&lt;=$L$2+$M$2+$N$2,IFERROR(INDEX(CLOZE_LIST!$A:$K,ROW()-1-$L$2-$M$2+1,6),""),IF(ROW()-1&lt;=$L$2+$M$2+$N$2+$O$2,IFERROR(INDEX(PROFORMA!$A:$K,ROW()-1-$L$2-$M$2-$N$2+1,6),""),"")))))</f>
        <v>3</v>
      </c>
      <c r="G191" s="3" t="str">
        <f>IF(ROW()-1&lt;=0,"",IF(ROW()-1&lt;=$L$2,IFERROR(INDEX(MCQ!$A:$K,ROW()-1+1,7),""),IF(ROW()-1&lt;=$L$2+$M$2,IFERROR(INDEX(CLOZE_AB!$A:$K,ROW()-1-$L$2+1,7),""),IF(ROW()-1&lt;=$L$2+$M$2+$N$2,IFERROR(INDEX(CLOZE_LIST!$A:$K,ROW()-1-$L$2-$M$2+1,7),""),IF(ROW()-1&lt;=$L$2+$M$2+$N$2+$O$2,IFERROR(INDEX(PROFORMA!$A:$K,ROW()-1-$L$2-$M$2-$N$2+1,7),""),"")))))</f>
        <v>core</v>
      </c>
      <c r="H191" s="3" t="str">
        <f>IF(ROW()-1&lt;=0,"",IF(ROW()-1&lt;=$L$2,IFERROR(INDEX(MCQ!$A:$K,ROW()-1+1,8),""),IF(ROW()-1&lt;=$L$2+$M$2,IFERROR(INDEX(CLOZE_AB!$A:$K,ROW()-1-$L$2+1,8),""),IF(ROW()-1&lt;=$L$2+$M$2+$N$2,IFERROR(INDEX(CLOZE_LIST!$A:$K,ROW()-1-$L$2-$M$2+1,8),""),IF(ROW()-1&lt;=$L$2+$M$2+$N$2+$O$2,IFERROR(INDEX(PROFORMA!$A:$K,ROW()-1-$L$2-$M$2-$N$2+1,8),""),"")))))</f>
        <v>Y</v>
      </c>
      <c r="I191" s="3" t="str">
        <f>IF(ROW()-1&lt;=0,"",IF(ROW()-1&lt;=$L$2,IFERROR(INDEX(MCQ!$A:$K,ROW()-1+1,9),""),IF(ROW()-1&lt;=$L$2+$M$2,IFERROR(INDEX(CLOZE_AB!$A:$K,ROW()-1-$L$2+1,9),""),IF(ROW()-1&lt;=$L$2+$M$2+$N$2,IFERROR(INDEX(CLOZE_LIST!$A:$K,ROW()-1-$L$2-$M$2+1,9),""),IF(ROW()-1&lt;=$L$2+$M$2+$N$2+$O$2,IFERROR(INDEX(PROFORMA!$A:$K,ROW()-1-$L$2-$M$2-$N$2+1,9),""),"")))))</f>
        <v>disallowable;capital</v>
      </c>
      <c r="J191" s="3" t="str">
        <f>IF(ROW()-1&lt;=0,"",IF(ROW()-1&lt;=$L$2,IFERROR(INDEX(MCQ!$A:$K,ROW()-1+1,10),""),IF(ROW()-1&lt;=$L$2+$M$2,IFERROR(INDEX(CLOZE_AB!$A:$K,ROW()-1-$L$2+1,10),""),IF(ROW()-1&lt;=$L$2+$M$2+$N$2,IFERROR(INDEX(CLOZE_LIST!$A:$K,ROW()-1-$L$2-$M$2+1,10),""),IF(ROW()-1&lt;=$L$2+$M$2+$N$2+$O$2,IFERROR(INDEX(PROFORMA!$A:$K,ROW()-1-$L$2-$M$2-$N$2+1,10),""),"")))))</f>
        <v>assistant_generated</v>
      </c>
      <c r="K191" s="3">
        <f>IF(ROW()-1&lt;=0,"",IF(ROW()-1&lt;=$L$2,IFERROR(INDEX(MCQ!$A:$K,ROW()-1+1,11),""),IF(ROW()-1&lt;=$L$2+$M$2,IFERROR(INDEX(CLOZE_AB!$A:$K,ROW()-1-$L$2+1,11),""),IF(ROW()-1&lt;=$L$2+$M$2+$N$2,IFERROR(INDEX(CLOZE_LIST!$A:$K,ROW()-1-$L$2-$M$2+1,11),""),IF(ROW()-1&lt;=$L$2+$M$2+$N$2+$O$2,IFERROR(INDEX(PROFORMA!$A:$K,ROW()-1-$L$2-$M$2-$N$2+1,11),""),"")))))</f>
        <v>1</v>
      </c>
      <c r="L191" s="3">
        <f>COUNTA(MCQ!$A:$A)-1</f>
        <v>143</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AB_ITNIC_CALC_DISALLOW_002</v>
      </c>
      <c r="B192" s="3" t="str">
        <f>IF(ROW()-1&lt;=0,"",IF(ROW()-1&lt;=$L$2,IFERROR(INDEX(MCQ!$A:$K,ROW()-1+1,2),""),IF(ROW()-1&lt;=$L$2+$M$2,IFERROR(INDEX(CLOZE_AB!$A:$K,ROW()-1-$L$2+1,2),""),IF(ROW()-1&lt;=$L$2+$M$2+$N$2,IFERROR(INDEX(CLOZE_LIST!$A:$K,ROW()-1-$L$2-$M$2+1,2),""),IF(ROW()-1&lt;=$L$2+$M$2+$N$2+$O$2,IFERROR(INDEX(PROFORMA!$A:$K,ROW()-1-$L$2-$M$2-$N$2+1,2),""),"")))))</f>
        <v>Income tax &amp; NIC</v>
      </c>
      <c r="C192" s="3" t="str">
        <f>IF(ROW()-1&lt;=0,"",IF(ROW()-1&lt;=$L$2,IFERROR(INDEX(MCQ!$A:$K,ROW()-1+1,3),""),IF(ROW()-1&lt;=$L$2+$M$2,IFERROR(INDEX(CLOZE_AB!$A:$K,ROW()-1-$L$2+1,3),""),IF(ROW()-1&lt;=$L$2+$M$2+$N$2,IFERROR(INDEX(CLOZE_LIST!$A:$K,ROW()-1-$L$2-$M$2+1,3),""),IF(ROW()-1&lt;=$L$2+$M$2+$N$2+$O$2,IFERROR(INDEX(PROFORMA!$A:$K,ROW()-1-$L$2-$M$2-$N$2+1,3),""),"")))))</f>
        <v>calculations</v>
      </c>
      <c r="D192" s="3" t="str">
        <f>IF(ROW()-1&lt;=0,"",IF(ROW()-1&lt;=$L$2,IFERROR(INDEX(MCQ!$A:$K,ROW()-1+1,4),""),IF(ROW()-1&lt;=$L$2+$M$2,IFERROR(INDEX(CLOZE_AB!$A:$K,ROW()-1-$L$2+1,4),""),IF(ROW()-1&lt;=$L$2+$M$2+$N$2,IFERROR(INDEX(CLOZE_LIST!$A:$K,ROW()-1-$L$2-$M$2+1,4),""),IF(ROW()-1&lt;=$L$2+$M$2+$N$2+$O$2,IFERROR(INDEX(PROFORMA!$A:$K,ROW()-1-$L$2-$M$2-$N$2+1,4),""),"")))))</f>
        <v>Disallowable trading expenses</v>
      </c>
      <c r="E192" s="3" t="str">
        <f>IF(ROW()-1&lt;=0,"",IF(ROW()-1&lt;=$L$2,IFERROR(INDEX(MCQ!$A:$K,ROW()-1+1,5),""),IF(ROW()-1&lt;=$L$2+$M$2,IFERROR(INDEX(CLOZE_AB!$A:$K,ROW()-1-$L$2+1,5),""),IF(ROW()-1&lt;=$L$2+$M$2+$N$2,IFERROR(INDEX(CLOZE_LIST!$A:$K,ROW()-1-$L$2-$M$2+1,5),""),IF(ROW()-1&lt;=$L$2+$M$2+$N$2+$O$2,IFERROR(INDEX(PROFORMA!$A:$K,ROW()-1-$L$2-$M$2-$N$2+1,5),""),"")))))</f>
        <v>cloze_ab</v>
      </c>
      <c r="F192" s="3">
        <f>IF(ROW()-1&lt;=0,"",IF(ROW()-1&lt;=$L$2,IFERROR(INDEX(MCQ!$A:$K,ROW()-1+1,6),""),IF(ROW()-1&lt;=$L$2+$M$2,IFERROR(INDEX(CLOZE_AB!$A:$K,ROW()-1-$L$2+1,6),""),IF(ROW()-1&lt;=$L$2+$M$2+$N$2,IFERROR(INDEX(CLOZE_LIST!$A:$K,ROW()-1-$L$2-$M$2+1,6),""),IF(ROW()-1&lt;=$L$2+$M$2+$N$2+$O$2,IFERROR(INDEX(PROFORMA!$A:$K,ROW()-1-$L$2-$M$2-$N$2+1,6),""),"")))))</f>
        <v>3</v>
      </c>
      <c r="G192" s="3" t="str">
        <f>IF(ROW()-1&lt;=0,"",IF(ROW()-1&lt;=$L$2,IFERROR(INDEX(MCQ!$A:$K,ROW()-1+1,7),""),IF(ROW()-1&lt;=$L$2+$M$2,IFERROR(INDEX(CLOZE_AB!$A:$K,ROW()-1-$L$2+1,7),""),IF(ROW()-1&lt;=$L$2+$M$2+$N$2,IFERROR(INDEX(CLOZE_LIST!$A:$K,ROW()-1-$L$2-$M$2+1,7),""),IF(ROW()-1&lt;=$L$2+$M$2+$N$2+$O$2,IFERROR(INDEX(PROFORMA!$A:$K,ROW()-1-$L$2-$M$2-$N$2+1,7),""),"")))))</f>
        <v>core</v>
      </c>
      <c r="H192" s="3" t="str">
        <f>IF(ROW()-1&lt;=0,"",IF(ROW()-1&lt;=$L$2,IFERROR(INDEX(MCQ!$A:$K,ROW()-1+1,8),""),IF(ROW()-1&lt;=$L$2+$M$2,IFERROR(INDEX(CLOZE_AB!$A:$K,ROW()-1-$L$2+1,8),""),IF(ROW()-1&lt;=$L$2+$M$2+$N$2,IFERROR(INDEX(CLOZE_LIST!$A:$K,ROW()-1-$L$2-$M$2+1,8),""),IF(ROW()-1&lt;=$L$2+$M$2+$N$2+$O$2,IFERROR(INDEX(PROFORMA!$A:$K,ROW()-1-$L$2-$M$2-$N$2+1,8),""),"")))))</f>
        <v>Y</v>
      </c>
      <c r="I192" s="3" t="str">
        <f>IF(ROW()-1&lt;=0,"",IF(ROW()-1&lt;=$L$2,IFERROR(INDEX(MCQ!$A:$K,ROW()-1+1,9),""),IF(ROW()-1&lt;=$L$2+$M$2,IFERROR(INDEX(CLOZE_AB!$A:$K,ROW()-1-$L$2+1,9),""),IF(ROW()-1&lt;=$L$2+$M$2+$N$2,IFERROR(INDEX(CLOZE_LIST!$A:$K,ROW()-1-$L$2-$M$2+1,9),""),IF(ROW()-1&lt;=$L$2+$M$2+$N$2+$O$2,IFERROR(INDEX(PROFORMA!$A:$K,ROW()-1-$L$2-$M$2-$N$2+1,9),""),"")))))</f>
        <v>disallowable;tax</v>
      </c>
      <c r="J192" s="3" t="str">
        <f>IF(ROW()-1&lt;=0,"",IF(ROW()-1&lt;=$L$2,IFERROR(INDEX(MCQ!$A:$K,ROW()-1+1,10),""),IF(ROW()-1&lt;=$L$2+$M$2,IFERROR(INDEX(CLOZE_AB!$A:$K,ROW()-1-$L$2+1,10),""),IF(ROW()-1&lt;=$L$2+$M$2+$N$2,IFERROR(INDEX(CLOZE_LIST!$A:$K,ROW()-1-$L$2-$M$2+1,10),""),IF(ROW()-1&lt;=$L$2+$M$2+$N$2+$O$2,IFERROR(INDEX(PROFORMA!$A:$K,ROW()-1-$L$2-$M$2-$N$2+1,10),""),"")))))</f>
        <v>assistant_generated</v>
      </c>
      <c r="K192" s="3">
        <f>IF(ROW()-1&lt;=0,"",IF(ROW()-1&lt;=$L$2,IFERROR(INDEX(MCQ!$A:$K,ROW()-1+1,11),""),IF(ROW()-1&lt;=$L$2+$M$2,IFERROR(INDEX(CLOZE_AB!$A:$K,ROW()-1-$L$2+1,11),""),IF(ROW()-1&lt;=$L$2+$M$2+$N$2,IFERROR(INDEX(CLOZE_LIST!$A:$K,ROW()-1-$L$2-$M$2+1,11),""),IF(ROW()-1&lt;=$L$2+$M$2+$N$2+$O$2,IFERROR(INDEX(PROFORMA!$A:$K,ROW()-1-$L$2-$M$2-$N$2+1,11),""),"")))))</f>
        <v>1</v>
      </c>
      <c r="L192" s="3">
        <f>COUNTA(MCQ!$A:$A)-1</f>
        <v>143</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AB_ITNIC_CALC_DISALLOW_003</v>
      </c>
      <c r="B193" s="3" t="str">
        <f>IF(ROW()-1&lt;=0,"",IF(ROW()-1&lt;=$L$2,IFERROR(INDEX(MCQ!$A:$K,ROW()-1+1,2),""),IF(ROW()-1&lt;=$L$2+$M$2,IFERROR(INDEX(CLOZE_AB!$A:$K,ROW()-1-$L$2+1,2),""),IF(ROW()-1&lt;=$L$2+$M$2+$N$2,IFERROR(INDEX(CLOZE_LIST!$A:$K,ROW()-1-$L$2-$M$2+1,2),""),IF(ROW()-1&lt;=$L$2+$M$2+$N$2+$O$2,IFERROR(INDEX(PROFORMA!$A:$K,ROW()-1-$L$2-$M$2-$N$2+1,2),""),"")))))</f>
        <v>Income tax &amp; NIC</v>
      </c>
      <c r="C193" s="3" t="str">
        <f>IF(ROW()-1&lt;=0,"",IF(ROW()-1&lt;=$L$2,IFERROR(INDEX(MCQ!$A:$K,ROW()-1+1,3),""),IF(ROW()-1&lt;=$L$2+$M$2,IFERROR(INDEX(CLOZE_AB!$A:$K,ROW()-1-$L$2+1,3),""),IF(ROW()-1&lt;=$L$2+$M$2+$N$2,IFERROR(INDEX(CLOZE_LIST!$A:$K,ROW()-1-$L$2-$M$2+1,3),""),IF(ROW()-1&lt;=$L$2+$M$2+$N$2+$O$2,IFERROR(INDEX(PROFORMA!$A:$K,ROW()-1-$L$2-$M$2-$N$2+1,3),""),"")))))</f>
        <v>calculations</v>
      </c>
      <c r="D193" s="3" t="str">
        <f>IF(ROW()-1&lt;=0,"",IF(ROW()-1&lt;=$L$2,IFERROR(INDEX(MCQ!$A:$K,ROW()-1+1,4),""),IF(ROW()-1&lt;=$L$2+$M$2,IFERROR(INDEX(CLOZE_AB!$A:$K,ROW()-1-$L$2+1,4),""),IF(ROW()-1&lt;=$L$2+$M$2+$N$2,IFERROR(INDEX(CLOZE_LIST!$A:$K,ROW()-1-$L$2-$M$2+1,4),""),IF(ROW()-1&lt;=$L$2+$M$2+$N$2+$O$2,IFERROR(INDEX(PROFORMA!$A:$K,ROW()-1-$L$2-$M$2-$N$2+1,4),""),"")))))</f>
        <v>Disallowable trading expenses</v>
      </c>
      <c r="E193" s="3" t="str">
        <f>IF(ROW()-1&lt;=0,"",IF(ROW()-1&lt;=$L$2,IFERROR(INDEX(MCQ!$A:$K,ROW()-1+1,5),""),IF(ROW()-1&lt;=$L$2+$M$2,IFERROR(INDEX(CLOZE_AB!$A:$K,ROW()-1-$L$2+1,5),""),IF(ROW()-1&lt;=$L$2+$M$2+$N$2,IFERROR(INDEX(CLOZE_LIST!$A:$K,ROW()-1-$L$2-$M$2+1,5),""),IF(ROW()-1&lt;=$L$2+$M$2+$N$2+$O$2,IFERROR(INDEX(PROFORMA!$A:$K,ROW()-1-$L$2-$M$2-$N$2+1,5),""),"")))))</f>
        <v>cloze_ab</v>
      </c>
      <c r="F193" s="3">
        <f>IF(ROW()-1&lt;=0,"",IF(ROW()-1&lt;=$L$2,IFERROR(INDEX(MCQ!$A:$K,ROW()-1+1,6),""),IF(ROW()-1&lt;=$L$2+$M$2,IFERROR(INDEX(CLOZE_AB!$A:$K,ROW()-1-$L$2+1,6),""),IF(ROW()-1&lt;=$L$2+$M$2+$N$2,IFERROR(INDEX(CLOZE_LIST!$A:$K,ROW()-1-$L$2-$M$2+1,6),""),IF(ROW()-1&lt;=$L$2+$M$2+$N$2+$O$2,IFERROR(INDEX(PROFORMA!$A:$K,ROW()-1-$L$2-$M$2-$N$2+1,6),""),"")))))</f>
        <v>3</v>
      </c>
      <c r="G193" s="3" t="str">
        <f>IF(ROW()-1&lt;=0,"",IF(ROW()-1&lt;=$L$2,IFERROR(INDEX(MCQ!$A:$K,ROW()-1+1,7),""),IF(ROW()-1&lt;=$L$2+$M$2,IFERROR(INDEX(CLOZE_AB!$A:$K,ROW()-1-$L$2+1,7),""),IF(ROW()-1&lt;=$L$2+$M$2+$N$2,IFERROR(INDEX(CLOZE_LIST!$A:$K,ROW()-1-$L$2-$M$2+1,7),""),IF(ROW()-1&lt;=$L$2+$M$2+$N$2+$O$2,IFERROR(INDEX(PROFORMA!$A:$K,ROW()-1-$L$2-$M$2-$N$2+1,7),""),"")))))</f>
        <v>core</v>
      </c>
      <c r="H193" s="3" t="str">
        <f>IF(ROW()-1&lt;=0,"",IF(ROW()-1&lt;=$L$2,IFERROR(INDEX(MCQ!$A:$K,ROW()-1+1,8),""),IF(ROW()-1&lt;=$L$2+$M$2,IFERROR(INDEX(CLOZE_AB!$A:$K,ROW()-1-$L$2+1,8),""),IF(ROW()-1&lt;=$L$2+$M$2+$N$2,IFERROR(INDEX(CLOZE_LIST!$A:$K,ROW()-1-$L$2-$M$2+1,8),""),IF(ROW()-1&lt;=$L$2+$M$2+$N$2+$O$2,IFERROR(INDEX(PROFORMA!$A:$K,ROW()-1-$L$2-$M$2-$N$2+1,8),""),"")))))</f>
        <v>Y</v>
      </c>
      <c r="I193" s="3" t="str">
        <f>IF(ROW()-1&lt;=0,"",IF(ROW()-1&lt;=$L$2,IFERROR(INDEX(MCQ!$A:$K,ROW()-1+1,9),""),IF(ROW()-1&lt;=$L$2+$M$2,IFERROR(INDEX(CLOZE_AB!$A:$K,ROW()-1-$L$2+1,9),""),IF(ROW()-1&lt;=$L$2+$M$2+$N$2,IFERROR(INDEX(CLOZE_LIST!$A:$K,ROW()-1-$L$2-$M$2+1,9),""),IF(ROW()-1&lt;=$L$2+$M$2+$N$2+$O$2,IFERROR(INDEX(PROFORMA!$A:$K,ROW()-1-$L$2-$M$2-$N$2+1,9),""),"")))))</f>
        <v>disallowable;depreciation</v>
      </c>
      <c r="J193" s="3" t="str">
        <f>IF(ROW()-1&lt;=0,"",IF(ROW()-1&lt;=$L$2,IFERROR(INDEX(MCQ!$A:$K,ROW()-1+1,10),""),IF(ROW()-1&lt;=$L$2+$M$2,IFERROR(INDEX(CLOZE_AB!$A:$K,ROW()-1-$L$2+1,10),""),IF(ROW()-1&lt;=$L$2+$M$2+$N$2,IFERROR(INDEX(CLOZE_LIST!$A:$K,ROW()-1-$L$2-$M$2+1,10),""),IF(ROW()-1&lt;=$L$2+$M$2+$N$2+$O$2,IFERROR(INDEX(PROFORMA!$A:$K,ROW()-1-$L$2-$M$2-$N$2+1,10),""),"")))))</f>
        <v>assistant_generated</v>
      </c>
      <c r="K193" s="3">
        <f>IF(ROW()-1&lt;=0,"",IF(ROW()-1&lt;=$L$2,IFERROR(INDEX(MCQ!$A:$K,ROW()-1+1,11),""),IF(ROW()-1&lt;=$L$2+$M$2,IFERROR(INDEX(CLOZE_AB!$A:$K,ROW()-1-$L$2+1,11),""),IF(ROW()-1&lt;=$L$2+$M$2+$N$2,IFERROR(INDEX(CLOZE_LIST!$A:$K,ROW()-1-$L$2-$M$2+1,11),""),IF(ROW()-1&lt;=$L$2+$M$2+$N$2+$O$2,IFERROR(INDEX(PROFORMA!$A:$K,ROW()-1-$L$2-$M$2-$N$2+1,11),""),"")))))</f>
        <v>1</v>
      </c>
      <c r="L193" s="3">
        <f>COUNTA(MCQ!$A:$A)-1</f>
        <v>143</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AB_ITNIC_CALC_DISALLOW_004</v>
      </c>
      <c r="B194" s="3" t="str">
        <f>IF(ROW()-1&lt;=0,"",IF(ROW()-1&lt;=$L$2,IFERROR(INDEX(MCQ!$A:$K,ROW()-1+1,2),""),IF(ROW()-1&lt;=$L$2+$M$2,IFERROR(INDEX(CLOZE_AB!$A:$K,ROW()-1-$L$2+1,2),""),IF(ROW()-1&lt;=$L$2+$M$2+$N$2,IFERROR(INDEX(CLOZE_LIST!$A:$K,ROW()-1-$L$2-$M$2+1,2),""),IF(ROW()-1&lt;=$L$2+$M$2+$N$2+$O$2,IFERROR(INDEX(PROFORMA!$A:$K,ROW()-1-$L$2-$M$2-$N$2+1,2),""),"")))))</f>
        <v>Income tax &amp; NIC</v>
      </c>
      <c r="C194" s="3" t="str">
        <f>IF(ROW()-1&lt;=0,"",IF(ROW()-1&lt;=$L$2,IFERROR(INDEX(MCQ!$A:$K,ROW()-1+1,3),""),IF(ROW()-1&lt;=$L$2+$M$2,IFERROR(INDEX(CLOZE_AB!$A:$K,ROW()-1-$L$2+1,3),""),IF(ROW()-1&lt;=$L$2+$M$2+$N$2,IFERROR(INDEX(CLOZE_LIST!$A:$K,ROW()-1-$L$2-$M$2+1,3),""),IF(ROW()-1&lt;=$L$2+$M$2+$N$2+$O$2,IFERROR(INDEX(PROFORMA!$A:$K,ROW()-1-$L$2-$M$2-$N$2+1,3),""),"")))))</f>
        <v>calculations</v>
      </c>
      <c r="D194" s="3" t="str">
        <f>IF(ROW()-1&lt;=0,"",IF(ROW()-1&lt;=$L$2,IFERROR(INDEX(MCQ!$A:$K,ROW()-1+1,4),""),IF(ROW()-1&lt;=$L$2+$M$2,IFERROR(INDEX(CLOZE_AB!$A:$K,ROW()-1-$L$2+1,4),""),IF(ROW()-1&lt;=$L$2+$M$2+$N$2,IFERROR(INDEX(CLOZE_LIST!$A:$K,ROW()-1-$L$2-$M$2+1,4),""),IF(ROW()-1&lt;=$L$2+$M$2+$N$2+$O$2,IFERROR(INDEX(PROFORMA!$A:$K,ROW()-1-$L$2-$M$2-$N$2+1,4),""),"")))))</f>
        <v>Disallowable trading expenses</v>
      </c>
      <c r="E194" s="3" t="str">
        <f>IF(ROW()-1&lt;=0,"",IF(ROW()-1&lt;=$L$2,IFERROR(INDEX(MCQ!$A:$K,ROW()-1+1,5),""),IF(ROW()-1&lt;=$L$2+$M$2,IFERROR(INDEX(CLOZE_AB!$A:$K,ROW()-1-$L$2+1,5),""),IF(ROW()-1&lt;=$L$2+$M$2+$N$2,IFERROR(INDEX(CLOZE_LIST!$A:$K,ROW()-1-$L$2-$M$2+1,5),""),IF(ROW()-1&lt;=$L$2+$M$2+$N$2+$O$2,IFERROR(INDEX(PROFORMA!$A:$K,ROW()-1-$L$2-$M$2-$N$2+1,5),""),"")))))</f>
        <v>cloze_ab</v>
      </c>
      <c r="F194" s="3">
        <f>IF(ROW()-1&lt;=0,"",IF(ROW()-1&lt;=$L$2,IFERROR(INDEX(MCQ!$A:$K,ROW()-1+1,6),""),IF(ROW()-1&lt;=$L$2+$M$2,IFERROR(INDEX(CLOZE_AB!$A:$K,ROW()-1-$L$2+1,6),""),IF(ROW()-1&lt;=$L$2+$M$2+$N$2,IFERROR(INDEX(CLOZE_LIST!$A:$K,ROW()-1-$L$2-$M$2+1,6),""),IF(ROW()-1&lt;=$L$2+$M$2+$N$2+$O$2,IFERROR(INDEX(PROFORMA!$A:$K,ROW()-1-$L$2-$M$2-$N$2+1,6),""),"")))))</f>
        <v>3</v>
      </c>
      <c r="G194" s="3" t="str">
        <f>IF(ROW()-1&lt;=0,"",IF(ROW()-1&lt;=$L$2,IFERROR(INDEX(MCQ!$A:$K,ROW()-1+1,7),""),IF(ROW()-1&lt;=$L$2+$M$2,IFERROR(INDEX(CLOZE_AB!$A:$K,ROW()-1-$L$2+1,7),""),IF(ROW()-1&lt;=$L$2+$M$2+$N$2,IFERROR(INDEX(CLOZE_LIST!$A:$K,ROW()-1-$L$2-$M$2+1,7),""),IF(ROW()-1&lt;=$L$2+$M$2+$N$2+$O$2,IFERROR(INDEX(PROFORMA!$A:$K,ROW()-1-$L$2-$M$2-$N$2+1,7),""),"")))))</f>
        <v>core</v>
      </c>
      <c r="H194" s="3" t="str">
        <f>IF(ROW()-1&lt;=0,"",IF(ROW()-1&lt;=$L$2,IFERROR(INDEX(MCQ!$A:$K,ROW()-1+1,8),""),IF(ROW()-1&lt;=$L$2+$M$2,IFERROR(INDEX(CLOZE_AB!$A:$K,ROW()-1-$L$2+1,8),""),IF(ROW()-1&lt;=$L$2+$M$2+$N$2,IFERROR(INDEX(CLOZE_LIST!$A:$K,ROW()-1-$L$2-$M$2+1,8),""),IF(ROW()-1&lt;=$L$2+$M$2+$N$2+$O$2,IFERROR(INDEX(PROFORMA!$A:$K,ROW()-1-$L$2-$M$2-$N$2+1,8),""),"")))))</f>
        <v>Y</v>
      </c>
      <c r="I194" s="3" t="str">
        <f>IF(ROW()-1&lt;=0,"",IF(ROW()-1&lt;=$L$2,IFERROR(INDEX(MCQ!$A:$K,ROW()-1+1,9),""),IF(ROW()-1&lt;=$L$2+$M$2,IFERROR(INDEX(CLOZE_AB!$A:$K,ROW()-1-$L$2+1,9),""),IF(ROW()-1&lt;=$L$2+$M$2+$N$2,IFERROR(INDEX(CLOZE_LIST!$A:$K,ROW()-1-$L$2-$M$2+1,9),""),IF(ROW()-1&lt;=$L$2+$M$2+$N$2+$O$2,IFERROR(INDEX(PROFORMA!$A:$K,ROW()-1-$L$2-$M$2-$N$2+1,9),""),"")))))</f>
        <v>disallowable;fines</v>
      </c>
      <c r="J194" s="3" t="str">
        <f>IF(ROW()-1&lt;=0,"",IF(ROW()-1&lt;=$L$2,IFERROR(INDEX(MCQ!$A:$K,ROW()-1+1,10),""),IF(ROW()-1&lt;=$L$2+$M$2,IFERROR(INDEX(CLOZE_AB!$A:$K,ROW()-1-$L$2+1,10),""),IF(ROW()-1&lt;=$L$2+$M$2+$N$2,IFERROR(INDEX(CLOZE_LIST!$A:$K,ROW()-1-$L$2-$M$2+1,10),""),IF(ROW()-1&lt;=$L$2+$M$2+$N$2+$O$2,IFERROR(INDEX(PROFORMA!$A:$K,ROW()-1-$L$2-$M$2-$N$2+1,10),""),"")))))</f>
        <v>assistant_generated</v>
      </c>
      <c r="K194" s="3">
        <f>IF(ROW()-1&lt;=0,"",IF(ROW()-1&lt;=$L$2,IFERROR(INDEX(MCQ!$A:$K,ROW()-1+1,11),""),IF(ROW()-1&lt;=$L$2+$M$2,IFERROR(INDEX(CLOZE_AB!$A:$K,ROW()-1-$L$2+1,11),""),IF(ROW()-1&lt;=$L$2+$M$2+$N$2,IFERROR(INDEX(CLOZE_LIST!$A:$K,ROW()-1-$L$2-$M$2+1,11),""),IF(ROW()-1&lt;=$L$2+$M$2+$N$2+$O$2,IFERROR(INDEX(PROFORMA!$A:$K,ROW()-1-$L$2-$M$2-$N$2+1,11),""),"")))))</f>
        <v>1</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f>IF(ROW()-1&lt;=0,"",IF(ROW()-1&lt;=$L$2,IFERROR(INDEX(MCQ!$A:$K,ROW()-1+1,5),""),IF(ROW()-1&lt;=$L$2+$M$2,IFERROR(INDEX(CLOZE_AB!$A:$K,ROW()-1-$L$2+1,5),""),IF(ROW()-1&lt;=$L$2+$M$2+$N$2,IFERROR(INDEX(CLOZE_LIST!$A:$K,ROW()-1-$L$2-$M$2+1,5),""),IF(ROW()-1&lt;=$L$2+$M$2+$N$2+$O$2,IFERROR(INDEX(PROFORMA!$A:$K,ROW()-1-$L$2-$M$2-$N$2+1,5),""),"")))))</f>
        <v>0</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f>IF(ROW()-1&lt;=0,"",IF(ROW()-1&lt;=$L$2,IFERROR(INDEX(MCQ!$A:$K,ROW()-1+1,5),""),IF(ROW()-1&lt;=$L$2+$M$2,IFERROR(INDEX(CLOZE_AB!$A:$K,ROW()-1-$L$2+1,5),""),IF(ROW()-1&lt;=$L$2+$M$2+$N$2,IFERROR(INDEX(CLOZE_LIST!$A:$K,ROW()-1-$L$2-$M$2+1,5),""),IF(ROW()-1&lt;=$L$2+$M$2+$N$2+$O$2,IFERROR(INDEX(PROFORMA!$A:$K,ROW()-1-$L$2-$M$2-$N$2+1,5),""),"")))))</f>
        <v>0</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f>IF(ROW()-1&lt;=0,"",IF(ROW()-1&lt;=$L$2,IFERROR(INDEX(MCQ!$A:$K,ROW()-1+1,5),""),IF(ROW()-1&lt;=$L$2+$M$2,IFERROR(INDEX(CLOZE_AB!$A:$K,ROW()-1-$L$2+1,5),""),IF(ROW()-1&lt;=$L$2+$M$2+$N$2,IFERROR(INDEX(CLOZE_LIST!$A:$K,ROW()-1-$L$2-$M$2+1,5),""),IF(ROW()-1&lt;=$L$2+$M$2+$N$2+$O$2,IFERROR(INDEX(PROFORMA!$A:$K,ROW()-1-$L$2-$M$2-$N$2+1,5),""),"")))))</f>
        <v>0</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f>IF(ROW()-1&lt;=0,"",IF(ROW()-1&lt;=$L$2,IFERROR(INDEX(MCQ!$A:$K,ROW()-1+1,5),""),IF(ROW()-1&lt;=$L$2+$M$2,IFERROR(INDEX(CLOZE_AB!$A:$K,ROW()-1-$L$2+1,5),""),IF(ROW()-1&lt;=$L$2+$M$2+$N$2,IFERROR(INDEX(CLOZE_LIST!$A:$K,ROW()-1-$L$2-$M$2+1,5),""),IF(ROW()-1&lt;=$L$2+$M$2+$N$2+$O$2,IFERROR(INDEX(PROFORMA!$A:$K,ROW()-1-$L$2-$M$2-$N$2+1,5),""),"")))))</f>
        <v>0</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f>IF(ROW()-1&lt;=0,"",IF(ROW()-1&lt;=$L$2,IFERROR(INDEX(MCQ!$A:$K,ROW()-1+1,5),""),IF(ROW()-1&lt;=$L$2+$M$2,IFERROR(INDEX(CLOZE_AB!$A:$K,ROW()-1-$L$2+1,5),""),IF(ROW()-1&lt;=$L$2+$M$2+$N$2,IFERROR(INDEX(CLOZE_LIST!$A:$K,ROW()-1-$L$2-$M$2+1,5),""),IF(ROW()-1&lt;=$L$2+$M$2+$N$2+$O$2,IFERROR(INDEX(PROFORMA!$A:$K,ROW()-1-$L$2-$M$2-$N$2+1,5),""),"")))))</f>
        <v>0</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f>IF(ROW()-1&lt;=0,"",IF(ROW()-1&lt;=$L$2,IFERROR(INDEX(MCQ!$A:$K,ROW()-1+1,5),""),IF(ROW()-1&lt;=$L$2+$M$2,IFERROR(INDEX(CLOZE_AB!$A:$K,ROW()-1-$L$2+1,5),""),IF(ROW()-1&lt;=$L$2+$M$2+$N$2,IFERROR(INDEX(CLOZE_LIST!$A:$K,ROW()-1-$L$2-$M$2+1,5),""),IF(ROW()-1&lt;=$L$2+$M$2+$N$2+$O$2,IFERROR(INDEX(PROFORMA!$A:$K,ROW()-1-$L$2-$M$2-$N$2+1,5),""),"")))))</f>
        <v>0</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f>IF(ROW()-1&lt;=0,"",IF(ROW()-1&lt;=$L$2,IFERROR(INDEX(MCQ!$A:$K,ROW()-1+1,5),""),IF(ROW()-1&lt;=$L$2+$M$2,IFERROR(INDEX(CLOZE_AB!$A:$K,ROW()-1-$L$2+1,5),""),IF(ROW()-1&lt;=$L$2+$M$2+$N$2,IFERROR(INDEX(CLOZE_LIST!$A:$K,ROW()-1-$L$2-$M$2+1,5),""),IF(ROW()-1&lt;=$L$2+$M$2+$N$2+$O$2,IFERROR(INDEX(PROFORMA!$A:$K,ROW()-1-$L$2-$M$2-$N$2+1,5),""),"")))))</f>
        <v>0</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f>IF(ROW()-1&lt;=0,"",IF(ROW()-1&lt;=$L$2,IFERROR(INDEX(MCQ!$A:$K,ROW()-1+1,5),""),IF(ROW()-1&lt;=$L$2+$M$2,IFERROR(INDEX(CLOZE_AB!$A:$K,ROW()-1-$L$2+1,5),""),IF(ROW()-1&lt;=$L$2+$M$2+$N$2,IFERROR(INDEX(CLOZE_LIST!$A:$K,ROW()-1-$L$2-$M$2+1,5),""),IF(ROW()-1&lt;=$L$2+$M$2+$N$2+$O$2,IFERROR(INDEX(PROFORMA!$A:$K,ROW()-1-$L$2-$M$2-$N$2+1,5),""),"")))))</f>
        <v>0</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f>IF(ROW()-1&lt;=0,"",IF(ROW()-1&lt;=$L$2,IFERROR(INDEX(MCQ!$A:$K,ROW()-1+1,5),""),IF(ROW()-1&lt;=$L$2+$M$2,IFERROR(INDEX(CLOZE_AB!$A:$K,ROW()-1-$L$2+1,5),""),IF(ROW()-1&lt;=$L$2+$M$2+$N$2,IFERROR(INDEX(CLOZE_LIST!$A:$K,ROW()-1-$L$2-$M$2+1,5),""),IF(ROW()-1&lt;=$L$2+$M$2+$N$2+$O$2,IFERROR(INDEX(PROFORMA!$A:$K,ROW()-1-$L$2-$M$2-$N$2+1,5),""),"")))))</f>
        <v>0</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f>IF(ROW()-1&lt;=0,"",IF(ROW()-1&lt;=$L$2,IFERROR(INDEX(MCQ!$A:$K,ROW()-1+1,5),""),IF(ROW()-1&lt;=$L$2+$M$2,IFERROR(INDEX(CLOZE_AB!$A:$K,ROW()-1-$L$2+1,5),""),IF(ROW()-1&lt;=$L$2+$M$2+$N$2,IFERROR(INDEX(CLOZE_LIST!$A:$K,ROW()-1-$L$2-$M$2+1,5),""),IF(ROW()-1&lt;=$L$2+$M$2+$N$2+$O$2,IFERROR(INDEX(PROFORMA!$A:$K,ROW()-1-$L$2-$M$2-$N$2+1,5),""),"")))))</f>
        <v>0</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f>IF(ROW()-1&lt;=0,"",IF(ROW()-1&lt;=$L$2,IFERROR(INDEX(MCQ!$A:$K,ROW()-1+1,5),""),IF(ROW()-1&lt;=$L$2+$M$2,IFERROR(INDEX(CLOZE_AB!$A:$K,ROW()-1-$L$2+1,5),""),IF(ROW()-1&lt;=$L$2+$M$2+$N$2,IFERROR(INDEX(CLOZE_LIST!$A:$K,ROW()-1-$L$2-$M$2+1,5),""),IF(ROW()-1&lt;=$L$2+$M$2+$N$2+$O$2,IFERROR(INDEX(PROFORMA!$A:$K,ROW()-1-$L$2-$M$2-$N$2+1,5),""),"")))))</f>
        <v>0</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f>IF(ROW()-1&lt;=0,"",IF(ROW()-1&lt;=$L$2,IFERROR(INDEX(MCQ!$A:$K,ROW()-1+1,5),""),IF(ROW()-1&lt;=$L$2+$M$2,IFERROR(INDEX(CLOZE_AB!$A:$K,ROW()-1-$L$2+1,5),""),IF(ROW()-1&lt;=$L$2+$M$2+$N$2,IFERROR(INDEX(CLOZE_LIST!$A:$K,ROW()-1-$L$2-$M$2+1,5),""),IF(ROW()-1&lt;=$L$2+$M$2+$N$2+$O$2,IFERROR(INDEX(PROFORMA!$A:$K,ROW()-1-$L$2-$M$2-$N$2+1,5),""),"")))))</f>
        <v>0</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f>IF(ROW()-1&lt;=0,"",IF(ROW()-1&lt;=$L$2,IFERROR(INDEX(MCQ!$A:$K,ROW()-1+1,5),""),IF(ROW()-1&lt;=$L$2+$M$2,IFERROR(INDEX(CLOZE_AB!$A:$K,ROW()-1-$L$2+1,5),""),IF(ROW()-1&lt;=$L$2+$M$2+$N$2,IFERROR(INDEX(CLOZE_LIST!$A:$K,ROW()-1-$L$2-$M$2+1,5),""),IF(ROW()-1&lt;=$L$2+$M$2+$N$2+$O$2,IFERROR(INDEX(PROFORMA!$A:$K,ROW()-1-$L$2-$M$2-$N$2+1,5),""),"")))))</f>
        <v>0</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f>IF(ROW()-1&lt;=0,"",IF(ROW()-1&lt;=$L$2,IFERROR(INDEX(MCQ!$A:$K,ROW()-1+1,5),""),IF(ROW()-1&lt;=$L$2+$M$2,IFERROR(INDEX(CLOZE_AB!$A:$K,ROW()-1-$L$2+1,5),""),IF(ROW()-1&lt;=$L$2+$M$2+$N$2,IFERROR(INDEX(CLOZE_LIST!$A:$K,ROW()-1-$L$2-$M$2+1,5),""),IF(ROW()-1&lt;=$L$2+$M$2+$N$2+$O$2,IFERROR(INDEX(PROFORMA!$A:$K,ROW()-1-$L$2-$M$2-$N$2+1,5),""),"")))))</f>
        <v>0</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f>IF(ROW()-1&lt;=0,"",IF(ROW()-1&lt;=$L$2,IFERROR(INDEX(MCQ!$A:$K,ROW()-1+1,5),""),IF(ROW()-1&lt;=$L$2+$M$2,IFERROR(INDEX(CLOZE_AB!$A:$K,ROW()-1-$L$2+1,5),""),IF(ROW()-1&lt;=$L$2+$M$2+$N$2,IFERROR(INDEX(CLOZE_LIST!$A:$K,ROW()-1-$L$2-$M$2+1,5),""),IF(ROW()-1&lt;=$L$2+$M$2+$N$2+$O$2,IFERROR(INDEX(PROFORMA!$A:$K,ROW()-1-$L$2-$M$2-$N$2+1,5),""),"")))))</f>
        <v>0</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f>IF(ROW()-1&lt;=0,"",IF(ROW()-1&lt;=$L$2,IFERROR(INDEX(MCQ!$A:$K,ROW()-1+1,5),""),IF(ROW()-1&lt;=$L$2+$M$2,IFERROR(INDEX(CLOZE_AB!$A:$K,ROW()-1-$L$2+1,5),""),IF(ROW()-1&lt;=$L$2+$M$2+$N$2,IFERROR(INDEX(CLOZE_LIST!$A:$K,ROW()-1-$L$2-$M$2+1,5),""),IF(ROW()-1&lt;=$L$2+$M$2+$N$2+$O$2,IFERROR(INDEX(PROFORMA!$A:$K,ROW()-1-$L$2-$M$2-$N$2+1,5),""),"")))))</f>
        <v>0</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f>IF(ROW()-1&lt;=0,"",IF(ROW()-1&lt;=$L$2,IFERROR(INDEX(MCQ!$A:$K,ROW()-1+1,5),""),IF(ROW()-1&lt;=$L$2+$M$2,IFERROR(INDEX(CLOZE_AB!$A:$K,ROW()-1-$L$2+1,5),""),IF(ROW()-1&lt;=$L$2+$M$2+$N$2,IFERROR(INDEX(CLOZE_LIST!$A:$K,ROW()-1-$L$2-$M$2+1,5),""),IF(ROW()-1&lt;=$L$2+$M$2+$N$2+$O$2,IFERROR(INDEX(PROFORMA!$A:$K,ROW()-1-$L$2-$M$2-$N$2+1,5),""),"")))))</f>
        <v>0</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f>IF(ROW()-1&lt;=0,"",IF(ROW()-1&lt;=$L$2,IFERROR(INDEX(MCQ!$A:$K,ROW()-1+1,5),""),IF(ROW()-1&lt;=$L$2+$M$2,IFERROR(INDEX(CLOZE_AB!$A:$K,ROW()-1-$L$2+1,5),""),IF(ROW()-1&lt;=$L$2+$M$2+$N$2,IFERROR(INDEX(CLOZE_LIST!$A:$K,ROW()-1-$L$2-$M$2+1,5),""),IF(ROW()-1&lt;=$L$2+$M$2+$N$2+$O$2,IFERROR(INDEX(PROFORMA!$A:$K,ROW()-1-$L$2-$M$2-$N$2+1,5),""),"")))))</f>
        <v>0</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f>IF(ROW()-1&lt;=0,"",IF(ROW()-1&lt;=$L$2,IFERROR(INDEX(MCQ!$A:$K,ROW()-1+1,5),""),IF(ROW()-1&lt;=$L$2+$M$2,IFERROR(INDEX(CLOZE_AB!$A:$K,ROW()-1-$L$2+1,5),""),IF(ROW()-1&lt;=$L$2+$M$2+$N$2,IFERROR(INDEX(CLOZE_LIST!$A:$K,ROW()-1-$L$2-$M$2+1,5),""),IF(ROW()-1&lt;=$L$2+$M$2+$N$2+$O$2,IFERROR(INDEX(PROFORMA!$A:$K,ROW()-1-$L$2-$M$2-$N$2+1,5),""),"")))))</f>
        <v>0</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f>IF(ROW()-1&lt;=0,"",IF(ROW()-1&lt;=$L$2,IFERROR(INDEX(MCQ!$A:$K,ROW()-1+1,5),""),IF(ROW()-1&lt;=$L$2+$M$2,IFERROR(INDEX(CLOZE_AB!$A:$K,ROW()-1-$L$2+1,5),""),IF(ROW()-1&lt;=$L$2+$M$2+$N$2,IFERROR(INDEX(CLOZE_LIST!$A:$K,ROW()-1-$L$2-$M$2+1,5),""),IF(ROW()-1&lt;=$L$2+$M$2+$N$2+$O$2,IFERROR(INDEX(PROFORMA!$A:$K,ROW()-1-$L$2-$M$2-$N$2+1,5),""),"")))))</f>
        <v>0</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ht="28.8"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f>IF(ROW()-1&lt;=0,"",IF(ROW()-1&lt;=$L$2,IFERROR(INDEX(MCQ!$A:$K,ROW()-1+1,5),""),IF(ROW()-1&lt;=$L$2+$M$2,IFERROR(INDEX(CLOZE_AB!$A:$K,ROW()-1-$L$2+1,5),""),IF(ROW()-1&lt;=$L$2+$M$2+$N$2,IFERROR(INDEX(CLOZE_LIST!$A:$K,ROW()-1-$L$2-$M$2+1,5),""),IF(ROW()-1&lt;=$L$2+$M$2+$N$2+$O$2,IFERROR(INDEX(PROFORMA!$A:$K,ROW()-1-$L$2-$M$2-$N$2+1,5),""),"")))))</f>
        <v>0</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Tax efficient investments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Tax efficient investments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ht="28.8" x14ac:dyDescent="0.3">
      <c r="A320" s="3" t="str">
        <f>IF(ROW()-1&lt;=0,"",IF(ROW()-1&lt;=$L$2,IFERROR(INDEX(MCQ!$A:$K,ROW()-1+1,1),""),IF(ROW()-1&lt;=$L$2+$M$2,IFERROR(INDEX(CLOZE_AB!$A:$K,ROW()-1-$L$2+1,1),""),IF(ROW()-1&lt;=$L$2+$M$2+$N$2,IFERROR(INDEX(CLOZE_LIST!$A:$K,ROW()-1-$L$2-$M$2+1,1),""),IF(ROW()-1&lt;=$L$2+$M$2+$N$2+$O$2,IFERROR(INDEX(PROFORMA!$A:$K,ROW()-1-$L$2-$M$2-$N$2+1,1),""),"")))))</f>
        <v>LIST_CGT_REQ_SPLITYR_001</v>
      </c>
      <c r="B320" s="3" t="str">
        <f>IF(ROW()-1&lt;=0,"",IF(ROW()-1&lt;=$L$2,IFERROR(INDEX(MCQ!$A:$K,ROW()-1+1,2),""),IF(ROW()-1&lt;=$L$2+$M$2,IFERROR(INDEX(CLOZE_AB!$A:$K,ROW()-1-$L$2+1,2),""),IF(ROW()-1&lt;=$L$2+$M$2+$N$2,IFERROR(INDEX(CLOZE_LIST!$A:$K,ROW()-1-$L$2-$M$2+1,2),""),IF(ROW()-1&lt;=$L$2+$M$2+$N$2+$O$2,IFERROR(INDEX(PROFORMA!$A:$K,ROW()-1-$L$2-$M$2-$N$2+1,2),""),"")))))</f>
        <v>Capital gains</v>
      </c>
      <c r="C320" s="3" t="str">
        <f>IF(ROW()-1&lt;=0,"",IF(ROW()-1&lt;=$L$2,IFERROR(INDEX(MCQ!$A:$K,ROW()-1+1,3),""),IF(ROW()-1&lt;=$L$2+$M$2,IFERROR(INDEX(CLOZE_AB!$A:$K,ROW()-1-$L$2+1,3),""),IF(ROW()-1&lt;=$L$2+$M$2+$N$2,IFERROR(INDEX(CLOZE_LIST!$A:$K,ROW()-1-$L$2-$M$2+1,3),""),IF(ROW()-1&lt;=$L$2+$M$2+$N$2+$O$2,IFERROR(INDEX(PROFORMA!$A:$K,ROW()-1-$L$2-$M$2-$N$2+1,3),""),"")))))</f>
        <v>requirements</v>
      </c>
      <c r="D320" s="3" t="str">
        <f>IF(ROW()-1&lt;=0,"",IF(ROW()-1&lt;=$L$2,IFERROR(INDEX(MCQ!$A:$K,ROW()-1+1,4),""),IF(ROW()-1&lt;=$L$2+$M$2,IFERROR(INDEX(CLOZE_AB!$A:$K,ROW()-1-$L$2+1,4),""),IF(ROW()-1&lt;=$L$2+$M$2+$N$2,IFERROR(INDEX(CLOZE_LIST!$A:$K,ROW()-1-$L$2-$M$2+1,4),""),IF(ROW()-1&lt;=$L$2+$M$2+$N$2+$O$2,IFERROR(INDEX(PROFORMA!$A:$K,ROW()-1-$L$2-$M$2-$N$2+1,4),""),"")))))</f>
        <v>Split-year treatment</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3</v>
      </c>
      <c r="G320" s="3" t="str">
        <f>IF(ROW()-1&lt;=0,"",IF(ROW()-1&lt;=$L$2,IFERROR(INDEX(MCQ!$A:$K,ROW()-1+1,7),""),IF(ROW()-1&lt;=$L$2+$M$2,IFERROR(INDEX(CLOZE_AB!$A:$K,ROW()-1-$L$2+1,7),""),IF(ROW()-1&lt;=$L$2+$M$2+$N$2,IFERROR(INDEX(CLOZE_LIST!$A:$K,ROW()-1-$L$2-$M$2+1,7),""),IF(ROW()-1&lt;=$L$2+$M$2+$N$2+$O$2,IFERROR(INDEX(PROFORMA!$A:$K,ROW()-1-$L$2-$M$2-$N$2+1,7),""),"")))))</f>
        <v>core</v>
      </c>
      <c r="H320" s="3" t="str">
        <f>IF(ROW()-1&lt;=0,"",IF(ROW()-1&lt;=$L$2,IFERROR(INDEX(MCQ!$A:$K,ROW()-1+1,8),""),IF(ROW()-1&lt;=$L$2+$M$2,IFERROR(INDEX(CLOZE_AB!$A:$K,ROW()-1-$L$2+1,8),""),IF(ROW()-1&lt;=$L$2+$M$2+$N$2,IFERROR(INDEX(CLOZE_LIST!$A:$K,ROW()-1-$L$2-$M$2+1,8),""),IF(ROW()-1&lt;=$L$2+$M$2+$N$2+$O$2,IFERROR(INDEX(PROFORMA!$A:$K,ROW()-1-$L$2-$M$2-$N$2+1,8),""),"")))))</f>
        <v>Y</v>
      </c>
      <c r="I320" s="3" t="str">
        <f>IF(ROW()-1&lt;=0,"",IF(ROW()-1&lt;=$L$2,IFERROR(INDEX(MCQ!$A:$K,ROW()-1+1,9),""),IF(ROW()-1&lt;=$L$2+$M$2,IFERROR(INDEX(CLOZE_AB!$A:$K,ROW()-1-$L$2+1,9),""),IF(ROW()-1&lt;=$L$2+$M$2+$N$2,IFERROR(INDEX(CLOZE_LIST!$A:$K,ROW()-1-$L$2-$M$2+1,9),""),IF(ROW()-1&lt;=$L$2+$M$2+$N$2+$O$2,IFERROR(INDEX(PROFORMA!$A:$K,ROW()-1-$L$2-$M$2-$N$2+1,9),""),"")))))</f>
        <v>split_year|overview</v>
      </c>
      <c r="J320" s="3" t="str">
        <f>IF(ROW()-1&lt;=0,"",IF(ROW()-1&lt;=$L$2,IFERROR(INDEX(MCQ!$A:$K,ROW()-1+1,10),""),IF(ROW()-1&lt;=$L$2+$M$2,IFERROR(INDEX(CLOZE_AB!$A:$K,ROW()-1-$L$2+1,10),""),IF(ROW()-1&lt;=$L$2+$M$2+$N$2,IFERROR(INDEX(CLOZE_LIST!$A:$K,ROW()-1-$L$2-$M$2+1,10),""),IF(ROW()-1&lt;=$L$2+$M$2+$N$2+$O$2,IFERROR(INDEX(PROFORMA!$A:$K,ROW()-1-$L$2-$M$2-$N$2+1,10),""),"")))))</f>
        <v>notes_user</v>
      </c>
      <c r="K320" s="3">
        <f>IF(ROW()-1&lt;=0,"",IF(ROW()-1&lt;=$L$2,IFERROR(INDEX(MCQ!$A:$K,ROW()-1+1,11),""),IF(ROW()-1&lt;=$L$2+$M$2,IFERROR(INDEX(CLOZE_AB!$A:$K,ROW()-1-$L$2+1,11),""),IF(ROW()-1&lt;=$L$2+$M$2+$N$2,IFERROR(INDEX(CLOZE_LIST!$A:$K,ROW()-1-$L$2-$M$2+1,11),""),IF(ROW()-1&lt;=$L$2+$M$2+$N$2+$O$2,IFERROR(INDEX(PROFORMA!$A:$K,ROW()-1-$L$2-$M$2-$N$2+1,11),""),"")))))</f>
        <v>1</v>
      </c>
      <c r="L320" s="3">
        <f>COUNTA(MCQ!$A:$A)-1</f>
        <v>143</v>
      </c>
      <c r="M320" s="3">
        <f>COUNTA(CLOZE_AB!$A:$A)-1</f>
        <v>168</v>
      </c>
      <c r="N320" s="3">
        <f>COUNTA(CLOZE_LIST!$A:$A)-1</f>
        <v>199</v>
      </c>
      <c r="O320" s="3">
        <f>COUNTA(PROFORMA!$A:$A)-1</f>
        <v>199</v>
      </c>
    </row>
    <row r="321" spans="1:15" ht="28.8" x14ac:dyDescent="0.3">
      <c r="A321" s="3" t="str">
        <f>IF(ROW()-1&lt;=0,"",IF(ROW()-1&lt;=$L$2,IFERROR(INDEX(MCQ!$A:$K,ROW()-1+1,1),""),IF(ROW()-1&lt;=$L$2+$M$2,IFERROR(INDEX(CLOZE_AB!$A:$K,ROW()-1-$L$2+1,1),""),IF(ROW()-1&lt;=$L$2+$M$2+$N$2,IFERROR(INDEX(CLOZE_LIST!$A:$K,ROW()-1-$L$2-$M$2+1,1),""),IF(ROW()-1&lt;=$L$2+$M$2+$N$2+$O$2,IFERROR(INDEX(PROFORMA!$A:$K,ROW()-1-$L$2-$M$2-$N$2+1,1),""),"")))))</f>
        <v>LIST_CGT_REQ_SPLITYR_002</v>
      </c>
      <c r="B321" s="3" t="str">
        <f>IF(ROW()-1&lt;=0,"",IF(ROW()-1&lt;=$L$2,IFERROR(INDEX(MCQ!$A:$K,ROW()-1+1,2),""),IF(ROW()-1&lt;=$L$2+$M$2,IFERROR(INDEX(CLOZE_AB!$A:$K,ROW()-1-$L$2+1,2),""),IF(ROW()-1&lt;=$L$2+$M$2+$N$2,IFERROR(INDEX(CLOZE_LIST!$A:$K,ROW()-1-$L$2-$M$2+1,2),""),IF(ROW()-1&lt;=$L$2+$M$2+$N$2+$O$2,IFERROR(INDEX(PROFORMA!$A:$K,ROW()-1-$L$2-$M$2-$N$2+1,2),""),"")))))</f>
        <v>Capital gains</v>
      </c>
      <c r="C321" s="3" t="str">
        <f>IF(ROW()-1&lt;=0,"",IF(ROW()-1&lt;=$L$2,IFERROR(INDEX(MCQ!$A:$K,ROW()-1+1,3),""),IF(ROW()-1&lt;=$L$2+$M$2,IFERROR(INDEX(CLOZE_AB!$A:$K,ROW()-1-$L$2+1,3),""),IF(ROW()-1&lt;=$L$2+$M$2+$N$2,IFERROR(INDEX(CLOZE_LIST!$A:$K,ROW()-1-$L$2-$M$2+1,3),""),IF(ROW()-1&lt;=$L$2+$M$2+$N$2+$O$2,IFERROR(INDEX(PROFORMA!$A:$K,ROW()-1-$L$2-$M$2-$N$2+1,3),""),"")))))</f>
        <v>requirements</v>
      </c>
      <c r="D321" s="3" t="str">
        <f>IF(ROW()-1&lt;=0,"",IF(ROW()-1&lt;=$L$2,IFERROR(INDEX(MCQ!$A:$K,ROW()-1+1,4),""),IF(ROW()-1&lt;=$L$2+$M$2,IFERROR(INDEX(CLOZE_AB!$A:$K,ROW()-1-$L$2+1,4),""),IF(ROW()-1&lt;=$L$2+$M$2+$N$2,IFERROR(INDEX(CLOZE_LIST!$A:$K,ROW()-1-$L$2-$M$2+1,4),""),IF(ROW()-1&lt;=$L$2+$M$2+$N$2+$O$2,IFERROR(INDEX(PROFORMA!$A:$K,ROW()-1-$L$2-$M$2-$N$2+1,4),""),"")))))</f>
        <v>Split-year treatment</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3</v>
      </c>
      <c r="G321" s="3" t="str">
        <f>IF(ROW()-1&lt;=0,"",IF(ROW()-1&lt;=$L$2,IFERROR(INDEX(MCQ!$A:$K,ROW()-1+1,7),""),IF(ROW()-1&lt;=$L$2+$M$2,IFERROR(INDEX(CLOZE_AB!$A:$K,ROW()-1-$L$2+1,7),""),IF(ROW()-1&lt;=$L$2+$M$2+$N$2,IFERROR(INDEX(CLOZE_LIST!$A:$K,ROW()-1-$L$2-$M$2+1,7),""),IF(ROW()-1&lt;=$L$2+$M$2+$N$2+$O$2,IFERROR(INDEX(PROFORMA!$A:$K,ROW()-1-$L$2-$M$2-$N$2+1,7),""),"")))))</f>
        <v>core</v>
      </c>
      <c r="H321" s="3" t="str">
        <f>IF(ROW()-1&lt;=0,"",IF(ROW()-1&lt;=$L$2,IFERROR(INDEX(MCQ!$A:$K,ROW()-1+1,8),""),IF(ROW()-1&lt;=$L$2+$M$2,IFERROR(INDEX(CLOZE_AB!$A:$K,ROW()-1-$L$2+1,8),""),IF(ROW()-1&lt;=$L$2+$M$2+$N$2,IFERROR(INDEX(CLOZE_LIST!$A:$K,ROW()-1-$L$2-$M$2+1,8),""),IF(ROW()-1&lt;=$L$2+$M$2+$N$2+$O$2,IFERROR(INDEX(PROFORMA!$A:$K,ROW()-1-$L$2-$M$2-$N$2+1,8),""),"")))))</f>
        <v>Y</v>
      </c>
      <c r="I321" s="3" t="str">
        <f>IF(ROW()-1&lt;=0,"",IF(ROW()-1&lt;=$L$2,IFERROR(INDEX(MCQ!$A:$K,ROW()-1+1,9),""),IF(ROW()-1&lt;=$L$2+$M$2,IFERROR(INDEX(CLOZE_AB!$A:$K,ROW()-1-$L$2+1,9),""),IF(ROW()-1&lt;=$L$2+$M$2+$N$2,IFERROR(INDEX(CLOZE_LIST!$A:$K,ROW()-1-$L$2-$M$2+1,9),""),IF(ROW()-1&lt;=$L$2+$M$2+$N$2+$O$2,IFERROR(INDEX(PROFORMA!$A:$K,ROW()-1-$L$2-$M$2-$N$2+1,9),""),"")))))</f>
        <v>split_year|leaving</v>
      </c>
      <c r="J321" s="3" t="str">
        <f>IF(ROW()-1&lt;=0,"",IF(ROW()-1&lt;=$L$2,IFERROR(INDEX(MCQ!$A:$K,ROW()-1+1,10),""),IF(ROW()-1&lt;=$L$2+$M$2,IFERROR(INDEX(CLOZE_AB!$A:$K,ROW()-1-$L$2+1,10),""),IF(ROW()-1&lt;=$L$2+$M$2+$N$2,IFERROR(INDEX(CLOZE_LIST!$A:$K,ROW()-1-$L$2-$M$2+1,10),""),IF(ROW()-1&lt;=$L$2+$M$2+$N$2+$O$2,IFERROR(INDEX(PROFORMA!$A:$K,ROW()-1-$L$2-$M$2-$N$2+1,10),""),"")))))</f>
        <v>notes_user</v>
      </c>
      <c r="K321" s="3">
        <f>IF(ROW()-1&lt;=0,"",IF(ROW()-1&lt;=$L$2,IFERROR(INDEX(MCQ!$A:$K,ROW()-1+1,11),""),IF(ROW()-1&lt;=$L$2+$M$2,IFERROR(INDEX(CLOZE_AB!$A:$K,ROW()-1-$L$2+1,11),""),IF(ROW()-1&lt;=$L$2+$M$2+$N$2,IFERROR(INDEX(CLOZE_LIST!$A:$K,ROW()-1-$L$2-$M$2+1,11),""),IF(ROW()-1&lt;=$L$2+$M$2+$N$2+$O$2,IFERROR(INDEX(PROFORMA!$A:$K,ROW()-1-$L$2-$M$2-$N$2+1,11),""),"")))))</f>
        <v>1</v>
      </c>
      <c r="L321" s="3">
        <f>COUNTA(MCQ!$A:$A)-1</f>
        <v>143</v>
      </c>
      <c r="M321" s="3">
        <f>COUNTA(CLOZE_AB!$A:$A)-1</f>
        <v>168</v>
      </c>
      <c r="N321" s="3">
        <f>COUNTA(CLOZE_LIST!$A:$A)-1</f>
        <v>199</v>
      </c>
      <c r="O321" s="3">
        <f>COUNTA(PROFORMA!$A:$A)-1</f>
        <v>199</v>
      </c>
    </row>
    <row r="322" spans="1:15" ht="28.8" x14ac:dyDescent="0.3">
      <c r="A322" s="3" t="str">
        <f>IF(ROW()-1&lt;=0,"",IF(ROW()-1&lt;=$L$2,IFERROR(INDEX(MCQ!$A:$K,ROW()-1+1,1),""),IF(ROW()-1&lt;=$L$2+$M$2,IFERROR(INDEX(CLOZE_AB!$A:$K,ROW()-1-$L$2+1,1),""),IF(ROW()-1&lt;=$L$2+$M$2+$N$2,IFERROR(INDEX(CLOZE_LIST!$A:$K,ROW()-1-$L$2-$M$2+1,1),""),IF(ROW()-1&lt;=$L$2+$M$2+$N$2+$O$2,IFERROR(INDEX(PROFORMA!$A:$K,ROW()-1-$L$2-$M$2-$N$2+1,1),""),"")))))</f>
        <v>LIST_CGT_REQ_SPLITYR_003</v>
      </c>
      <c r="B322" s="3" t="str">
        <f>IF(ROW()-1&lt;=0,"",IF(ROW()-1&lt;=$L$2,IFERROR(INDEX(MCQ!$A:$K,ROW()-1+1,2),""),IF(ROW()-1&lt;=$L$2+$M$2,IFERROR(INDEX(CLOZE_AB!$A:$K,ROW()-1-$L$2+1,2),""),IF(ROW()-1&lt;=$L$2+$M$2+$N$2,IFERROR(INDEX(CLOZE_LIST!$A:$K,ROW()-1-$L$2-$M$2+1,2),""),IF(ROW()-1&lt;=$L$2+$M$2+$N$2+$O$2,IFERROR(INDEX(PROFORMA!$A:$K,ROW()-1-$L$2-$M$2-$N$2+1,2),""),"")))))</f>
        <v>Capital gains</v>
      </c>
      <c r="C322" s="3" t="str">
        <f>IF(ROW()-1&lt;=0,"",IF(ROW()-1&lt;=$L$2,IFERROR(INDEX(MCQ!$A:$K,ROW()-1+1,3),""),IF(ROW()-1&lt;=$L$2+$M$2,IFERROR(INDEX(CLOZE_AB!$A:$K,ROW()-1-$L$2+1,3),""),IF(ROW()-1&lt;=$L$2+$M$2+$N$2,IFERROR(INDEX(CLOZE_LIST!$A:$K,ROW()-1-$L$2-$M$2+1,3),""),IF(ROW()-1&lt;=$L$2+$M$2+$N$2+$O$2,IFERROR(INDEX(PROFORMA!$A:$K,ROW()-1-$L$2-$M$2-$N$2+1,3),""),"")))))</f>
        <v>requirements</v>
      </c>
      <c r="D322" s="3" t="str">
        <f>IF(ROW()-1&lt;=0,"",IF(ROW()-1&lt;=$L$2,IFERROR(INDEX(MCQ!$A:$K,ROW()-1+1,4),""),IF(ROW()-1&lt;=$L$2+$M$2,IFERROR(INDEX(CLOZE_AB!$A:$K,ROW()-1-$L$2+1,4),""),IF(ROW()-1&lt;=$L$2+$M$2+$N$2,IFERROR(INDEX(CLOZE_LIST!$A:$K,ROW()-1-$L$2-$M$2+1,4),""),IF(ROW()-1&lt;=$L$2+$M$2+$N$2+$O$2,IFERROR(INDEX(PROFORMA!$A:$K,ROW()-1-$L$2-$M$2-$N$2+1,4),""),"")))))</f>
        <v>Split-year treatment</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3</v>
      </c>
      <c r="G322" s="3" t="str">
        <f>IF(ROW()-1&lt;=0,"",IF(ROW()-1&lt;=$L$2,IFERROR(INDEX(MCQ!$A:$K,ROW()-1+1,7),""),IF(ROW()-1&lt;=$L$2+$M$2,IFERROR(INDEX(CLOZE_AB!$A:$K,ROW()-1-$L$2+1,7),""),IF(ROW()-1&lt;=$L$2+$M$2+$N$2,IFERROR(INDEX(CLOZE_LIST!$A:$K,ROW()-1-$L$2-$M$2+1,7),""),IF(ROW()-1&lt;=$L$2+$M$2+$N$2+$O$2,IFERROR(INDEX(PROFORMA!$A:$K,ROW()-1-$L$2-$M$2-$N$2+1,7),""),"")))))</f>
        <v>core</v>
      </c>
      <c r="H322" s="3" t="str">
        <f>IF(ROW()-1&lt;=0,"",IF(ROW()-1&lt;=$L$2,IFERROR(INDEX(MCQ!$A:$K,ROW()-1+1,8),""),IF(ROW()-1&lt;=$L$2+$M$2,IFERROR(INDEX(CLOZE_AB!$A:$K,ROW()-1-$L$2+1,8),""),IF(ROW()-1&lt;=$L$2+$M$2+$N$2,IFERROR(INDEX(CLOZE_LIST!$A:$K,ROW()-1-$L$2-$M$2+1,8),""),IF(ROW()-1&lt;=$L$2+$M$2+$N$2+$O$2,IFERROR(INDEX(PROFORMA!$A:$K,ROW()-1-$L$2-$M$2-$N$2+1,8),""),"")))))</f>
        <v>Y</v>
      </c>
      <c r="I322" s="3" t="str">
        <f>IF(ROW()-1&lt;=0,"",IF(ROW()-1&lt;=$L$2,IFERROR(INDEX(MCQ!$A:$K,ROW()-1+1,9),""),IF(ROW()-1&lt;=$L$2+$M$2,IFERROR(INDEX(CLOZE_AB!$A:$K,ROW()-1-$L$2+1,9),""),IF(ROW()-1&lt;=$L$2+$M$2+$N$2,IFERROR(INDEX(CLOZE_LIST!$A:$K,ROW()-1-$L$2-$M$2+1,9),""),IF(ROW()-1&lt;=$L$2+$M$2+$N$2+$O$2,IFERROR(INDEX(PROFORMA!$A:$K,ROW()-1-$L$2-$M$2-$N$2+1,9),""),"")))))</f>
        <v>split_year|live_abroad</v>
      </c>
      <c r="J322" s="3" t="str">
        <f>IF(ROW()-1&lt;=0,"",IF(ROW()-1&lt;=$L$2,IFERROR(INDEX(MCQ!$A:$K,ROW()-1+1,10),""),IF(ROW()-1&lt;=$L$2+$M$2,IFERROR(INDEX(CLOZE_AB!$A:$K,ROW()-1-$L$2+1,10),""),IF(ROW()-1&lt;=$L$2+$M$2+$N$2,IFERROR(INDEX(CLOZE_LIST!$A:$K,ROW()-1-$L$2-$M$2+1,10),""),IF(ROW()-1&lt;=$L$2+$M$2+$N$2+$O$2,IFERROR(INDEX(PROFORMA!$A:$K,ROW()-1-$L$2-$M$2-$N$2+1,10),""),"")))))</f>
        <v>notes_user</v>
      </c>
      <c r="K322" s="3">
        <f>IF(ROW()-1&lt;=0,"",IF(ROW()-1&lt;=$L$2,IFERROR(INDEX(MCQ!$A:$K,ROW()-1+1,11),""),IF(ROW()-1&lt;=$L$2+$M$2,IFERROR(INDEX(CLOZE_AB!$A:$K,ROW()-1-$L$2+1,11),""),IF(ROW()-1&lt;=$L$2+$M$2+$N$2,IFERROR(INDEX(CLOZE_LIST!$A:$K,ROW()-1-$L$2-$M$2+1,11),""),IF(ROW()-1&lt;=$L$2+$M$2+$N$2+$O$2,IFERROR(INDEX(PROFORMA!$A:$K,ROW()-1-$L$2-$M$2-$N$2+1,11),""),"")))))</f>
        <v>1</v>
      </c>
      <c r="L322" s="3">
        <f>COUNTA(MCQ!$A:$A)-1</f>
        <v>143</v>
      </c>
      <c r="M322" s="3">
        <f>COUNTA(CLOZE_AB!$A:$A)-1</f>
        <v>168</v>
      </c>
      <c r="N322" s="3">
        <f>COUNTA(CLOZE_LIST!$A:$A)-1</f>
        <v>199</v>
      </c>
      <c r="O322" s="3">
        <f>COUNTA(PROFORMA!$A:$A)-1</f>
        <v>199</v>
      </c>
    </row>
    <row r="323" spans="1:15" ht="28.8" x14ac:dyDescent="0.3">
      <c r="A323" s="3" t="str">
        <f>IF(ROW()-1&lt;=0,"",IF(ROW()-1&lt;=$L$2,IFERROR(INDEX(MCQ!$A:$K,ROW()-1+1,1),""),IF(ROW()-1&lt;=$L$2+$M$2,IFERROR(INDEX(CLOZE_AB!$A:$K,ROW()-1-$L$2+1,1),""),IF(ROW()-1&lt;=$L$2+$M$2+$N$2,IFERROR(INDEX(CLOZE_LIST!$A:$K,ROW()-1-$L$2-$M$2+1,1),""),IF(ROW()-1&lt;=$L$2+$M$2+$N$2+$O$2,IFERROR(INDEX(PROFORMA!$A:$K,ROW()-1-$L$2-$M$2-$N$2+1,1),""),"")))))</f>
        <v>LIST_CGT_REQ_SPLITYR_004</v>
      </c>
      <c r="B323" s="3" t="str">
        <f>IF(ROW()-1&lt;=0,"",IF(ROW()-1&lt;=$L$2,IFERROR(INDEX(MCQ!$A:$K,ROW()-1+1,2),""),IF(ROW()-1&lt;=$L$2+$M$2,IFERROR(INDEX(CLOZE_AB!$A:$K,ROW()-1-$L$2+1,2),""),IF(ROW()-1&lt;=$L$2+$M$2+$N$2,IFERROR(INDEX(CLOZE_LIST!$A:$K,ROW()-1-$L$2-$M$2+1,2),""),IF(ROW()-1&lt;=$L$2+$M$2+$N$2+$O$2,IFERROR(INDEX(PROFORMA!$A:$K,ROW()-1-$L$2-$M$2-$N$2+1,2),""),"")))))</f>
        <v>Capital gains</v>
      </c>
      <c r="C323" s="3" t="str">
        <f>IF(ROW()-1&lt;=0,"",IF(ROW()-1&lt;=$L$2,IFERROR(INDEX(MCQ!$A:$K,ROW()-1+1,3),""),IF(ROW()-1&lt;=$L$2+$M$2,IFERROR(INDEX(CLOZE_AB!$A:$K,ROW()-1-$L$2+1,3),""),IF(ROW()-1&lt;=$L$2+$M$2+$N$2,IFERROR(INDEX(CLOZE_LIST!$A:$K,ROW()-1-$L$2-$M$2+1,3),""),IF(ROW()-1&lt;=$L$2+$M$2+$N$2+$O$2,IFERROR(INDEX(PROFORMA!$A:$K,ROW()-1-$L$2-$M$2-$N$2+1,3),""),"")))))</f>
        <v>requirements</v>
      </c>
      <c r="D323" s="3" t="str">
        <f>IF(ROW()-1&lt;=0,"",IF(ROW()-1&lt;=$L$2,IFERROR(INDEX(MCQ!$A:$K,ROW()-1+1,4),""),IF(ROW()-1&lt;=$L$2+$M$2,IFERROR(INDEX(CLOZE_AB!$A:$K,ROW()-1-$L$2+1,4),""),IF(ROW()-1&lt;=$L$2+$M$2+$N$2,IFERROR(INDEX(CLOZE_LIST!$A:$K,ROW()-1-$L$2-$M$2+1,4),""),IF(ROW()-1&lt;=$L$2+$M$2+$N$2+$O$2,IFERROR(INDEX(PROFORMA!$A:$K,ROW()-1-$L$2-$M$2-$N$2+1,4),""),"")))))</f>
        <v>Split-year treatment</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3</v>
      </c>
      <c r="G323" s="3" t="str">
        <f>IF(ROW()-1&lt;=0,"",IF(ROW()-1&lt;=$L$2,IFERROR(INDEX(MCQ!$A:$K,ROW()-1+1,7),""),IF(ROW()-1&lt;=$L$2+$M$2,IFERROR(INDEX(CLOZE_AB!$A:$K,ROW()-1-$L$2+1,7),""),IF(ROW()-1&lt;=$L$2+$M$2+$N$2,IFERROR(INDEX(CLOZE_LIST!$A:$K,ROW()-1-$L$2-$M$2+1,7),""),IF(ROW()-1&lt;=$L$2+$M$2+$N$2+$O$2,IFERROR(INDEX(PROFORMA!$A:$K,ROW()-1-$L$2-$M$2-$N$2+1,7),""),"")))))</f>
        <v>core</v>
      </c>
      <c r="H323" s="3" t="str">
        <f>IF(ROW()-1&lt;=0,"",IF(ROW()-1&lt;=$L$2,IFERROR(INDEX(MCQ!$A:$K,ROW()-1+1,8),""),IF(ROW()-1&lt;=$L$2+$M$2,IFERROR(INDEX(CLOZE_AB!$A:$K,ROW()-1-$L$2+1,8),""),IF(ROW()-1&lt;=$L$2+$M$2+$N$2,IFERROR(INDEX(CLOZE_LIST!$A:$K,ROW()-1-$L$2-$M$2+1,8),""),IF(ROW()-1&lt;=$L$2+$M$2+$N$2+$O$2,IFERROR(INDEX(PROFORMA!$A:$K,ROW()-1-$L$2-$M$2-$N$2+1,8),""),"")))))</f>
        <v>Y</v>
      </c>
      <c r="I323" s="3" t="str">
        <f>IF(ROW()-1&lt;=0,"",IF(ROW()-1&lt;=$L$2,IFERROR(INDEX(MCQ!$A:$K,ROW()-1+1,9),""),IF(ROW()-1&lt;=$L$2+$M$2,IFERROR(INDEX(CLOZE_AB!$A:$K,ROW()-1-$L$2+1,9),""),IF(ROW()-1&lt;=$L$2+$M$2+$N$2,IFERROR(INDEX(CLOZE_LIST!$A:$K,ROW()-1-$L$2-$M$2+1,9),""),IF(ROW()-1&lt;=$L$2+$M$2+$N$2+$O$2,IFERROR(INDEX(PROFORMA!$A:$K,ROW()-1-$L$2-$M$2-$N$2+1,9),""),"")))))</f>
        <v>split_year|coming_home</v>
      </c>
      <c r="J323" s="3" t="str">
        <f>IF(ROW()-1&lt;=0,"",IF(ROW()-1&lt;=$L$2,IFERROR(INDEX(MCQ!$A:$K,ROW()-1+1,10),""),IF(ROW()-1&lt;=$L$2+$M$2,IFERROR(INDEX(CLOZE_AB!$A:$K,ROW()-1-$L$2+1,10),""),IF(ROW()-1&lt;=$L$2+$M$2+$N$2,IFERROR(INDEX(CLOZE_LIST!$A:$K,ROW()-1-$L$2-$M$2+1,10),""),IF(ROW()-1&lt;=$L$2+$M$2+$N$2+$O$2,IFERROR(INDEX(PROFORMA!$A:$K,ROW()-1-$L$2-$M$2-$N$2+1,10),""),"")))))</f>
        <v>notes_user</v>
      </c>
      <c r="K323" s="3">
        <f>IF(ROW()-1&lt;=0,"",IF(ROW()-1&lt;=$L$2,IFERROR(INDEX(MCQ!$A:$K,ROW()-1+1,11),""),IF(ROW()-1&lt;=$L$2+$M$2,IFERROR(INDEX(CLOZE_AB!$A:$K,ROW()-1-$L$2+1,11),""),IF(ROW()-1&lt;=$L$2+$M$2+$N$2,IFERROR(INDEX(CLOZE_LIST!$A:$K,ROW()-1-$L$2-$M$2+1,11),""),IF(ROW()-1&lt;=$L$2+$M$2+$N$2+$O$2,IFERROR(INDEX(PROFORMA!$A:$K,ROW()-1-$L$2-$M$2-$N$2+1,11),""),"")))))</f>
        <v>1</v>
      </c>
      <c r="L323" s="3">
        <f>COUNTA(MCQ!$A:$A)-1</f>
        <v>143</v>
      </c>
      <c r="M323" s="3">
        <f>COUNTA(CLOZE_AB!$A:$A)-1</f>
        <v>168</v>
      </c>
      <c r="N323" s="3">
        <f>COUNTA(CLOZE_LIST!$A:$A)-1</f>
        <v>199</v>
      </c>
      <c r="O323" s="3">
        <f>COUNTA(PROFORMA!$A:$A)-1</f>
        <v>199</v>
      </c>
    </row>
    <row r="324" spans="1:15" ht="28.8" x14ac:dyDescent="0.3">
      <c r="A324" s="3" t="str">
        <f>IF(ROW()-1&lt;=0,"",IF(ROW()-1&lt;=$L$2,IFERROR(INDEX(MCQ!$A:$K,ROW()-1+1,1),""),IF(ROW()-1&lt;=$L$2+$M$2,IFERROR(INDEX(CLOZE_AB!$A:$K,ROW()-1-$L$2+1,1),""),IF(ROW()-1&lt;=$L$2+$M$2+$N$2,IFERROR(INDEX(CLOZE_LIST!$A:$K,ROW()-1-$L$2-$M$2+1,1),""),IF(ROW()-1&lt;=$L$2+$M$2+$N$2+$O$2,IFERROR(INDEX(PROFORMA!$A:$K,ROW()-1-$L$2-$M$2-$N$2+1,1),""),"")))))</f>
        <v>LIST_CGT_REQ_SPLITYR_005</v>
      </c>
      <c r="B324" s="3" t="str">
        <f>IF(ROW()-1&lt;=0,"",IF(ROW()-1&lt;=$L$2,IFERROR(INDEX(MCQ!$A:$K,ROW()-1+1,2),""),IF(ROW()-1&lt;=$L$2+$M$2,IFERROR(INDEX(CLOZE_AB!$A:$K,ROW()-1-$L$2+1,2),""),IF(ROW()-1&lt;=$L$2+$M$2+$N$2,IFERROR(INDEX(CLOZE_LIST!$A:$K,ROW()-1-$L$2-$M$2+1,2),""),IF(ROW()-1&lt;=$L$2+$M$2+$N$2+$O$2,IFERROR(INDEX(PROFORMA!$A:$K,ROW()-1-$L$2-$M$2-$N$2+1,2),""),"")))))</f>
        <v>Capital gains</v>
      </c>
      <c r="C324" s="3" t="str">
        <f>IF(ROW()-1&lt;=0,"",IF(ROW()-1&lt;=$L$2,IFERROR(INDEX(MCQ!$A:$K,ROW()-1+1,3),""),IF(ROW()-1&lt;=$L$2+$M$2,IFERROR(INDEX(CLOZE_AB!$A:$K,ROW()-1-$L$2+1,3),""),IF(ROW()-1&lt;=$L$2+$M$2+$N$2,IFERROR(INDEX(CLOZE_LIST!$A:$K,ROW()-1-$L$2-$M$2+1,3),""),IF(ROW()-1&lt;=$L$2+$M$2+$N$2+$O$2,IFERROR(INDEX(PROFORMA!$A:$K,ROW()-1-$L$2-$M$2-$N$2+1,3),""),"")))))</f>
        <v>requirements</v>
      </c>
      <c r="D324" s="3" t="str">
        <f>IF(ROW()-1&lt;=0,"",IF(ROW()-1&lt;=$L$2,IFERROR(INDEX(MCQ!$A:$K,ROW()-1+1,4),""),IF(ROW()-1&lt;=$L$2+$M$2,IFERROR(INDEX(CLOZE_AB!$A:$K,ROW()-1-$L$2+1,4),""),IF(ROW()-1&lt;=$L$2+$M$2+$N$2,IFERROR(INDEX(CLOZE_LIST!$A:$K,ROW()-1-$L$2-$M$2+1,4),""),IF(ROW()-1&lt;=$L$2+$M$2+$N$2+$O$2,IFERROR(INDEX(PROFORMA!$A:$K,ROW()-1-$L$2-$M$2-$N$2+1,4),""),"")))))</f>
        <v>Split-year treatment</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3</v>
      </c>
      <c r="G324" s="3" t="str">
        <f>IF(ROW()-1&lt;=0,"",IF(ROW()-1&lt;=$L$2,IFERROR(INDEX(MCQ!$A:$K,ROW()-1+1,7),""),IF(ROW()-1&lt;=$L$2+$M$2,IFERROR(INDEX(CLOZE_AB!$A:$K,ROW()-1-$L$2+1,7),""),IF(ROW()-1&lt;=$L$2+$M$2+$N$2,IFERROR(INDEX(CLOZE_LIST!$A:$K,ROW()-1-$L$2-$M$2+1,7),""),IF(ROW()-1&lt;=$L$2+$M$2+$N$2+$O$2,IFERROR(INDEX(PROFORMA!$A:$K,ROW()-1-$L$2-$M$2-$N$2+1,7),""),"")))))</f>
        <v>core</v>
      </c>
      <c r="H324" s="3" t="str">
        <f>IF(ROW()-1&lt;=0,"",IF(ROW()-1&lt;=$L$2,IFERROR(INDEX(MCQ!$A:$K,ROW()-1+1,8),""),IF(ROW()-1&lt;=$L$2+$M$2,IFERROR(INDEX(CLOZE_AB!$A:$K,ROW()-1-$L$2+1,8),""),IF(ROW()-1&lt;=$L$2+$M$2+$N$2,IFERROR(INDEX(CLOZE_LIST!$A:$K,ROW()-1-$L$2-$M$2+1,8),""),IF(ROW()-1&lt;=$L$2+$M$2+$N$2+$O$2,IFERROR(INDEX(PROFORMA!$A:$K,ROW()-1-$L$2-$M$2-$N$2+1,8),""),"")))))</f>
        <v>Y</v>
      </c>
      <c r="I324" s="3" t="str">
        <f>IF(ROW()-1&lt;=0,"",IF(ROW()-1&lt;=$L$2,IFERROR(INDEX(MCQ!$A:$K,ROW()-1+1,9),""),IF(ROW()-1&lt;=$L$2+$M$2,IFERROR(INDEX(CLOZE_AB!$A:$K,ROW()-1-$L$2+1,9),""),IF(ROW()-1&lt;=$L$2+$M$2+$N$2,IFERROR(INDEX(CLOZE_LIST!$A:$K,ROW()-1-$L$2-$M$2+1,9),""),IF(ROW()-1&lt;=$L$2+$M$2+$N$2+$O$2,IFERROR(INDEX(PROFORMA!$A:$K,ROW()-1-$L$2-$M$2-$N$2+1,9),""),"")))))</f>
        <v>split_year|coming_work</v>
      </c>
      <c r="J324" s="3" t="str">
        <f>IF(ROW()-1&lt;=0,"",IF(ROW()-1&lt;=$L$2,IFERROR(INDEX(MCQ!$A:$K,ROW()-1+1,10),""),IF(ROW()-1&lt;=$L$2+$M$2,IFERROR(INDEX(CLOZE_AB!$A:$K,ROW()-1-$L$2+1,10),""),IF(ROW()-1&lt;=$L$2+$M$2+$N$2,IFERROR(INDEX(CLOZE_LIST!$A:$K,ROW()-1-$L$2-$M$2+1,10),""),IF(ROW()-1&lt;=$L$2+$M$2+$N$2+$O$2,IFERROR(INDEX(PROFORMA!$A:$K,ROW()-1-$L$2-$M$2-$N$2+1,10),""),"")))))</f>
        <v>notes_user</v>
      </c>
      <c r="K324" s="3">
        <f>IF(ROW()-1&lt;=0,"",IF(ROW()-1&lt;=$L$2,IFERROR(INDEX(MCQ!$A:$K,ROW()-1+1,11),""),IF(ROW()-1&lt;=$L$2+$M$2,IFERROR(INDEX(CLOZE_AB!$A:$K,ROW()-1-$L$2+1,11),""),IF(ROW()-1&lt;=$L$2+$M$2+$N$2,IFERROR(INDEX(CLOZE_LIST!$A:$K,ROW()-1-$L$2-$M$2+1,11),""),IF(ROW()-1&lt;=$L$2+$M$2+$N$2+$O$2,IFERROR(INDEX(PROFORMA!$A:$K,ROW()-1-$L$2-$M$2-$N$2+1,11),""),"")))))</f>
        <v>1</v>
      </c>
      <c r="L324" s="3">
        <f>COUNTA(MCQ!$A:$A)-1</f>
        <v>143</v>
      </c>
      <c r="M324" s="3">
        <f>COUNTA(CLOZE_AB!$A:$A)-1</f>
        <v>168</v>
      </c>
      <c r="N324" s="3">
        <f>COUNTA(CLOZE_LIST!$A:$A)-1</f>
        <v>199</v>
      </c>
      <c r="O324" s="3">
        <f>COUNTA(PROFORMA!$A:$A)-1</f>
        <v>199</v>
      </c>
    </row>
    <row r="325" spans="1:15" ht="28.8" x14ac:dyDescent="0.3">
      <c r="A325" s="3" t="str">
        <f>IF(ROW()-1&lt;=0,"",IF(ROW()-1&lt;=$L$2,IFERROR(INDEX(MCQ!$A:$K,ROW()-1+1,1),""),IF(ROW()-1&lt;=$L$2+$M$2,IFERROR(INDEX(CLOZE_AB!$A:$K,ROW()-1-$L$2+1,1),""),IF(ROW()-1&lt;=$L$2+$M$2+$N$2,IFERROR(INDEX(CLOZE_LIST!$A:$K,ROW()-1-$L$2-$M$2+1,1),""),IF(ROW()-1&lt;=$L$2+$M$2+$N$2+$O$2,IFERROR(INDEX(PROFORMA!$A:$K,ROW()-1-$L$2-$M$2-$N$2+1,1),""),"")))))</f>
        <v>LIST_CGT_REQ_SPLITYR_006</v>
      </c>
      <c r="B325" s="3" t="str">
        <f>IF(ROW()-1&lt;=0,"",IF(ROW()-1&lt;=$L$2,IFERROR(INDEX(MCQ!$A:$K,ROW()-1+1,2),""),IF(ROW()-1&lt;=$L$2+$M$2,IFERROR(INDEX(CLOZE_AB!$A:$K,ROW()-1-$L$2+1,2),""),IF(ROW()-1&lt;=$L$2+$M$2+$N$2,IFERROR(INDEX(CLOZE_LIST!$A:$K,ROW()-1-$L$2-$M$2+1,2),""),IF(ROW()-1&lt;=$L$2+$M$2+$N$2+$O$2,IFERROR(INDEX(PROFORMA!$A:$K,ROW()-1-$L$2-$M$2-$N$2+1,2),""),"")))))</f>
        <v>Capital gains</v>
      </c>
      <c r="C325" s="3" t="str">
        <f>IF(ROW()-1&lt;=0,"",IF(ROW()-1&lt;=$L$2,IFERROR(INDEX(MCQ!$A:$K,ROW()-1+1,3),""),IF(ROW()-1&lt;=$L$2+$M$2,IFERROR(INDEX(CLOZE_AB!$A:$K,ROW()-1-$L$2+1,3),""),IF(ROW()-1&lt;=$L$2+$M$2+$N$2,IFERROR(INDEX(CLOZE_LIST!$A:$K,ROW()-1-$L$2-$M$2+1,3),""),IF(ROW()-1&lt;=$L$2+$M$2+$N$2+$O$2,IFERROR(INDEX(PROFORMA!$A:$K,ROW()-1-$L$2-$M$2-$N$2+1,3),""),"")))))</f>
        <v>requirements</v>
      </c>
      <c r="D325" s="3" t="str">
        <f>IF(ROW()-1&lt;=0,"",IF(ROW()-1&lt;=$L$2,IFERROR(INDEX(MCQ!$A:$K,ROW()-1+1,4),""),IF(ROW()-1&lt;=$L$2+$M$2,IFERROR(INDEX(CLOZE_AB!$A:$K,ROW()-1-$L$2+1,4),""),IF(ROW()-1&lt;=$L$2+$M$2+$N$2,IFERROR(INDEX(CLOZE_LIST!$A:$K,ROW()-1-$L$2-$M$2+1,4),""),IF(ROW()-1&lt;=$L$2+$M$2+$N$2+$O$2,IFERROR(INDEX(PROFORMA!$A:$K,ROW()-1-$L$2-$M$2-$N$2+1,4),""),"")))))</f>
        <v>Split-year treatment</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3</v>
      </c>
      <c r="G325" s="3" t="str">
        <f>IF(ROW()-1&lt;=0,"",IF(ROW()-1&lt;=$L$2,IFERROR(INDEX(MCQ!$A:$K,ROW()-1+1,7),""),IF(ROW()-1&lt;=$L$2+$M$2,IFERROR(INDEX(CLOZE_AB!$A:$K,ROW()-1-$L$2+1,7),""),IF(ROW()-1&lt;=$L$2+$M$2+$N$2,IFERROR(INDEX(CLOZE_LIST!$A:$K,ROW()-1-$L$2-$M$2+1,7),""),IF(ROW()-1&lt;=$L$2+$M$2+$N$2+$O$2,IFERROR(INDEX(PROFORMA!$A:$K,ROW()-1-$L$2-$M$2-$N$2+1,7),""),"")))))</f>
        <v>core</v>
      </c>
      <c r="H325" s="3" t="str">
        <f>IF(ROW()-1&lt;=0,"",IF(ROW()-1&lt;=$L$2,IFERROR(INDEX(MCQ!$A:$K,ROW()-1+1,8),""),IF(ROW()-1&lt;=$L$2+$M$2,IFERROR(INDEX(CLOZE_AB!$A:$K,ROW()-1-$L$2+1,8),""),IF(ROW()-1&lt;=$L$2+$M$2+$N$2,IFERROR(INDEX(CLOZE_LIST!$A:$K,ROW()-1-$L$2-$M$2+1,8),""),IF(ROW()-1&lt;=$L$2+$M$2+$N$2+$O$2,IFERROR(INDEX(PROFORMA!$A:$K,ROW()-1-$L$2-$M$2-$N$2+1,8),""),"")))))</f>
        <v>Y</v>
      </c>
      <c r="I325" s="3" t="str">
        <f>IF(ROW()-1&lt;=0,"",IF(ROW()-1&lt;=$L$2,IFERROR(INDEX(MCQ!$A:$K,ROW()-1+1,9),""),IF(ROW()-1&lt;=$L$2+$M$2,IFERROR(INDEX(CLOZE_AB!$A:$K,ROW()-1-$L$2+1,9),""),IF(ROW()-1&lt;=$L$2+$M$2+$N$2,IFERROR(INDEX(CLOZE_LIST!$A:$K,ROW()-1-$L$2-$M$2+1,9),""),IF(ROW()-1&lt;=$L$2+$M$2+$N$2+$O$2,IFERROR(INDEX(PROFORMA!$A:$K,ROW()-1-$L$2-$M$2-$N$2+1,9),""),"")))))</f>
        <v>split_year|returning</v>
      </c>
      <c r="J325" s="3" t="str">
        <f>IF(ROW()-1&lt;=0,"",IF(ROW()-1&lt;=$L$2,IFERROR(INDEX(MCQ!$A:$K,ROW()-1+1,10),""),IF(ROW()-1&lt;=$L$2+$M$2,IFERROR(INDEX(CLOZE_AB!$A:$K,ROW()-1-$L$2+1,10),""),IF(ROW()-1&lt;=$L$2+$M$2+$N$2,IFERROR(INDEX(CLOZE_LIST!$A:$K,ROW()-1-$L$2-$M$2+1,10),""),IF(ROW()-1&lt;=$L$2+$M$2+$N$2+$O$2,IFERROR(INDEX(PROFORMA!$A:$K,ROW()-1-$L$2-$M$2-$N$2+1,10),""),"")))))</f>
        <v>notes_user</v>
      </c>
      <c r="K325" s="3">
        <f>IF(ROW()-1&lt;=0,"",IF(ROW()-1&lt;=$L$2,IFERROR(INDEX(MCQ!$A:$K,ROW()-1+1,11),""),IF(ROW()-1&lt;=$L$2+$M$2,IFERROR(INDEX(CLOZE_AB!$A:$K,ROW()-1-$L$2+1,11),""),IF(ROW()-1&lt;=$L$2+$M$2+$N$2,IFERROR(INDEX(CLOZE_LIST!$A:$K,ROW()-1-$L$2-$M$2+1,11),""),IF(ROW()-1&lt;=$L$2+$M$2+$N$2+$O$2,IFERROR(INDEX(PROFORMA!$A:$K,ROW()-1-$L$2-$M$2-$N$2+1,11),""),"")))))</f>
        <v>1</v>
      </c>
      <c r="L325" s="3">
        <f>COUNTA(MCQ!$A:$A)-1</f>
        <v>143</v>
      </c>
      <c r="M325" s="3">
        <f>COUNTA(CLOZE_AB!$A:$A)-1</f>
        <v>168</v>
      </c>
      <c r="N325" s="3">
        <f>COUNTA(CLOZE_LIST!$A:$A)-1</f>
        <v>199</v>
      </c>
      <c r="O325" s="3">
        <f>COUNTA(PROFORMA!$A:$A)-1</f>
        <v>199</v>
      </c>
    </row>
    <row r="326" spans="1:15" ht="28.8" x14ac:dyDescent="0.3">
      <c r="A326" s="3" t="str">
        <f>IF(ROW()-1&lt;=0,"",IF(ROW()-1&lt;=$L$2,IFERROR(INDEX(MCQ!$A:$K,ROW()-1+1,1),""),IF(ROW()-1&lt;=$L$2+$M$2,IFERROR(INDEX(CLOZE_AB!$A:$K,ROW()-1-$L$2+1,1),""),IF(ROW()-1&lt;=$L$2+$M$2+$N$2,IFERROR(INDEX(CLOZE_LIST!$A:$K,ROW()-1-$L$2-$M$2+1,1),""),IF(ROW()-1&lt;=$L$2+$M$2+$N$2+$O$2,IFERROR(INDEX(PROFORMA!$A:$K,ROW()-1-$L$2-$M$2-$N$2+1,1),""),"")))))</f>
        <v>LIST_CGT_REQ_RESDOM_001</v>
      </c>
      <c r="B326" s="3" t="str">
        <f>IF(ROW()-1&lt;=0,"",IF(ROW()-1&lt;=$L$2,IFERROR(INDEX(MCQ!$A:$K,ROW()-1+1,2),""),IF(ROW()-1&lt;=$L$2+$M$2,IFERROR(INDEX(CLOZE_AB!$A:$K,ROW()-1-$L$2+1,2),""),IF(ROW()-1&lt;=$L$2+$M$2+$N$2,IFERROR(INDEX(CLOZE_LIST!$A:$K,ROW()-1-$L$2-$M$2+1,2),""),IF(ROW()-1&lt;=$L$2+$M$2+$N$2+$O$2,IFERROR(INDEX(PROFORMA!$A:$K,ROW()-1-$L$2-$M$2-$N$2+1,2),""),"")))))</f>
        <v>Capital gains</v>
      </c>
      <c r="C326" s="3" t="str">
        <f>IF(ROW()-1&lt;=0,"",IF(ROW()-1&lt;=$L$2,IFERROR(INDEX(MCQ!$A:$K,ROW()-1+1,3),""),IF(ROW()-1&lt;=$L$2+$M$2,IFERROR(INDEX(CLOZE_AB!$A:$K,ROW()-1-$L$2+1,3),""),IF(ROW()-1&lt;=$L$2+$M$2+$N$2,IFERROR(INDEX(CLOZE_LIST!$A:$K,ROW()-1-$L$2-$M$2+1,3),""),IF(ROW()-1&lt;=$L$2+$M$2+$N$2+$O$2,IFERROR(INDEX(PROFORMA!$A:$K,ROW()-1-$L$2-$M$2-$N$2+1,3),""),"")))))</f>
        <v>requirements</v>
      </c>
      <c r="D326" s="3" t="str">
        <f>IF(ROW()-1&lt;=0,"",IF(ROW()-1&lt;=$L$2,IFERROR(INDEX(MCQ!$A:$K,ROW()-1+1,4),""),IF(ROW()-1&lt;=$L$2+$M$2,IFERROR(INDEX(CLOZE_AB!$A:$K,ROW()-1-$L$2+1,4),""),IF(ROW()-1&lt;=$L$2+$M$2+$N$2,IFERROR(INDEX(CLOZE_LIST!$A:$K,ROW()-1-$L$2-$M$2+1,4),""),IF(ROW()-1&lt;=$L$2+$M$2+$N$2+$O$2,IFERROR(INDEX(PROFORMA!$A:$K,ROW()-1-$L$2-$M$2-$N$2+1,4),""),"")))))</f>
        <v>Residency, domicile and deemed domicile</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3</v>
      </c>
      <c r="G326" s="3" t="str">
        <f>IF(ROW()-1&lt;=0,"",IF(ROW()-1&lt;=$L$2,IFERROR(INDEX(MCQ!$A:$K,ROW()-1+1,7),""),IF(ROW()-1&lt;=$L$2+$M$2,IFERROR(INDEX(CLOZE_AB!$A:$K,ROW()-1-$L$2+1,7),""),IF(ROW()-1&lt;=$L$2+$M$2+$N$2,IFERROR(INDEX(CLOZE_LIST!$A:$K,ROW()-1-$L$2-$M$2+1,7),""),IF(ROW()-1&lt;=$L$2+$M$2+$N$2+$O$2,IFERROR(INDEX(PROFORMA!$A:$K,ROW()-1-$L$2-$M$2-$N$2+1,7),""),"")))))</f>
        <v>core</v>
      </c>
      <c r="H326" s="3" t="str">
        <f>IF(ROW()-1&lt;=0,"",IF(ROW()-1&lt;=$L$2,IFERROR(INDEX(MCQ!$A:$K,ROW()-1+1,8),""),IF(ROW()-1&lt;=$L$2+$M$2,IFERROR(INDEX(CLOZE_AB!$A:$K,ROW()-1-$L$2+1,8),""),IF(ROW()-1&lt;=$L$2+$M$2+$N$2,IFERROR(INDEX(CLOZE_LIST!$A:$K,ROW()-1-$L$2-$M$2+1,8),""),IF(ROW()-1&lt;=$L$2+$M$2+$N$2+$O$2,IFERROR(INDEX(PROFORMA!$A:$K,ROW()-1-$L$2-$M$2-$N$2+1,8),""),"")))))</f>
        <v>Y</v>
      </c>
      <c r="I326" s="3" t="str">
        <f>IF(ROW()-1&lt;=0,"",IF(ROW()-1&lt;=$L$2,IFERROR(INDEX(MCQ!$A:$K,ROW()-1+1,9),""),IF(ROW()-1&lt;=$L$2+$M$2,IFERROR(INDEX(CLOZE_AB!$A:$K,ROW()-1-$L$2+1,9),""),IF(ROW()-1&lt;=$L$2+$M$2+$N$2,IFERROR(INDEX(CLOZE_LIST!$A:$K,ROW()-1-$L$2-$M$2+1,9),""),IF(ROW()-1&lt;=$L$2+$M$2+$N$2+$O$2,IFERROR(INDEX(PROFORMA!$A:$K,ROW()-1-$L$2-$M$2-$N$2+1,9),""),"")))))</f>
        <v>residency|auto_overseas</v>
      </c>
      <c r="J326" s="3" t="str">
        <f>IF(ROW()-1&lt;=0,"",IF(ROW()-1&lt;=$L$2,IFERROR(INDEX(MCQ!$A:$K,ROW()-1+1,10),""),IF(ROW()-1&lt;=$L$2+$M$2,IFERROR(INDEX(CLOZE_AB!$A:$K,ROW()-1-$L$2+1,10),""),IF(ROW()-1&lt;=$L$2+$M$2+$N$2,IFERROR(INDEX(CLOZE_LIST!$A:$K,ROW()-1-$L$2-$M$2+1,10),""),IF(ROW()-1&lt;=$L$2+$M$2+$N$2+$O$2,IFERROR(INDEX(PROFORMA!$A:$K,ROW()-1-$L$2-$M$2-$N$2+1,10),""),"")))))</f>
        <v>notes_user</v>
      </c>
      <c r="K326" s="3">
        <f>IF(ROW()-1&lt;=0,"",IF(ROW()-1&lt;=$L$2,IFERROR(INDEX(MCQ!$A:$K,ROW()-1+1,11),""),IF(ROW()-1&lt;=$L$2+$M$2,IFERROR(INDEX(CLOZE_AB!$A:$K,ROW()-1-$L$2+1,11),""),IF(ROW()-1&lt;=$L$2+$M$2+$N$2,IFERROR(INDEX(CLOZE_LIST!$A:$K,ROW()-1-$L$2-$M$2+1,11),""),IF(ROW()-1&lt;=$L$2+$M$2+$N$2+$O$2,IFERROR(INDEX(PROFORMA!$A:$K,ROW()-1-$L$2-$M$2-$N$2+1,11),""),"")))))</f>
        <v>1</v>
      </c>
      <c r="L326" s="3">
        <f>COUNTA(MCQ!$A:$A)-1</f>
        <v>143</v>
      </c>
      <c r="M326" s="3">
        <f>COUNTA(CLOZE_AB!$A:$A)-1</f>
        <v>168</v>
      </c>
      <c r="N326" s="3">
        <f>COUNTA(CLOZE_LIST!$A:$A)-1</f>
        <v>199</v>
      </c>
      <c r="O326" s="3">
        <f>COUNTA(PROFORMA!$A:$A)-1</f>
        <v>199</v>
      </c>
    </row>
    <row r="327" spans="1:15" ht="28.8" x14ac:dyDescent="0.3">
      <c r="A327" s="3" t="str">
        <f>IF(ROW()-1&lt;=0,"",IF(ROW()-1&lt;=$L$2,IFERROR(INDEX(MCQ!$A:$K,ROW()-1+1,1),""),IF(ROW()-1&lt;=$L$2+$M$2,IFERROR(INDEX(CLOZE_AB!$A:$K,ROW()-1-$L$2+1,1),""),IF(ROW()-1&lt;=$L$2+$M$2+$N$2,IFERROR(INDEX(CLOZE_LIST!$A:$K,ROW()-1-$L$2-$M$2+1,1),""),IF(ROW()-1&lt;=$L$2+$M$2+$N$2+$O$2,IFERROR(INDEX(PROFORMA!$A:$K,ROW()-1-$L$2-$M$2-$N$2+1,1),""),"")))))</f>
        <v>LIST_CGT_REQ_RESDOM_002</v>
      </c>
      <c r="B327" s="3" t="str">
        <f>IF(ROW()-1&lt;=0,"",IF(ROW()-1&lt;=$L$2,IFERROR(INDEX(MCQ!$A:$K,ROW()-1+1,2),""),IF(ROW()-1&lt;=$L$2+$M$2,IFERROR(INDEX(CLOZE_AB!$A:$K,ROW()-1-$L$2+1,2),""),IF(ROW()-1&lt;=$L$2+$M$2+$N$2,IFERROR(INDEX(CLOZE_LIST!$A:$K,ROW()-1-$L$2-$M$2+1,2),""),IF(ROW()-1&lt;=$L$2+$M$2+$N$2+$O$2,IFERROR(INDEX(PROFORMA!$A:$K,ROW()-1-$L$2-$M$2-$N$2+1,2),""),"")))))</f>
        <v>Capital gains</v>
      </c>
      <c r="C327" s="3" t="str">
        <f>IF(ROW()-1&lt;=0,"",IF(ROW()-1&lt;=$L$2,IFERROR(INDEX(MCQ!$A:$K,ROW()-1+1,3),""),IF(ROW()-1&lt;=$L$2+$M$2,IFERROR(INDEX(CLOZE_AB!$A:$K,ROW()-1-$L$2+1,3),""),IF(ROW()-1&lt;=$L$2+$M$2+$N$2,IFERROR(INDEX(CLOZE_LIST!$A:$K,ROW()-1-$L$2-$M$2+1,3),""),IF(ROW()-1&lt;=$L$2+$M$2+$N$2+$O$2,IFERROR(INDEX(PROFORMA!$A:$K,ROW()-1-$L$2-$M$2-$N$2+1,3),""),"")))))</f>
        <v>requirements</v>
      </c>
      <c r="D327" s="3" t="str">
        <f>IF(ROW()-1&lt;=0,"",IF(ROW()-1&lt;=$L$2,IFERROR(INDEX(MCQ!$A:$K,ROW()-1+1,4),""),IF(ROW()-1&lt;=$L$2+$M$2,IFERROR(INDEX(CLOZE_AB!$A:$K,ROW()-1-$L$2+1,4),""),IF(ROW()-1&lt;=$L$2+$M$2+$N$2,IFERROR(INDEX(CLOZE_LIST!$A:$K,ROW()-1-$L$2-$M$2+1,4),""),IF(ROW()-1&lt;=$L$2+$M$2+$N$2+$O$2,IFERROR(INDEX(PROFORMA!$A:$K,ROW()-1-$L$2-$M$2-$N$2+1,4),""),"")))))</f>
        <v>Residency, domicile and deemed domicile</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3</v>
      </c>
      <c r="G327" s="3" t="str">
        <f>IF(ROW()-1&lt;=0,"",IF(ROW()-1&lt;=$L$2,IFERROR(INDEX(MCQ!$A:$K,ROW()-1+1,7),""),IF(ROW()-1&lt;=$L$2+$M$2,IFERROR(INDEX(CLOZE_AB!$A:$K,ROW()-1-$L$2+1,7),""),IF(ROW()-1&lt;=$L$2+$M$2+$N$2,IFERROR(INDEX(CLOZE_LIST!$A:$K,ROW()-1-$L$2-$M$2+1,7),""),IF(ROW()-1&lt;=$L$2+$M$2+$N$2+$O$2,IFERROR(INDEX(PROFORMA!$A:$K,ROW()-1-$L$2-$M$2-$N$2+1,7),""),"")))))</f>
        <v>core</v>
      </c>
      <c r="H327" s="3" t="str">
        <f>IF(ROW()-1&lt;=0,"",IF(ROW()-1&lt;=$L$2,IFERROR(INDEX(MCQ!$A:$K,ROW()-1+1,8),""),IF(ROW()-1&lt;=$L$2+$M$2,IFERROR(INDEX(CLOZE_AB!$A:$K,ROW()-1-$L$2+1,8),""),IF(ROW()-1&lt;=$L$2+$M$2+$N$2,IFERROR(INDEX(CLOZE_LIST!$A:$K,ROW()-1-$L$2-$M$2+1,8),""),IF(ROW()-1&lt;=$L$2+$M$2+$N$2+$O$2,IFERROR(INDEX(PROFORMA!$A:$K,ROW()-1-$L$2-$M$2-$N$2+1,8),""),"")))))</f>
        <v>Y</v>
      </c>
      <c r="I327" s="3" t="str">
        <f>IF(ROW()-1&lt;=0,"",IF(ROW()-1&lt;=$L$2,IFERROR(INDEX(MCQ!$A:$K,ROW()-1+1,9),""),IF(ROW()-1&lt;=$L$2+$M$2,IFERROR(INDEX(CLOZE_AB!$A:$K,ROW()-1-$L$2+1,9),""),IF(ROW()-1&lt;=$L$2+$M$2+$N$2,IFERROR(INDEX(CLOZE_LIST!$A:$K,ROW()-1-$L$2-$M$2+1,9),""),IF(ROW()-1&lt;=$L$2+$M$2+$N$2+$O$2,IFERROR(INDEX(PROFORMA!$A:$K,ROW()-1-$L$2-$M$2-$N$2+1,9),""),"")))))</f>
        <v>residency|auto_overseas</v>
      </c>
      <c r="J327" s="3" t="str">
        <f>IF(ROW()-1&lt;=0,"",IF(ROW()-1&lt;=$L$2,IFERROR(INDEX(MCQ!$A:$K,ROW()-1+1,10),""),IF(ROW()-1&lt;=$L$2+$M$2,IFERROR(INDEX(CLOZE_AB!$A:$K,ROW()-1-$L$2+1,10),""),IF(ROW()-1&lt;=$L$2+$M$2+$N$2,IFERROR(INDEX(CLOZE_LIST!$A:$K,ROW()-1-$L$2-$M$2+1,10),""),IF(ROW()-1&lt;=$L$2+$M$2+$N$2+$O$2,IFERROR(INDEX(PROFORMA!$A:$K,ROW()-1-$L$2-$M$2-$N$2+1,10),""),"")))))</f>
        <v>notes_user</v>
      </c>
      <c r="K327" s="3">
        <f>IF(ROW()-1&lt;=0,"",IF(ROW()-1&lt;=$L$2,IFERROR(INDEX(MCQ!$A:$K,ROW()-1+1,11),""),IF(ROW()-1&lt;=$L$2+$M$2,IFERROR(INDEX(CLOZE_AB!$A:$K,ROW()-1-$L$2+1,11),""),IF(ROW()-1&lt;=$L$2+$M$2+$N$2,IFERROR(INDEX(CLOZE_LIST!$A:$K,ROW()-1-$L$2-$M$2+1,11),""),IF(ROW()-1&lt;=$L$2+$M$2+$N$2+$O$2,IFERROR(INDEX(PROFORMA!$A:$K,ROW()-1-$L$2-$M$2-$N$2+1,11),""),"")))))</f>
        <v>1</v>
      </c>
      <c r="L327" s="3">
        <f>COUNTA(MCQ!$A:$A)-1</f>
        <v>143</v>
      </c>
      <c r="M327" s="3">
        <f>COUNTA(CLOZE_AB!$A:$A)-1</f>
        <v>168</v>
      </c>
      <c r="N327" s="3">
        <f>COUNTA(CLOZE_LIST!$A:$A)-1</f>
        <v>199</v>
      </c>
      <c r="O327" s="3">
        <f>COUNTA(PROFORMA!$A:$A)-1</f>
        <v>199</v>
      </c>
    </row>
    <row r="328" spans="1:15" ht="28.8" x14ac:dyDescent="0.3">
      <c r="A328" s="3" t="str">
        <f>IF(ROW()-1&lt;=0,"",IF(ROW()-1&lt;=$L$2,IFERROR(INDEX(MCQ!$A:$K,ROW()-1+1,1),""),IF(ROW()-1&lt;=$L$2+$M$2,IFERROR(INDEX(CLOZE_AB!$A:$K,ROW()-1-$L$2+1,1),""),IF(ROW()-1&lt;=$L$2+$M$2+$N$2,IFERROR(INDEX(CLOZE_LIST!$A:$K,ROW()-1-$L$2-$M$2+1,1),""),IF(ROW()-1&lt;=$L$2+$M$2+$N$2+$O$2,IFERROR(INDEX(PROFORMA!$A:$K,ROW()-1-$L$2-$M$2-$N$2+1,1),""),"")))))</f>
        <v>LIST_CGT_REQ_RESDOM_003</v>
      </c>
      <c r="B328" s="3" t="str">
        <f>IF(ROW()-1&lt;=0,"",IF(ROW()-1&lt;=$L$2,IFERROR(INDEX(MCQ!$A:$K,ROW()-1+1,2),""),IF(ROW()-1&lt;=$L$2+$M$2,IFERROR(INDEX(CLOZE_AB!$A:$K,ROW()-1-$L$2+1,2),""),IF(ROW()-1&lt;=$L$2+$M$2+$N$2,IFERROR(INDEX(CLOZE_LIST!$A:$K,ROW()-1-$L$2-$M$2+1,2),""),IF(ROW()-1&lt;=$L$2+$M$2+$N$2+$O$2,IFERROR(INDEX(PROFORMA!$A:$K,ROW()-1-$L$2-$M$2-$N$2+1,2),""),"")))))</f>
        <v>Capital gains</v>
      </c>
      <c r="C328" s="3" t="str">
        <f>IF(ROW()-1&lt;=0,"",IF(ROW()-1&lt;=$L$2,IFERROR(INDEX(MCQ!$A:$K,ROW()-1+1,3),""),IF(ROW()-1&lt;=$L$2+$M$2,IFERROR(INDEX(CLOZE_AB!$A:$K,ROW()-1-$L$2+1,3),""),IF(ROW()-1&lt;=$L$2+$M$2+$N$2,IFERROR(INDEX(CLOZE_LIST!$A:$K,ROW()-1-$L$2-$M$2+1,3),""),IF(ROW()-1&lt;=$L$2+$M$2+$N$2+$O$2,IFERROR(INDEX(PROFORMA!$A:$K,ROW()-1-$L$2-$M$2-$N$2+1,3),""),"")))))</f>
        <v>requirements</v>
      </c>
      <c r="D328" s="3" t="str">
        <f>IF(ROW()-1&lt;=0,"",IF(ROW()-1&lt;=$L$2,IFERROR(INDEX(MCQ!$A:$K,ROW()-1+1,4),""),IF(ROW()-1&lt;=$L$2+$M$2,IFERROR(INDEX(CLOZE_AB!$A:$K,ROW()-1-$L$2+1,4),""),IF(ROW()-1&lt;=$L$2+$M$2+$N$2,IFERROR(INDEX(CLOZE_LIST!$A:$K,ROW()-1-$L$2-$M$2+1,4),""),IF(ROW()-1&lt;=$L$2+$M$2+$N$2+$O$2,IFERROR(INDEX(PROFORMA!$A:$K,ROW()-1-$L$2-$M$2-$N$2+1,4),""),"")))))</f>
        <v>Residency, domicile and deemed domicile</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3</v>
      </c>
      <c r="G328" s="3" t="str">
        <f>IF(ROW()-1&lt;=0,"",IF(ROW()-1&lt;=$L$2,IFERROR(INDEX(MCQ!$A:$K,ROW()-1+1,7),""),IF(ROW()-1&lt;=$L$2+$M$2,IFERROR(INDEX(CLOZE_AB!$A:$K,ROW()-1-$L$2+1,7),""),IF(ROW()-1&lt;=$L$2+$M$2+$N$2,IFERROR(INDEX(CLOZE_LIST!$A:$K,ROW()-1-$L$2-$M$2+1,7),""),IF(ROW()-1&lt;=$L$2+$M$2+$N$2+$O$2,IFERROR(INDEX(PROFORMA!$A:$K,ROW()-1-$L$2-$M$2-$N$2+1,7),""),"")))))</f>
        <v>core</v>
      </c>
      <c r="H328" s="3" t="str">
        <f>IF(ROW()-1&lt;=0,"",IF(ROW()-1&lt;=$L$2,IFERROR(INDEX(MCQ!$A:$K,ROW()-1+1,8),""),IF(ROW()-1&lt;=$L$2+$M$2,IFERROR(INDEX(CLOZE_AB!$A:$K,ROW()-1-$L$2+1,8),""),IF(ROW()-1&lt;=$L$2+$M$2+$N$2,IFERROR(INDEX(CLOZE_LIST!$A:$K,ROW()-1-$L$2-$M$2+1,8),""),IF(ROW()-1&lt;=$L$2+$M$2+$N$2+$O$2,IFERROR(INDEX(PROFORMA!$A:$K,ROW()-1-$L$2-$M$2-$N$2+1,8),""),"")))))</f>
        <v>Y</v>
      </c>
      <c r="I328" s="3" t="str">
        <f>IF(ROW()-1&lt;=0,"",IF(ROW()-1&lt;=$L$2,IFERROR(INDEX(MCQ!$A:$K,ROW()-1+1,9),""),IF(ROW()-1&lt;=$L$2+$M$2,IFERROR(INDEX(CLOZE_AB!$A:$K,ROW()-1-$L$2+1,9),""),IF(ROW()-1&lt;=$L$2+$M$2+$N$2,IFERROR(INDEX(CLOZE_LIST!$A:$K,ROW()-1-$L$2-$M$2+1,9),""),IF(ROW()-1&lt;=$L$2+$M$2+$N$2+$O$2,IFERROR(INDEX(PROFORMA!$A:$K,ROW()-1-$L$2-$M$2-$N$2+1,9),""),"")))))</f>
        <v>residency|auto_uk</v>
      </c>
      <c r="J328" s="3" t="str">
        <f>IF(ROW()-1&lt;=0,"",IF(ROW()-1&lt;=$L$2,IFERROR(INDEX(MCQ!$A:$K,ROW()-1+1,10),""),IF(ROW()-1&lt;=$L$2+$M$2,IFERROR(INDEX(CLOZE_AB!$A:$K,ROW()-1-$L$2+1,10),""),IF(ROW()-1&lt;=$L$2+$M$2+$N$2,IFERROR(INDEX(CLOZE_LIST!$A:$K,ROW()-1-$L$2-$M$2+1,10),""),IF(ROW()-1&lt;=$L$2+$M$2+$N$2+$O$2,IFERROR(INDEX(PROFORMA!$A:$K,ROW()-1-$L$2-$M$2-$N$2+1,10),""),"")))))</f>
        <v>notes_user</v>
      </c>
      <c r="K328" s="3">
        <f>IF(ROW()-1&lt;=0,"",IF(ROW()-1&lt;=$L$2,IFERROR(INDEX(MCQ!$A:$K,ROW()-1+1,11),""),IF(ROW()-1&lt;=$L$2+$M$2,IFERROR(INDEX(CLOZE_AB!$A:$K,ROW()-1-$L$2+1,11),""),IF(ROW()-1&lt;=$L$2+$M$2+$N$2,IFERROR(INDEX(CLOZE_LIST!$A:$K,ROW()-1-$L$2-$M$2+1,11),""),IF(ROW()-1&lt;=$L$2+$M$2+$N$2+$O$2,IFERROR(INDEX(PROFORMA!$A:$K,ROW()-1-$L$2-$M$2-$N$2+1,11),""),"")))))</f>
        <v>1</v>
      </c>
      <c r="L328" s="3">
        <f>COUNTA(MCQ!$A:$A)-1</f>
        <v>143</v>
      </c>
      <c r="M328" s="3">
        <f>COUNTA(CLOZE_AB!$A:$A)-1</f>
        <v>168</v>
      </c>
      <c r="N328" s="3">
        <f>COUNTA(CLOZE_LIST!$A:$A)-1</f>
        <v>199</v>
      </c>
      <c r="O328" s="3">
        <f>COUNTA(PROFORMA!$A:$A)-1</f>
        <v>199</v>
      </c>
    </row>
    <row r="329" spans="1:15" ht="28.8" x14ac:dyDescent="0.3">
      <c r="A329" s="3" t="str">
        <f>IF(ROW()-1&lt;=0,"",IF(ROW()-1&lt;=$L$2,IFERROR(INDEX(MCQ!$A:$K,ROW()-1+1,1),""),IF(ROW()-1&lt;=$L$2+$M$2,IFERROR(INDEX(CLOZE_AB!$A:$K,ROW()-1-$L$2+1,1),""),IF(ROW()-1&lt;=$L$2+$M$2+$N$2,IFERROR(INDEX(CLOZE_LIST!$A:$K,ROW()-1-$L$2-$M$2+1,1),""),IF(ROW()-1&lt;=$L$2+$M$2+$N$2+$O$2,IFERROR(INDEX(PROFORMA!$A:$K,ROW()-1-$L$2-$M$2-$N$2+1,1),""),"")))))</f>
        <v>LIST_CGT_REQ_RESDOM_004</v>
      </c>
      <c r="B329" s="3" t="str">
        <f>IF(ROW()-1&lt;=0,"",IF(ROW()-1&lt;=$L$2,IFERROR(INDEX(MCQ!$A:$K,ROW()-1+1,2),""),IF(ROW()-1&lt;=$L$2+$M$2,IFERROR(INDEX(CLOZE_AB!$A:$K,ROW()-1-$L$2+1,2),""),IF(ROW()-1&lt;=$L$2+$M$2+$N$2,IFERROR(INDEX(CLOZE_LIST!$A:$K,ROW()-1-$L$2-$M$2+1,2),""),IF(ROW()-1&lt;=$L$2+$M$2+$N$2+$O$2,IFERROR(INDEX(PROFORMA!$A:$K,ROW()-1-$L$2-$M$2-$N$2+1,2),""),"")))))</f>
        <v>Capital gains</v>
      </c>
      <c r="C329" s="3" t="str">
        <f>IF(ROW()-1&lt;=0,"",IF(ROW()-1&lt;=$L$2,IFERROR(INDEX(MCQ!$A:$K,ROW()-1+1,3),""),IF(ROW()-1&lt;=$L$2+$M$2,IFERROR(INDEX(CLOZE_AB!$A:$K,ROW()-1-$L$2+1,3),""),IF(ROW()-1&lt;=$L$2+$M$2+$N$2,IFERROR(INDEX(CLOZE_LIST!$A:$K,ROW()-1-$L$2-$M$2+1,3),""),IF(ROW()-1&lt;=$L$2+$M$2+$N$2+$O$2,IFERROR(INDEX(PROFORMA!$A:$K,ROW()-1-$L$2-$M$2-$N$2+1,3),""),"")))))</f>
        <v>requirements</v>
      </c>
      <c r="D329" s="3" t="str">
        <f>IF(ROW()-1&lt;=0,"",IF(ROW()-1&lt;=$L$2,IFERROR(INDEX(MCQ!$A:$K,ROW()-1+1,4),""),IF(ROW()-1&lt;=$L$2+$M$2,IFERROR(INDEX(CLOZE_AB!$A:$K,ROW()-1-$L$2+1,4),""),IF(ROW()-1&lt;=$L$2+$M$2+$N$2,IFERROR(INDEX(CLOZE_LIST!$A:$K,ROW()-1-$L$2-$M$2+1,4),""),IF(ROW()-1&lt;=$L$2+$M$2+$N$2+$O$2,IFERROR(INDEX(PROFORMA!$A:$K,ROW()-1-$L$2-$M$2-$N$2+1,4),""),"")))))</f>
        <v>Residency, domicile and deemed domicile</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3</v>
      </c>
      <c r="G329" s="3" t="str">
        <f>IF(ROW()-1&lt;=0,"",IF(ROW()-1&lt;=$L$2,IFERROR(INDEX(MCQ!$A:$K,ROW()-1+1,7),""),IF(ROW()-1&lt;=$L$2+$M$2,IFERROR(INDEX(CLOZE_AB!$A:$K,ROW()-1-$L$2+1,7),""),IF(ROW()-1&lt;=$L$2+$M$2+$N$2,IFERROR(INDEX(CLOZE_LIST!$A:$K,ROW()-1-$L$2-$M$2+1,7),""),IF(ROW()-1&lt;=$L$2+$M$2+$N$2+$O$2,IFERROR(INDEX(PROFORMA!$A:$K,ROW()-1-$L$2-$M$2-$N$2+1,7),""),"")))))</f>
        <v>core</v>
      </c>
      <c r="H329" s="3" t="str">
        <f>IF(ROW()-1&lt;=0,"",IF(ROW()-1&lt;=$L$2,IFERROR(INDEX(MCQ!$A:$K,ROW()-1+1,8),""),IF(ROW()-1&lt;=$L$2+$M$2,IFERROR(INDEX(CLOZE_AB!$A:$K,ROW()-1-$L$2+1,8),""),IF(ROW()-1&lt;=$L$2+$M$2+$N$2,IFERROR(INDEX(CLOZE_LIST!$A:$K,ROW()-1-$L$2-$M$2+1,8),""),IF(ROW()-1&lt;=$L$2+$M$2+$N$2+$O$2,IFERROR(INDEX(PROFORMA!$A:$K,ROW()-1-$L$2-$M$2-$N$2+1,8),""),"")))))</f>
        <v>Y</v>
      </c>
      <c r="I329" s="3" t="str">
        <f>IF(ROW()-1&lt;=0,"",IF(ROW()-1&lt;=$L$2,IFERROR(INDEX(MCQ!$A:$K,ROW()-1+1,9),""),IF(ROW()-1&lt;=$L$2+$M$2,IFERROR(INDEX(CLOZE_AB!$A:$K,ROW()-1-$L$2+1,9),""),IF(ROW()-1&lt;=$L$2+$M$2+$N$2,IFERROR(INDEX(CLOZE_LIST!$A:$K,ROW()-1-$L$2-$M$2+1,9),""),IF(ROW()-1&lt;=$L$2+$M$2+$N$2+$O$2,IFERROR(INDEX(PROFORMA!$A:$K,ROW()-1-$L$2-$M$2-$N$2+1,9),""),"")))))</f>
        <v>residency|ties</v>
      </c>
      <c r="J329" s="3" t="str">
        <f>IF(ROW()-1&lt;=0,"",IF(ROW()-1&lt;=$L$2,IFERROR(INDEX(MCQ!$A:$K,ROW()-1+1,10),""),IF(ROW()-1&lt;=$L$2+$M$2,IFERROR(INDEX(CLOZE_AB!$A:$K,ROW()-1-$L$2+1,10),""),IF(ROW()-1&lt;=$L$2+$M$2+$N$2,IFERROR(INDEX(CLOZE_LIST!$A:$K,ROW()-1-$L$2-$M$2+1,10),""),IF(ROW()-1&lt;=$L$2+$M$2+$N$2+$O$2,IFERROR(INDEX(PROFORMA!$A:$K,ROW()-1-$L$2-$M$2-$N$2+1,10),""),"")))))</f>
        <v>notes_user</v>
      </c>
      <c r="K329" s="3">
        <f>IF(ROW()-1&lt;=0,"",IF(ROW()-1&lt;=$L$2,IFERROR(INDEX(MCQ!$A:$K,ROW()-1+1,11),""),IF(ROW()-1&lt;=$L$2+$M$2,IFERROR(INDEX(CLOZE_AB!$A:$K,ROW()-1-$L$2+1,11),""),IF(ROW()-1&lt;=$L$2+$M$2+$N$2,IFERROR(INDEX(CLOZE_LIST!$A:$K,ROW()-1-$L$2-$M$2+1,11),""),IF(ROW()-1&lt;=$L$2+$M$2+$N$2+$O$2,IFERROR(INDEX(PROFORMA!$A:$K,ROW()-1-$L$2-$M$2-$N$2+1,11),""),"")))))</f>
        <v>1</v>
      </c>
      <c r="L329" s="3">
        <f>COUNTA(MCQ!$A:$A)-1</f>
        <v>143</v>
      </c>
      <c r="M329" s="3">
        <f>COUNTA(CLOZE_AB!$A:$A)-1</f>
        <v>168</v>
      </c>
      <c r="N329" s="3">
        <f>COUNTA(CLOZE_LIST!$A:$A)-1</f>
        <v>199</v>
      </c>
      <c r="O329" s="3">
        <f>COUNTA(PROFORMA!$A:$A)-1</f>
        <v>199</v>
      </c>
    </row>
    <row r="330" spans="1:15" ht="28.8" x14ac:dyDescent="0.3">
      <c r="A330" s="3" t="str">
        <f>IF(ROW()-1&lt;=0,"",IF(ROW()-1&lt;=$L$2,IFERROR(INDEX(MCQ!$A:$K,ROW()-1+1,1),""),IF(ROW()-1&lt;=$L$2+$M$2,IFERROR(INDEX(CLOZE_AB!$A:$K,ROW()-1-$L$2+1,1),""),IF(ROW()-1&lt;=$L$2+$M$2+$N$2,IFERROR(INDEX(CLOZE_LIST!$A:$K,ROW()-1-$L$2-$M$2+1,1),""),IF(ROW()-1&lt;=$L$2+$M$2+$N$2+$O$2,IFERROR(INDEX(PROFORMA!$A:$K,ROW()-1-$L$2-$M$2-$N$2+1,1),""),"")))))</f>
        <v>LIST_CGT_REQ_RESDOM_005</v>
      </c>
      <c r="B330" s="3" t="str">
        <f>IF(ROW()-1&lt;=0,"",IF(ROW()-1&lt;=$L$2,IFERROR(INDEX(MCQ!$A:$K,ROW()-1+1,2),""),IF(ROW()-1&lt;=$L$2+$M$2,IFERROR(INDEX(CLOZE_AB!$A:$K,ROW()-1-$L$2+1,2),""),IF(ROW()-1&lt;=$L$2+$M$2+$N$2,IFERROR(INDEX(CLOZE_LIST!$A:$K,ROW()-1-$L$2-$M$2+1,2),""),IF(ROW()-1&lt;=$L$2+$M$2+$N$2+$O$2,IFERROR(INDEX(PROFORMA!$A:$K,ROW()-1-$L$2-$M$2-$N$2+1,2),""),"")))))</f>
        <v>Capital gains</v>
      </c>
      <c r="C330" s="3" t="str">
        <f>IF(ROW()-1&lt;=0,"",IF(ROW()-1&lt;=$L$2,IFERROR(INDEX(MCQ!$A:$K,ROW()-1+1,3),""),IF(ROW()-1&lt;=$L$2+$M$2,IFERROR(INDEX(CLOZE_AB!$A:$K,ROW()-1-$L$2+1,3),""),IF(ROW()-1&lt;=$L$2+$M$2+$N$2,IFERROR(INDEX(CLOZE_LIST!$A:$K,ROW()-1-$L$2-$M$2+1,3),""),IF(ROW()-1&lt;=$L$2+$M$2+$N$2+$O$2,IFERROR(INDEX(PROFORMA!$A:$K,ROW()-1-$L$2-$M$2-$N$2+1,3),""),"")))))</f>
        <v>requirements</v>
      </c>
      <c r="D330" s="3" t="str">
        <f>IF(ROW()-1&lt;=0,"",IF(ROW()-1&lt;=$L$2,IFERROR(INDEX(MCQ!$A:$K,ROW()-1+1,4),""),IF(ROW()-1&lt;=$L$2+$M$2,IFERROR(INDEX(CLOZE_AB!$A:$K,ROW()-1-$L$2+1,4),""),IF(ROW()-1&lt;=$L$2+$M$2+$N$2,IFERROR(INDEX(CLOZE_LIST!$A:$K,ROW()-1-$L$2-$M$2+1,4),""),IF(ROW()-1&lt;=$L$2+$M$2+$N$2+$O$2,IFERROR(INDEX(PROFORMA!$A:$K,ROW()-1-$L$2-$M$2-$N$2+1,4),""),"")))))</f>
        <v>Residency, domicile and deemed domicile</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3</v>
      </c>
      <c r="G330" s="3" t="str">
        <f>IF(ROW()-1&lt;=0,"",IF(ROW()-1&lt;=$L$2,IFERROR(INDEX(MCQ!$A:$K,ROW()-1+1,7),""),IF(ROW()-1&lt;=$L$2+$M$2,IFERROR(INDEX(CLOZE_AB!$A:$K,ROW()-1-$L$2+1,7),""),IF(ROW()-1&lt;=$L$2+$M$2+$N$2,IFERROR(INDEX(CLOZE_LIST!$A:$K,ROW()-1-$L$2-$M$2+1,7),""),IF(ROW()-1&lt;=$L$2+$M$2+$N$2+$O$2,IFERROR(INDEX(PROFORMA!$A:$K,ROW()-1-$L$2-$M$2-$N$2+1,7),""),"")))))</f>
        <v>core</v>
      </c>
      <c r="H330" s="3" t="str">
        <f>IF(ROW()-1&lt;=0,"",IF(ROW()-1&lt;=$L$2,IFERROR(INDEX(MCQ!$A:$K,ROW()-1+1,8),""),IF(ROW()-1&lt;=$L$2+$M$2,IFERROR(INDEX(CLOZE_AB!$A:$K,ROW()-1-$L$2+1,8),""),IF(ROW()-1&lt;=$L$2+$M$2+$N$2,IFERROR(INDEX(CLOZE_LIST!$A:$K,ROW()-1-$L$2-$M$2+1,8),""),IF(ROW()-1&lt;=$L$2+$M$2+$N$2+$O$2,IFERROR(INDEX(PROFORMA!$A:$K,ROW()-1-$L$2-$M$2-$N$2+1,8),""),"")))))</f>
        <v>Y</v>
      </c>
      <c r="I330" s="3" t="str">
        <f>IF(ROW()-1&lt;=0,"",IF(ROW()-1&lt;=$L$2,IFERROR(INDEX(MCQ!$A:$K,ROW()-1+1,9),""),IF(ROW()-1&lt;=$L$2+$M$2,IFERROR(INDEX(CLOZE_AB!$A:$K,ROW()-1-$L$2+1,9),""),IF(ROW()-1&lt;=$L$2+$M$2+$N$2,IFERROR(INDEX(CLOZE_LIST!$A:$K,ROW()-1-$L$2-$M$2+1,9),""),IF(ROW()-1&lt;=$L$2+$M$2+$N$2+$O$2,IFERROR(INDEX(PROFORMA!$A:$K,ROW()-1-$L$2-$M$2-$N$2+1,9),""),"")))))</f>
        <v>domicile|types</v>
      </c>
      <c r="J330" s="3" t="str">
        <f>IF(ROW()-1&lt;=0,"",IF(ROW()-1&lt;=$L$2,IFERROR(INDEX(MCQ!$A:$K,ROW()-1+1,10),""),IF(ROW()-1&lt;=$L$2+$M$2,IFERROR(INDEX(CLOZE_AB!$A:$K,ROW()-1-$L$2+1,10),""),IF(ROW()-1&lt;=$L$2+$M$2+$N$2,IFERROR(INDEX(CLOZE_LIST!$A:$K,ROW()-1-$L$2-$M$2+1,10),""),IF(ROW()-1&lt;=$L$2+$M$2+$N$2+$O$2,IFERROR(INDEX(PROFORMA!$A:$K,ROW()-1-$L$2-$M$2-$N$2+1,10),""),"")))))</f>
        <v>notes_user</v>
      </c>
      <c r="K330" s="3">
        <f>IF(ROW()-1&lt;=0,"",IF(ROW()-1&lt;=$L$2,IFERROR(INDEX(MCQ!$A:$K,ROW()-1+1,11),""),IF(ROW()-1&lt;=$L$2+$M$2,IFERROR(INDEX(CLOZE_AB!$A:$K,ROW()-1-$L$2+1,11),""),IF(ROW()-1&lt;=$L$2+$M$2+$N$2,IFERROR(INDEX(CLOZE_LIST!$A:$K,ROW()-1-$L$2-$M$2+1,11),""),IF(ROW()-1&lt;=$L$2+$M$2+$N$2+$O$2,IFERROR(INDEX(PROFORMA!$A:$K,ROW()-1-$L$2-$M$2-$N$2+1,11),""),"")))))</f>
        <v>1</v>
      </c>
      <c r="L330" s="3">
        <f>COUNTA(MCQ!$A:$A)-1</f>
        <v>143</v>
      </c>
      <c r="M330" s="3">
        <f>COUNTA(CLOZE_AB!$A:$A)-1</f>
        <v>168</v>
      </c>
      <c r="N330" s="3">
        <f>COUNTA(CLOZE_LIST!$A:$A)-1</f>
        <v>199</v>
      </c>
      <c r="O330" s="3">
        <f>COUNTA(PROFORMA!$A:$A)-1</f>
        <v>199</v>
      </c>
    </row>
    <row r="331" spans="1:15" ht="28.8" x14ac:dyDescent="0.3">
      <c r="A331" s="3" t="str">
        <f>IF(ROW()-1&lt;=0,"",IF(ROW()-1&lt;=$L$2,IFERROR(INDEX(MCQ!$A:$K,ROW()-1+1,1),""),IF(ROW()-1&lt;=$L$2+$M$2,IFERROR(INDEX(CLOZE_AB!$A:$K,ROW()-1-$L$2+1,1),""),IF(ROW()-1&lt;=$L$2+$M$2+$N$2,IFERROR(INDEX(CLOZE_LIST!$A:$K,ROW()-1-$L$2-$M$2+1,1),""),IF(ROW()-1&lt;=$L$2+$M$2+$N$2+$O$2,IFERROR(INDEX(PROFORMA!$A:$K,ROW()-1-$L$2-$M$2-$N$2+1,1),""),"")))))</f>
        <v>LIST_CGT_REQ_RESDOM_006</v>
      </c>
      <c r="B331" s="3" t="str">
        <f>IF(ROW()-1&lt;=0,"",IF(ROW()-1&lt;=$L$2,IFERROR(INDEX(MCQ!$A:$K,ROW()-1+1,2),""),IF(ROW()-1&lt;=$L$2+$M$2,IFERROR(INDEX(CLOZE_AB!$A:$K,ROW()-1-$L$2+1,2),""),IF(ROW()-1&lt;=$L$2+$M$2+$N$2,IFERROR(INDEX(CLOZE_LIST!$A:$K,ROW()-1-$L$2-$M$2+1,2),""),IF(ROW()-1&lt;=$L$2+$M$2+$N$2+$O$2,IFERROR(INDEX(PROFORMA!$A:$K,ROW()-1-$L$2-$M$2-$N$2+1,2),""),"")))))</f>
        <v>Capital gains</v>
      </c>
      <c r="C331" s="3" t="str">
        <f>IF(ROW()-1&lt;=0,"",IF(ROW()-1&lt;=$L$2,IFERROR(INDEX(MCQ!$A:$K,ROW()-1+1,3),""),IF(ROW()-1&lt;=$L$2+$M$2,IFERROR(INDEX(CLOZE_AB!$A:$K,ROW()-1-$L$2+1,3),""),IF(ROW()-1&lt;=$L$2+$M$2+$N$2,IFERROR(INDEX(CLOZE_LIST!$A:$K,ROW()-1-$L$2-$M$2+1,3),""),IF(ROW()-1&lt;=$L$2+$M$2+$N$2+$O$2,IFERROR(INDEX(PROFORMA!$A:$K,ROW()-1-$L$2-$M$2-$N$2+1,3),""),"")))))</f>
        <v>requirements</v>
      </c>
      <c r="D331" s="3" t="str">
        <f>IF(ROW()-1&lt;=0,"",IF(ROW()-1&lt;=$L$2,IFERROR(INDEX(MCQ!$A:$K,ROW()-1+1,4),""),IF(ROW()-1&lt;=$L$2+$M$2,IFERROR(INDEX(CLOZE_AB!$A:$K,ROW()-1-$L$2+1,4),""),IF(ROW()-1&lt;=$L$2+$M$2+$N$2,IFERROR(INDEX(CLOZE_LIST!$A:$K,ROW()-1-$L$2-$M$2+1,4),""),IF(ROW()-1&lt;=$L$2+$M$2+$N$2+$O$2,IFERROR(INDEX(PROFORMA!$A:$K,ROW()-1-$L$2-$M$2-$N$2+1,4),""),"")))))</f>
        <v>Residency, domicile and deemed domicile</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3</v>
      </c>
      <c r="G331" s="3" t="str">
        <f>IF(ROW()-1&lt;=0,"",IF(ROW()-1&lt;=$L$2,IFERROR(INDEX(MCQ!$A:$K,ROW()-1+1,7),""),IF(ROW()-1&lt;=$L$2+$M$2,IFERROR(INDEX(CLOZE_AB!$A:$K,ROW()-1-$L$2+1,7),""),IF(ROW()-1&lt;=$L$2+$M$2+$N$2,IFERROR(INDEX(CLOZE_LIST!$A:$K,ROW()-1-$L$2-$M$2+1,7),""),IF(ROW()-1&lt;=$L$2+$M$2+$N$2+$O$2,IFERROR(INDEX(PROFORMA!$A:$K,ROW()-1-$L$2-$M$2-$N$2+1,7),""),"")))))</f>
        <v>core</v>
      </c>
      <c r="H331" s="3" t="str">
        <f>IF(ROW()-1&lt;=0,"",IF(ROW()-1&lt;=$L$2,IFERROR(INDEX(MCQ!$A:$K,ROW()-1+1,8),""),IF(ROW()-1&lt;=$L$2+$M$2,IFERROR(INDEX(CLOZE_AB!$A:$K,ROW()-1-$L$2+1,8),""),IF(ROW()-1&lt;=$L$2+$M$2+$N$2,IFERROR(INDEX(CLOZE_LIST!$A:$K,ROW()-1-$L$2-$M$2+1,8),""),IF(ROW()-1&lt;=$L$2+$M$2+$N$2+$O$2,IFERROR(INDEX(PROFORMA!$A:$K,ROW()-1-$L$2-$M$2-$N$2+1,8),""),"")))))</f>
        <v>Y</v>
      </c>
      <c r="I331" s="3" t="str">
        <f>IF(ROW()-1&lt;=0,"",IF(ROW()-1&lt;=$L$2,IFERROR(INDEX(MCQ!$A:$K,ROW()-1+1,9),""),IF(ROW()-1&lt;=$L$2+$M$2,IFERROR(INDEX(CLOZE_AB!$A:$K,ROW()-1-$L$2+1,9),""),IF(ROW()-1&lt;=$L$2+$M$2+$N$2,IFERROR(INDEX(CLOZE_LIST!$A:$K,ROW()-1-$L$2-$M$2+1,9),""),IF(ROW()-1&lt;=$L$2+$M$2+$N$2+$O$2,IFERROR(INDEX(PROFORMA!$A:$K,ROW()-1-$L$2-$M$2-$N$2+1,9),""),"")))))</f>
        <v>deemed_domicile|routes</v>
      </c>
      <c r="J331" s="3" t="str">
        <f>IF(ROW()-1&lt;=0,"",IF(ROW()-1&lt;=$L$2,IFERROR(INDEX(MCQ!$A:$K,ROW()-1+1,10),""),IF(ROW()-1&lt;=$L$2+$M$2,IFERROR(INDEX(CLOZE_AB!$A:$K,ROW()-1-$L$2+1,10),""),IF(ROW()-1&lt;=$L$2+$M$2+$N$2,IFERROR(INDEX(CLOZE_LIST!$A:$K,ROW()-1-$L$2-$M$2+1,10),""),IF(ROW()-1&lt;=$L$2+$M$2+$N$2+$O$2,IFERROR(INDEX(PROFORMA!$A:$K,ROW()-1-$L$2-$M$2-$N$2+1,10),""),"")))))</f>
        <v>notes_user</v>
      </c>
      <c r="K331" s="3">
        <f>IF(ROW()-1&lt;=0,"",IF(ROW()-1&lt;=$L$2,IFERROR(INDEX(MCQ!$A:$K,ROW()-1+1,11),""),IF(ROW()-1&lt;=$L$2+$M$2,IFERROR(INDEX(CLOZE_AB!$A:$K,ROW()-1-$L$2+1,11),""),IF(ROW()-1&lt;=$L$2+$M$2+$N$2,IFERROR(INDEX(CLOZE_LIST!$A:$K,ROW()-1-$L$2-$M$2+1,11),""),IF(ROW()-1&lt;=$L$2+$M$2+$N$2+$O$2,IFERROR(INDEX(PROFORMA!$A:$K,ROW()-1-$L$2-$M$2-$N$2+1,11),""),"")))))</f>
        <v>1</v>
      </c>
      <c r="L331" s="3">
        <f>COUNTA(MCQ!$A:$A)-1</f>
        <v>143</v>
      </c>
      <c r="M331" s="3">
        <f>COUNTA(CLOZE_AB!$A:$A)-1</f>
        <v>168</v>
      </c>
      <c r="N331" s="3">
        <f>COUNTA(CLOZE_LIST!$A:$A)-1</f>
        <v>199</v>
      </c>
      <c r="O331" s="3">
        <f>COUNTA(PROFORMA!$A:$A)-1</f>
        <v>199</v>
      </c>
    </row>
    <row r="332" spans="1:15" ht="28.8" x14ac:dyDescent="0.3">
      <c r="A332" s="3" t="str">
        <f>IF(ROW()-1&lt;=0,"",IF(ROW()-1&lt;=$L$2,IFERROR(INDEX(MCQ!$A:$K,ROW()-1+1,1),""),IF(ROW()-1&lt;=$L$2+$M$2,IFERROR(INDEX(CLOZE_AB!$A:$K,ROW()-1-$L$2+1,1),""),IF(ROW()-1&lt;=$L$2+$M$2+$N$2,IFERROR(INDEX(CLOZE_LIST!$A:$K,ROW()-1-$L$2-$M$2+1,1),""),IF(ROW()-1&lt;=$L$2+$M$2+$N$2+$O$2,IFERROR(INDEX(PROFORMA!$A:$K,ROW()-1-$L$2-$M$2-$N$2+1,1),""),"")))))</f>
        <v>LIST_IHT_REQ_DEEMDOM_001</v>
      </c>
      <c r="B332" s="3" t="str">
        <f>IF(ROW()-1&lt;=0,"",IF(ROW()-1&lt;=$L$2,IFERROR(INDEX(MCQ!$A:$K,ROW()-1+1,2),""),IF(ROW()-1&lt;=$L$2+$M$2,IFERROR(INDEX(CLOZE_AB!$A:$K,ROW()-1-$L$2+1,2),""),IF(ROW()-1&lt;=$L$2+$M$2+$N$2,IFERROR(INDEX(CLOZE_LIST!$A:$K,ROW()-1-$L$2-$M$2+1,2),""),IF(ROW()-1&lt;=$L$2+$M$2+$N$2+$O$2,IFERROR(INDEX(PROFORMA!$A:$K,ROW()-1-$L$2-$M$2-$N$2+1,2),""),"")))))</f>
        <v>Inheritance tax</v>
      </c>
      <c r="C332" s="3" t="str">
        <f>IF(ROW()-1&lt;=0,"",IF(ROW()-1&lt;=$L$2,IFERROR(INDEX(MCQ!$A:$K,ROW()-1+1,3),""),IF(ROW()-1&lt;=$L$2+$M$2,IFERROR(INDEX(CLOZE_AB!$A:$K,ROW()-1-$L$2+1,3),""),IF(ROW()-1&lt;=$L$2+$M$2+$N$2,IFERROR(INDEX(CLOZE_LIST!$A:$K,ROW()-1-$L$2-$M$2+1,3),""),IF(ROW()-1&lt;=$L$2+$M$2+$N$2+$O$2,IFERROR(INDEX(PROFORMA!$A:$K,ROW()-1-$L$2-$M$2-$N$2+1,3),""),"")))))</f>
        <v>requirements</v>
      </c>
      <c r="D332" s="3" t="str">
        <f>IF(ROW()-1&lt;=0,"",IF(ROW()-1&lt;=$L$2,IFERROR(INDEX(MCQ!$A:$K,ROW()-1+1,4),""),IF(ROW()-1&lt;=$L$2+$M$2,IFERROR(INDEX(CLOZE_AB!$A:$K,ROW()-1-$L$2+1,4),""),IF(ROW()-1&lt;=$L$2+$M$2+$N$2,IFERROR(INDEX(CLOZE_LIST!$A:$K,ROW()-1-$L$2-$M$2+1,4),""),IF(ROW()-1&lt;=$L$2+$M$2+$N$2+$O$2,IFERROR(INDEX(PROFORMA!$A:$K,ROW()-1-$L$2-$M$2-$N$2+1,4),""),"")))))</f>
        <v>Deemed domicile (IHT vs CGT/IT)</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3</v>
      </c>
      <c r="G332" s="3" t="str">
        <f>IF(ROW()-1&lt;=0,"",IF(ROW()-1&lt;=$L$2,IFERROR(INDEX(MCQ!$A:$K,ROW()-1+1,7),""),IF(ROW()-1&lt;=$L$2+$M$2,IFERROR(INDEX(CLOZE_AB!$A:$K,ROW()-1-$L$2+1,7),""),IF(ROW()-1&lt;=$L$2+$M$2+$N$2,IFERROR(INDEX(CLOZE_LIST!$A:$K,ROW()-1-$L$2-$M$2+1,7),""),IF(ROW()-1&lt;=$L$2+$M$2+$N$2+$O$2,IFERROR(INDEX(PROFORMA!$A:$K,ROW()-1-$L$2-$M$2-$N$2+1,7),""),"")))))</f>
        <v>core</v>
      </c>
      <c r="H332" s="3" t="str">
        <f>IF(ROW()-1&lt;=0,"",IF(ROW()-1&lt;=$L$2,IFERROR(INDEX(MCQ!$A:$K,ROW()-1+1,8),""),IF(ROW()-1&lt;=$L$2+$M$2,IFERROR(INDEX(CLOZE_AB!$A:$K,ROW()-1-$L$2+1,8),""),IF(ROW()-1&lt;=$L$2+$M$2+$N$2,IFERROR(INDEX(CLOZE_LIST!$A:$K,ROW()-1-$L$2-$M$2+1,8),""),IF(ROW()-1&lt;=$L$2+$M$2+$N$2+$O$2,IFERROR(INDEX(PROFORMA!$A:$K,ROW()-1-$L$2-$M$2-$N$2+1,8),""),"")))))</f>
        <v>Y</v>
      </c>
      <c r="I332" s="3" t="str">
        <f>IF(ROW()-1&lt;=0,"",IF(ROW()-1&lt;=$L$2,IFERROR(INDEX(MCQ!$A:$K,ROW()-1+1,9),""),IF(ROW()-1&lt;=$L$2+$M$2,IFERROR(INDEX(CLOZE_AB!$A:$K,ROW()-1-$L$2+1,9),""),IF(ROW()-1&lt;=$L$2+$M$2+$N$2,IFERROR(INDEX(CLOZE_LIST!$A:$K,ROW()-1-$L$2-$M$2+1,9),""),IF(ROW()-1&lt;=$L$2+$M$2+$N$2+$O$2,IFERROR(INDEX(PROFORMA!$A:$K,ROW()-1-$L$2-$M$2-$N$2+1,9),""),"")))))</f>
        <v>iht|overview</v>
      </c>
      <c r="J332" s="3" t="str">
        <f>IF(ROW()-1&lt;=0,"",IF(ROW()-1&lt;=$L$2,IFERROR(INDEX(MCQ!$A:$K,ROW()-1+1,10),""),IF(ROW()-1&lt;=$L$2+$M$2,IFERROR(INDEX(CLOZE_AB!$A:$K,ROW()-1-$L$2+1,10),""),IF(ROW()-1&lt;=$L$2+$M$2+$N$2,IFERROR(INDEX(CLOZE_LIST!$A:$K,ROW()-1-$L$2-$M$2+1,10),""),IF(ROW()-1&lt;=$L$2+$M$2+$N$2+$O$2,IFERROR(INDEX(PROFORMA!$A:$K,ROW()-1-$L$2-$M$2-$N$2+1,10),""),"")))))</f>
        <v>image_notes</v>
      </c>
      <c r="K332" s="3">
        <f>IF(ROW()-1&lt;=0,"",IF(ROW()-1&lt;=$L$2,IFERROR(INDEX(MCQ!$A:$K,ROW()-1+1,11),""),IF(ROW()-1&lt;=$L$2+$M$2,IFERROR(INDEX(CLOZE_AB!$A:$K,ROW()-1-$L$2+1,11),""),IF(ROW()-1&lt;=$L$2+$M$2+$N$2,IFERROR(INDEX(CLOZE_LIST!$A:$K,ROW()-1-$L$2-$M$2+1,11),""),IF(ROW()-1&lt;=$L$2+$M$2+$N$2+$O$2,IFERROR(INDEX(PROFORMA!$A:$K,ROW()-1-$L$2-$M$2-$N$2+1,11),""),"")))))</f>
        <v>1</v>
      </c>
      <c r="L332" s="3">
        <f>COUNTA(MCQ!$A:$A)-1</f>
        <v>143</v>
      </c>
      <c r="M332" s="3">
        <f>COUNTA(CLOZE_AB!$A:$A)-1</f>
        <v>168</v>
      </c>
      <c r="N332" s="3">
        <f>COUNTA(CLOZE_LIST!$A:$A)-1</f>
        <v>199</v>
      </c>
      <c r="O332" s="3">
        <f>COUNTA(PROFORMA!$A:$A)-1</f>
        <v>199</v>
      </c>
    </row>
    <row r="333" spans="1:15" ht="28.8" x14ac:dyDescent="0.3">
      <c r="A333" s="3" t="str">
        <f>IF(ROW()-1&lt;=0,"",IF(ROW()-1&lt;=$L$2,IFERROR(INDEX(MCQ!$A:$K,ROW()-1+1,1),""),IF(ROW()-1&lt;=$L$2+$M$2,IFERROR(INDEX(CLOZE_AB!$A:$K,ROW()-1-$L$2+1,1),""),IF(ROW()-1&lt;=$L$2+$M$2+$N$2,IFERROR(INDEX(CLOZE_LIST!$A:$K,ROW()-1-$L$2-$M$2+1,1),""),IF(ROW()-1&lt;=$L$2+$M$2+$N$2+$O$2,IFERROR(INDEX(PROFORMA!$A:$K,ROW()-1-$L$2-$M$2-$N$2+1,1),""),"")))))</f>
        <v>LIST_IHT_REQ_DEEMDOM_002</v>
      </c>
      <c r="B333" s="3" t="str">
        <f>IF(ROW()-1&lt;=0,"",IF(ROW()-1&lt;=$L$2,IFERROR(INDEX(MCQ!$A:$K,ROW()-1+1,2),""),IF(ROW()-1&lt;=$L$2+$M$2,IFERROR(INDEX(CLOZE_AB!$A:$K,ROW()-1-$L$2+1,2),""),IF(ROW()-1&lt;=$L$2+$M$2+$N$2,IFERROR(INDEX(CLOZE_LIST!$A:$K,ROW()-1-$L$2-$M$2+1,2),""),IF(ROW()-1&lt;=$L$2+$M$2+$N$2+$O$2,IFERROR(INDEX(PROFORMA!$A:$K,ROW()-1-$L$2-$M$2-$N$2+1,2),""),"")))))</f>
        <v>Inheritance tax</v>
      </c>
      <c r="C333" s="3" t="str">
        <f>IF(ROW()-1&lt;=0,"",IF(ROW()-1&lt;=$L$2,IFERROR(INDEX(MCQ!$A:$K,ROW()-1+1,3),""),IF(ROW()-1&lt;=$L$2+$M$2,IFERROR(INDEX(CLOZE_AB!$A:$K,ROW()-1-$L$2+1,3),""),IF(ROW()-1&lt;=$L$2+$M$2+$N$2,IFERROR(INDEX(CLOZE_LIST!$A:$K,ROW()-1-$L$2-$M$2+1,3),""),IF(ROW()-1&lt;=$L$2+$M$2+$N$2+$O$2,IFERROR(INDEX(PROFORMA!$A:$K,ROW()-1-$L$2-$M$2-$N$2+1,3),""),"")))))</f>
        <v>requirements</v>
      </c>
      <c r="D333" s="3" t="str">
        <f>IF(ROW()-1&lt;=0,"",IF(ROW()-1&lt;=$L$2,IFERROR(INDEX(MCQ!$A:$K,ROW()-1+1,4),""),IF(ROW()-1&lt;=$L$2+$M$2,IFERROR(INDEX(CLOZE_AB!$A:$K,ROW()-1-$L$2+1,4),""),IF(ROW()-1&lt;=$L$2+$M$2+$N$2,IFERROR(INDEX(CLOZE_LIST!$A:$K,ROW()-1-$L$2-$M$2+1,4),""),IF(ROW()-1&lt;=$L$2+$M$2+$N$2+$O$2,IFERROR(INDEX(PROFORMA!$A:$K,ROW()-1-$L$2-$M$2-$N$2+1,4),""),"")))))</f>
        <v>Deemed domicile (IHT vs CGT/IT)</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3</v>
      </c>
      <c r="G333" s="3" t="str">
        <f>IF(ROW()-1&lt;=0,"",IF(ROW()-1&lt;=$L$2,IFERROR(INDEX(MCQ!$A:$K,ROW()-1+1,7),""),IF(ROW()-1&lt;=$L$2+$M$2,IFERROR(INDEX(CLOZE_AB!$A:$K,ROW()-1-$L$2+1,7),""),IF(ROW()-1&lt;=$L$2+$M$2+$N$2,IFERROR(INDEX(CLOZE_LIST!$A:$K,ROW()-1-$L$2-$M$2+1,7),""),IF(ROW()-1&lt;=$L$2+$M$2+$N$2+$O$2,IFERROR(INDEX(PROFORMA!$A:$K,ROW()-1-$L$2-$M$2-$N$2+1,7),""),"")))))</f>
        <v>core</v>
      </c>
      <c r="H333" s="3" t="str">
        <f>IF(ROW()-1&lt;=0,"",IF(ROW()-1&lt;=$L$2,IFERROR(INDEX(MCQ!$A:$K,ROW()-1+1,8),""),IF(ROW()-1&lt;=$L$2+$M$2,IFERROR(INDEX(CLOZE_AB!$A:$K,ROW()-1-$L$2+1,8),""),IF(ROW()-1&lt;=$L$2+$M$2+$N$2,IFERROR(INDEX(CLOZE_LIST!$A:$K,ROW()-1-$L$2-$M$2+1,8),""),IF(ROW()-1&lt;=$L$2+$M$2+$N$2+$O$2,IFERROR(INDEX(PROFORMA!$A:$K,ROW()-1-$L$2-$M$2-$N$2+1,8),""),"")))))</f>
        <v>Y</v>
      </c>
      <c r="I333" s="3" t="str">
        <f>IF(ROW()-1&lt;=0,"",IF(ROW()-1&lt;=$L$2,IFERROR(INDEX(MCQ!$A:$K,ROW()-1+1,9),""),IF(ROW()-1&lt;=$L$2+$M$2,IFERROR(INDEX(CLOZE_AB!$A:$K,ROW()-1-$L$2+1,9),""),IF(ROW()-1&lt;=$L$2+$M$2+$N$2,IFERROR(INDEX(CLOZE_LIST!$A:$K,ROW()-1-$L$2-$M$2+1,9),""),IF(ROW()-1&lt;=$L$2+$M$2+$N$2+$O$2,IFERROR(INDEX(PROFORMA!$A:$K,ROW()-1-$L$2-$M$2-$N$2+1,9),""),"")))))</f>
        <v>iht|three_year</v>
      </c>
      <c r="J333" s="3" t="str">
        <f>IF(ROW()-1&lt;=0,"",IF(ROW()-1&lt;=$L$2,IFERROR(INDEX(MCQ!$A:$K,ROW()-1+1,10),""),IF(ROW()-1&lt;=$L$2+$M$2,IFERROR(INDEX(CLOZE_AB!$A:$K,ROW()-1-$L$2+1,10),""),IF(ROW()-1&lt;=$L$2+$M$2+$N$2,IFERROR(INDEX(CLOZE_LIST!$A:$K,ROW()-1-$L$2-$M$2+1,10),""),IF(ROW()-1&lt;=$L$2+$M$2+$N$2+$O$2,IFERROR(INDEX(PROFORMA!$A:$K,ROW()-1-$L$2-$M$2-$N$2+1,10),""),"")))))</f>
        <v>image_notes</v>
      </c>
      <c r="K333" s="3">
        <f>IF(ROW()-1&lt;=0,"",IF(ROW()-1&lt;=$L$2,IFERROR(INDEX(MCQ!$A:$K,ROW()-1+1,11),""),IF(ROW()-1&lt;=$L$2+$M$2,IFERROR(INDEX(CLOZE_AB!$A:$K,ROW()-1-$L$2+1,11),""),IF(ROW()-1&lt;=$L$2+$M$2+$N$2,IFERROR(INDEX(CLOZE_LIST!$A:$K,ROW()-1-$L$2-$M$2+1,11),""),IF(ROW()-1&lt;=$L$2+$M$2+$N$2+$O$2,IFERROR(INDEX(PROFORMA!$A:$K,ROW()-1-$L$2-$M$2-$N$2+1,11),""),"")))))</f>
        <v>1</v>
      </c>
      <c r="L333" s="3">
        <f>COUNTA(MCQ!$A:$A)-1</f>
        <v>143</v>
      </c>
      <c r="M333" s="3">
        <f>COUNTA(CLOZE_AB!$A:$A)-1</f>
        <v>168</v>
      </c>
      <c r="N333" s="3">
        <f>COUNTA(CLOZE_LIST!$A:$A)-1</f>
        <v>199</v>
      </c>
      <c r="O333" s="3">
        <f>COUNTA(PROFORMA!$A:$A)-1</f>
        <v>199</v>
      </c>
    </row>
    <row r="334" spans="1:15" ht="28.8" x14ac:dyDescent="0.3">
      <c r="A334" s="3" t="str">
        <f>IF(ROW()-1&lt;=0,"",IF(ROW()-1&lt;=$L$2,IFERROR(INDEX(MCQ!$A:$K,ROW()-1+1,1),""),IF(ROW()-1&lt;=$L$2+$M$2,IFERROR(INDEX(CLOZE_AB!$A:$K,ROW()-1-$L$2+1,1),""),IF(ROW()-1&lt;=$L$2+$M$2+$N$2,IFERROR(INDEX(CLOZE_LIST!$A:$K,ROW()-1-$L$2-$M$2+1,1),""),IF(ROW()-1&lt;=$L$2+$M$2+$N$2+$O$2,IFERROR(INDEX(PROFORMA!$A:$K,ROW()-1-$L$2-$M$2-$N$2+1,1),""),"")))))</f>
        <v>LIST_IHT_REQ_DEEMDOM_003</v>
      </c>
      <c r="B334" s="3" t="str">
        <f>IF(ROW()-1&lt;=0,"",IF(ROW()-1&lt;=$L$2,IFERROR(INDEX(MCQ!$A:$K,ROW()-1+1,2),""),IF(ROW()-1&lt;=$L$2+$M$2,IFERROR(INDEX(CLOZE_AB!$A:$K,ROW()-1-$L$2+1,2),""),IF(ROW()-1&lt;=$L$2+$M$2+$N$2,IFERROR(INDEX(CLOZE_LIST!$A:$K,ROW()-1-$L$2-$M$2+1,2),""),IF(ROW()-1&lt;=$L$2+$M$2+$N$2+$O$2,IFERROR(INDEX(PROFORMA!$A:$K,ROW()-1-$L$2-$M$2-$N$2+1,2),""),"")))))</f>
        <v>Inheritance tax</v>
      </c>
      <c r="C334" s="3" t="str">
        <f>IF(ROW()-1&lt;=0,"",IF(ROW()-1&lt;=$L$2,IFERROR(INDEX(MCQ!$A:$K,ROW()-1+1,3),""),IF(ROW()-1&lt;=$L$2+$M$2,IFERROR(INDEX(CLOZE_AB!$A:$K,ROW()-1-$L$2+1,3),""),IF(ROW()-1&lt;=$L$2+$M$2+$N$2,IFERROR(INDEX(CLOZE_LIST!$A:$K,ROW()-1-$L$2-$M$2+1,3),""),IF(ROW()-1&lt;=$L$2+$M$2+$N$2+$O$2,IFERROR(INDEX(PROFORMA!$A:$K,ROW()-1-$L$2-$M$2-$N$2+1,3),""),"")))))</f>
        <v>requirements</v>
      </c>
      <c r="D334" s="3" t="str">
        <f>IF(ROW()-1&lt;=0,"",IF(ROW()-1&lt;=$L$2,IFERROR(INDEX(MCQ!$A:$K,ROW()-1+1,4),""),IF(ROW()-1&lt;=$L$2+$M$2,IFERROR(INDEX(CLOZE_AB!$A:$K,ROW()-1-$L$2+1,4),""),IF(ROW()-1&lt;=$L$2+$M$2+$N$2,IFERROR(INDEX(CLOZE_LIST!$A:$K,ROW()-1-$L$2-$M$2+1,4),""),IF(ROW()-1&lt;=$L$2+$M$2+$N$2+$O$2,IFERROR(INDEX(PROFORMA!$A:$K,ROW()-1-$L$2-$M$2-$N$2+1,4),""),"")))))</f>
        <v>Deemed domicile (IHT vs CGT/IT)</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3</v>
      </c>
      <c r="G334" s="3" t="str">
        <f>IF(ROW()-1&lt;=0,"",IF(ROW()-1&lt;=$L$2,IFERROR(INDEX(MCQ!$A:$K,ROW()-1+1,7),""),IF(ROW()-1&lt;=$L$2+$M$2,IFERROR(INDEX(CLOZE_AB!$A:$K,ROW()-1-$L$2+1,7),""),IF(ROW()-1&lt;=$L$2+$M$2+$N$2,IFERROR(INDEX(CLOZE_LIST!$A:$K,ROW()-1-$L$2-$M$2+1,7),""),IF(ROW()-1&lt;=$L$2+$M$2+$N$2+$O$2,IFERROR(INDEX(PROFORMA!$A:$K,ROW()-1-$L$2-$M$2-$N$2+1,7),""),"")))))</f>
        <v>core</v>
      </c>
      <c r="H334" s="3" t="str">
        <f>IF(ROW()-1&lt;=0,"",IF(ROW()-1&lt;=$L$2,IFERROR(INDEX(MCQ!$A:$K,ROW()-1+1,8),""),IF(ROW()-1&lt;=$L$2+$M$2,IFERROR(INDEX(CLOZE_AB!$A:$K,ROW()-1-$L$2+1,8),""),IF(ROW()-1&lt;=$L$2+$M$2+$N$2,IFERROR(INDEX(CLOZE_LIST!$A:$K,ROW()-1-$L$2-$M$2+1,8),""),IF(ROW()-1&lt;=$L$2+$M$2+$N$2+$O$2,IFERROR(INDEX(PROFORMA!$A:$K,ROW()-1-$L$2-$M$2-$N$2+1,8),""),"")))))</f>
        <v>Y</v>
      </c>
      <c r="I334" s="3" t="str">
        <f>IF(ROW()-1&lt;=0,"",IF(ROW()-1&lt;=$L$2,IFERROR(INDEX(MCQ!$A:$K,ROW()-1+1,9),""),IF(ROW()-1&lt;=$L$2+$M$2,IFERROR(INDEX(CLOZE_AB!$A:$K,ROW()-1-$L$2+1,9),""),IF(ROW()-1&lt;=$L$2+$M$2+$N$2,IFERROR(INDEX(CLOZE_LIST!$A:$K,ROW()-1-$L$2-$M$2+1,9),""),IF(ROW()-1&lt;=$L$2+$M$2+$N$2+$O$2,IFERROR(INDEX(PROFORMA!$A:$K,ROW()-1-$L$2-$M$2-$N$2+1,9),""),"")))))</f>
        <v>iht|fukdi</v>
      </c>
      <c r="J334" s="3" t="str">
        <f>IF(ROW()-1&lt;=0,"",IF(ROW()-1&lt;=$L$2,IFERROR(INDEX(MCQ!$A:$K,ROW()-1+1,10),""),IF(ROW()-1&lt;=$L$2+$M$2,IFERROR(INDEX(CLOZE_AB!$A:$K,ROW()-1-$L$2+1,10),""),IF(ROW()-1&lt;=$L$2+$M$2+$N$2,IFERROR(INDEX(CLOZE_LIST!$A:$K,ROW()-1-$L$2-$M$2+1,10),""),IF(ROW()-1&lt;=$L$2+$M$2+$N$2+$O$2,IFERROR(INDEX(PROFORMA!$A:$K,ROW()-1-$L$2-$M$2-$N$2+1,10),""),"")))))</f>
        <v>image_notes</v>
      </c>
      <c r="K334" s="3">
        <f>IF(ROW()-1&lt;=0,"",IF(ROW()-1&lt;=$L$2,IFERROR(INDEX(MCQ!$A:$K,ROW()-1+1,11),""),IF(ROW()-1&lt;=$L$2+$M$2,IFERROR(INDEX(CLOZE_AB!$A:$K,ROW()-1-$L$2+1,11),""),IF(ROW()-1&lt;=$L$2+$M$2+$N$2,IFERROR(INDEX(CLOZE_LIST!$A:$K,ROW()-1-$L$2-$M$2+1,11),""),IF(ROW()-1&lt;=$L$2+$M$2+$N$2+$O$2,IFERROR(INDEX(PROFORMA!$A:$K,ROW()-1-$L$2-$M$2-$N$2+1,11),""),"")))))</f>
        <v>1</v>
      </c>
      <c r="L334" s="3">
        <f>COUNTA(MCQ!$A:$A)-1</f>
        <v>143</v>
      </c>
      <c r="M334" s="3">
        <f>COUNTA(CLOZE_AB!$A:$A)-1</f>
        <v>168</v>
      </c>
      <c r="N334" s="3">
        <f>COUNTA(CLOZE_LIST!$A:$A)-1</f>
        <v>199</v>
      </c>
      <c r="O334" s="3">
        <f>COUNTA(PROFORMA!$A:$A)-1</f>
        <v>199</v>
      </c>
    </row>
    <row r="335" spans="1:15" ht="28.8" x14ac:dyDescent="0.3">
      <c r="A335" s="3" t="str">
        <f>IF(ROW()-1&lt;=0,"",IF(ROW()-1&lt;=$L$2,IFERROR(INDEX(MCQ!$A:$K,ROW()-1+1,1),""),IF(ROW()-1&lt;=$L$2+$M$2,IFERROR(INDEX(CLOZE_AB!$A:$K,ROW()-1-$L$2+1,1),""),IF(ROW()-1&lt;=$L$2+$M$2+$N$2,IFERROR(INDEX(CLOZE_LIST!$A:$K,ROW()-1-$L$2-$M$2+1,1),""),IF(ROW()-1&lt;=$L$2+$M$2+$N$2+$O$2,IFERROR(INDEX(PROFORMA!$A:$K,ROW()-1-$L$2-$M$2-$N$2+1,1),""),"")))))</f>
        <v>LIST_IHT_REQ_DEEMDOM_004</v>
      </c>
      <c r="B335" s="3" t="str">
        <f>IF(ROW()-1&lt;=0,"",IF(ROW()-1&lt;=$L$2,IFERROR(INDEX(MCQ!$A:$K,ROW()-1+1,2),""),IF(ROW()-1&lt;=$L$2+$M$2,IFERROR(INDEX(CLOZE_AB!$A:$K,ROW()-1-$L$2+1,2),""),IF(ROW()-1&lt;=$L$2+$M$2+$N$2,IFERROR(INDEX(CLOZE_LIST!$A:$K,ROW()-1-$L$2-$M$2+1,2),""),IF(ROW()-1&lt;=$L$2+$M$2+$N$2+$O$2,IFERROR(INDEX(PROFORMA!$A:$K,ROW()-1-$L$2-$M$2-$N$2+1,2),""),"")))))</f>
        <v>Inheritance tax</v>
      </c>
      <c r="C335" s="3" t="str">
        <f>IF(ROW()-1&lt;=0,"",IF(ROW()-1&lt;=$L$2,IFERROR(INDEX(MCQ!$A:$K,ROW()-1+1,3),""),IF(ROW()-1&lt;=$L$2+$M$2,IFERROR(INDEX(CLOZE_AB!$A:$K,ROW()-1-$L$2+1,3),""),IF(ROW()-1&lt;=$L$2+$M$2+$N$2,IFERROR(INDEX(CLOZE_LIST!$A:$K,ROW()-1-$L$2-$M$2+1,3),""),IF(ROW()-1&lt;=$L$2+$M$2+$N$2+$O$2,IFERROR(INDEX(PROFORMA!$A:$K,ROW()-1-$L$2-$M$2-$N$2+1,3),""),"")))))</f>
        <v>requirements</v>
      </c>
      <c r="D335" s="3" t="str">
        <f>IF(ROW()-1&lt;=0,"",IF(ROW()-1&lt;=$L$2,IFERROR(INDEX(MCQ!$A:$K,ROW()-1+1,4),""),IF(ROW()-1&lt;=$L$2+$M$2,IFERROR(INDEX(CLOZE_AB!$A:$K,ROW()-1-$L$2+1,4),""),IF(ROW()-1&lt;=$L$2+$M$2+$N$2,IFERROR(INDEX(CLOZE_LIST!$A:$K,ROW()-1-$L$2-$M$2+1,4),""),IF(ROW()-1&lt;=$L$2+$M$2+$N$2+$O$2,IFERROR(INDEX(PROFORMA!$A:$K,ROW()-1-$L$2-$M$2-$N$2+1,4),""),"")))))</f>
        <v>Deemed domicile (IHT vs CGT/IT)</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3</v>
      </c>
      <c r="G335" s="3" t="str">
        <f>IF(ROW()-1&lt;=0,"",IF(ROW()-1&lt;=$L$2,IFERROR(INDEX(MCQ!$A:$K,ROW()-1+1,7),""),IF(ROW()-1&lt;=$L$2+$M$2,IFERROR(INDEX(CLOZE_AB!$A:$K,ROW()-1-$L$2+1,7),""),IF(ROW()-1&lt;=$L$2+$M$2+$N$2,IFERROR(INDEX(CLOZE_LIST!$A:$K,ROW()-1-$L$2-$M$2+1,7),""),IF(ROW()-1&lt;=$L$2+$M$2+$N$2+$O$2,IFERROR(INDEX(PROFORMA!$A:$K,ROW()-1-$L$2-$M$2-$N$2+1,7),""),"")))))</f>
        <v>core</v>
      </c>
      <c r="H335" s="3" t="str">
        <f>IF(ROW()-1&lt;=0,"",IF(ROW()-1&lt;=$L$2,IFERROR(INDEX(MCQ!$A:$K,ROW()-1+1,8),""),IF(ROW()-1&lt;=$L$2+$M$2,IFERROR(INDEX(CLOZE_AB!$A:$K,ROW()-1-$L$2+1,8),""),IF(ROW()-1&lt;=$L$2+$M$2+$N$2,IFERROR(INDEX(CLOZE_LIST!$A:$K,ROW()-1-$L$2-$M$2+1,8),""),IF(ROW()-1&lt;=$L$2+$M$2+$N$2+$O$2,IFERROR(INDEX(PROFORMA!$A:$K,ROW()-1-$L$2-$M$2-$N$2+1,8),""),"")))))</f>
        <v>Y</v>
      </c>
      <c r="I335" s="3" t="str">
        <f>IF(ROW()-1&lt;=0,"",IF(ROW()-1&lt;=$L$2,IFERROR(INDEX(MCQ!$A:$K,ROW()-1+1,9),""),IF(ROW()-1&lt;=$L$2+$M$2,IFERROR(INDEX(CLOZE_AB!$A:$K,ROW()-1-$L$2+1,9),""),IF(ROW()-1&lt;=$L$2+$M$2+$N$2,IFERROR(INDEX(CLOZE_LIST!$A:$K,ROW()-1-$L$2-$M$2+1,9),""),IF(ROW()-1&lt;=$L$2+$M$2+$N$2+$O$2,IFERROR(INDEX(PROFORMA!$A:$K,ROW()-1-$L$2-$M$2-$N$2+1,9),""),"")))))</f>
        <v>iht|uk_resident_route</v>
      </c>
      <c r="J335" s="3" t="str">
        <f>IF(ROW()-1&lt;=0,"",IF(ROW()-1&lt;=$L$2,IFERROR(INDEX(MCQ!$A:$K,ROW()-1+1,10),""),IF(ROW()-1&lt;=$L$2+$M$2,IFERROR(INDEX(CLOZE_AB!$A:$K,ROW()-1-$L$2+1,10),""),IF(ROW()-1&lt;=$L$2+$M$2+$N$2,IFERROR(INDEX(CLOZE_LIST!$A:$K,ROW()-1-$L$2-$M$2+1,10),""),IF(ROW()-1&lt;=$L$2+$M$2+$N$2+$O$2,IFERROR(INDEX(PROFORMA!$A:$K,ROW()-1-$L$2-$M$2-$N$2+1,10),""),"")))))</f>
        <v>image_notes</v>
      </c>
      <c r="K335" s="3">
        <f>IF(ROW()-1&lt;=0,"",IF(ROW()-1&lt;=$L$2,IFERROR(INDEX(MCQ!$A:$K,ROW()-1+1,11),""),IF(ROW()-1&lt;=$L$2+$M$2,IFERROR(INDEX(CLOZE_AB!$A:$K,ROW()-1-$L$2+1,11),""),IF(ROW()-1&lt;=$L$2+$M$2+$N$2,IFERROR(INDEX(CLOZE_LIST!$A:$K,ROW()-1-$L$2-$M$2+1,11),""),IF(ROW()-1&lt;=$L$2+$M$2+$N$2+$O$2,IFERROR(INDEX(PROFORMA!$A:$K,ROW()-1-$L$2-$M$2-$N$2+1,11),""),"")))))</f>
        <v>1</v>
      </c>
      <c r="L335" s="3">
        <f>COUNTA(MCQ!$A:$A)-1</f>
        <v>143</v>
      </c>
      <c r="M335" s="3">
        <f>COUNTA(CLOZE_AB!$A:$A)-1</f>
        <v>168</v>
      </c>
      <c r="N335" s="3">
        <f>COUNTA(CLOZE_LIST!$A:$A)-1</f>
        <v>199</v>
      </c>
      <c r="O335" s="3">
        <f>COUNTA(PROFORMA!$A:$A)-1</f>
        <v>199</v>
      </c>
    </row>
    <row r="336" spans="1:15" ht="28.8" x14ac:dyDescent="0.3">
      <c r="A336" s="3" t="str">
        <f>IF(ROW()-1&lt;=0,"",IF(ROW()-1&lt;=$L$2,IFERROR(INDEX(MCQ!$A:$K,ROW()-1+1,1),""),IF(ROW()-1&lt;=$L$2+$M$2,IFERROR(INDEX(CLOZE_AB!$A:$K,ROW()-1-$L$2+1,1),""),IF(ROW()-1&lt;=$L$2+$M$2+$N$2,IFERROR(INDEX(CLOZE_LIST!$A:$K,ROW()-1-$L$2-$M$2+1,1),""),IF(ROW()-1&lt;=$L$2+$M$2+$N$2+$O$2,IFERROR(INDEX(PROFORMA!$A:$K,ROW()-1-$L$2-$M$2-$N$2+1,1),""),"")))))</f>
        <v>LIST_IHT_REQ_DEEMDOM_005</v>
      </c>
      <c r="B336" s="3" t="str">
        <f>IF(ROW()-1&lt;=0,"",IF(ROW()-1&lt;=$L$2,IFERROR(INDEX(MCQ!$A:$K,ROW()-1+1,2),""),IF(ROW()-1&lt;=$L$2+$M$2,IFERROR(INDEX(CLOZE_AB!$A:$K,ROW()-1-$L$2+1,2),""),IF(ROW()-1&lt;=$L$2+$M$2+$N$2,IFERROR(INDEX(CLOZE_LIST!$A:$K,ROW()-1-$L$2-$M$2+1,2),""),IF(ROW()-1&lt;=$L$2+$M$2+$N$2+$O$2,IFERROR(INDEX(PROFORMA!$A:$K,ROW()-1-$L$2-$M$2-$N$2+1,2),""),"")))))</f>
        <v>Inheritance tax</v>
      </c>
      <c r="C336" s="3" t="str">
        <f>IF(ROW()-1&lt;=0,"",IF(ROW()-1&lt;=$L$2,IFERROR(INDEX(MCQ!$A:$K,ROW()-1+1,3),""),IF(ROW()-1&lt;=$L$2+$M$2,IFERROR(INDEX(CLOZE_AB!$A:$K,ROW()-1-$L$2+1,3),""),IF(ROW()-1&lt;=$L$2+$M$2+$N$2,IFERROR(INDEX(CLOZE_LIST!$A:$K,ROW()-1-$L$2-$M$2+1,3),""),IF(ROW()-1&lt;=$L$2+$M$2+$N$2+$O$2,IFERROR(INDEX(PROFORMA!$A:$K,ROW()-1-$L$2-$M$2-$N$2+1,3),""),"")))))</f>
        <v>requirements</v>
      </c>
      <c r="D336" s="3" t="str">
        <f>IF(ROW()-1&lt;=0,"",IF(ROW()-1&lt;=$L$2,IFERROR(INDEX(MCQ!$A:$K,ROW()-1+1,4),""),IF(ROW()-1&lt;=$L$2+$M$2,IFERROR(INDEX(CLOZE_AB!$A:$K,ROW()-1-$L$2+1,4),""),IF(ROW()-1&lt;=$L$2+$M$2+$N$2,IFERROR(INDEX(CLOZE_LIST!$A:$K,ROW()-1-$L$2-$M$2+1,4),""),IF(ROW()-1&lt;=$L$2+$M$2+$N$2+$O$2,IFERROR(INDEX(PROFORMA!$A:$K,ROW()-1-$L$2-$M$2-$N$2+1,4),""),"")))))</f>
        <v>Deemed domicile (IHT vs CGT/IT)</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3</v>
      </c>
      <c r="G336" s="3" t="str">
        <f>IF(ROW()-1&lt;=0,"",IF(ROW()-1&lt;=$L$2,IFERROR(INDEX(MCQ!$A:$K,ROW()-1+1,7),""),IF(ROW()-1&lt;=$L$2+$M$2,IFERROR(INDEX(CLOZE_AB!$A:$K,ROW()-1-$L$2+1,7),""),IF(ROW()-1&lt;=$L$2+$M$2+$N$2,IFERROR(INDEX(CLOZE_LIST!$A:$K,ROW()-1-$L$2-$M$2+1,7),""),IF(ROW()-1&lt;=$L$2+$M$2+$N$2+$O$2,IFERROR(INDEX(PROFORMA!$A:$K,ROW()-1-$L$2-$M$2-$N$2+1,7),""),"")))))</f>
        <v>core</v>
      </c>
      <c r="H336" s="3" t="str">
        <f>IF(ROW()-1&lt;=0,"",IF(ROW()-1&lt;=$L$2,IFERROR(INDEX(MCQ!$A:$K,ROW()-1+1,8),""),IF(ROW()-1&lt;=$L$2+$M$2,IFERROR(INDEX(CLOZE_AB!$A:$K,ROW()-1-$L$2+1,8),""),IF(ROW()-1&lt;=$L$2+$M$2+$N$2,IFERROR(INDEX(CLOZE_LIST!$A:$K,ROW()-1-$L$2-$M$2+1,8),""),IF(ROW()-1&lt;=$L$2+$M$2+$N$2+$O$2,IFERROR(INDEX(PROFORMA!$A:$K,ROW()-1-$L$2-$M$2-$N$2+1,8),""),"")))))</f>
        <v>Y</v>
      </c>
      <c r="I336" s="3" t="str">
        <f>IF(ROW()-1&lt;=0,"",IF(ROW()-1&lt;=$L$2,IFERROR(INDEX(MCQ!$A:$K,ROW()-1+1,9),""),IF(ROW()-1&lt;=$L$2+$M$2,IFERROR(INDEX(CLOZE_AB!$A:$K,ROW()-1-$L$2+1,9),""),IF(ROW()-1&lt;=$L$2+$M$2+$N$2,IFERROR(INDEX(CLOZE_LIST!$A:$K,ROW()-1-$L$2-$M$2+1,9),""),IF(ROW()-1&lt;=$L$2+$M$2+$N$2+$O$2,IFERROR(INDEX(PROFORMA!$A:$K,ROW()-1-$L$2-$M$2-$N$2+1,9),""),"")))))</f>
        <v>iht|comparison_windows</v>
      </c>
      <c r="J336" s="3" t="str">
        <f>IF(ROW()-1&lt;=0,"",IF(ROW()-1&lt;=$L$2,IFERROR(INDEX(MCQ!$A:$K,ROW()-1+1,10),""),IF(ROW()-1&lt;=$L$2+$M$2,IFERROR(INDEX(CLOZE_AB!$A:$K,ROW()-1-$L$2+1,10),""),IF(ROW()-1&lt;=$L$2+$M$2+$N$2,IFERROR(INDEX(CLOZE_LIST!$A:$K,ROW()-1-$L$2-$M$2+1,10),""),IF(ROW()-1&lt;=$L$2+$M$2+$N$2+$O$2,IFERROR(INDEX(PROFORMA!$A:$K,ROW()-1-$L$2-$M$2-$N$2+1,10),""),"")))))</f>
        <v>image_notes</v>
      </c>
      <c r="K336" s="3">
        <f>IF(ROW()-1&lt;=0,"",IF(ROW()-1&lt;=$L$2,IFERROR(INDEX(MCQ!$A:$K,ROW()-1+1,11),""),IF(ROW()-1&lt;=$L$2+$M$2,IFERROR(INDEX(CLOZE_AB!$A:$K,ROW()-1-$L$2+1,11),""),IF(ROW()-1&lt;=$L$2+$M$2+$N$2,IFERROR(INDEX(CLOZE_LIST!$A:$K,ROW()-1-$L$2-$M$2+1,11),""),IF(ROW()-1&lt;=$L$2+$M$2+$N$2+$O$2,IFERROR(INDEX(PROFORMA!$A:$K,ROW()-1-$L$2-$M$2-$N$2+1,11),""),"")))))</f>
        <v>1</v>
      </c>
      <c r="L336" s="3">
        <f>COUNTA(MCQ!$A:$A)-1</f>
        <v>143</v>
      </c>
      <c r="M336" s="3">
        <f>COUNTA(CLOZE_AB!$A:$A)-1</f>
        <v>168</v>
      </c>
      <c r="N336" s="3">
        <f>COUNTA(CLOZE_LIST!$A:$A)-1</f>
        <v>199</v>
      </c>
      <c r="O336" s="3">
        <f>COUNTA(PROFORMA!$A:$A)-1</f>
        <v>199</v>
      </c>
    </row>
    <row r="337" spans="1:15" x14ac:dyDescent="0.3">
      <c r="A337" s="3" t="str">
        <f>IF(ROW()-1&lt;=0,"",IF(ROW()-1&lt;=$L$2,IFERROR(INDEX(MCQ!$A:$K,ROW()-1+1,1),""),IF(ROW()-1&lt;=$L$2+$M$2,IFERROR(INDEX(CLOZE_AB!$A:$K,ROW()-1-$L$2+1,1),""),IF(ROW()-1&lt;=$L$2+$M$2+$N$2,IFERROR(INDEX(CLOZE_LIST!$A:$K,ROW()-1-$L$2-$M$2+1,1),""),IF(ROW()-1&lt;=$L$2+$M$2+$N$2+$O$2,IFERROR(INDEX(PROFORMA!$A:$K,ROW()-1-$L$2-$M$2-$N$2+1,1),""),"")))))</f>
        <v>LIST_IHT_REQ_DEEMDOM_006</v>
      </c>
      <c r="B337" s="3" t="str">
        <f>IF(ROW()-1&lt;=0,"",IF(ROW()-1&lt;=$L$2,IFERROR(INDEX(MCQ!$A:$K,ROW()-1+1,2),""),IF(ROW()-1&lt;=$L$2+$M$2,IFERROR(INDEX(CLOZE_AB!$A:$K,ROW()-1-$L$2+1,2),""),IF(ROW()-1&lt;=$L$2+$M$2+$N$2,IFERROR(INDEX(CLOZE_LIST!$A:$K,ROW()-1-$L$2-$M$2+1,2),""),IF(ROW()-1&lt;=$L$2+$M$2+$N$2+$O$2,IFERROR(INDEX(PROFORMA!$A:$K,ROW()-1-$L$2-$M$2-$N$2+1,2),""),"")))))</f>
        <v>Inheritance tax</v>
      </c>
      <c r="C337" s="3" t="str">
        <f>IF(ROW()-1&lt;=0,"",IF(ROW()-1&lt;=$L$2,IFERROR(INDEX(MCQ!$A:$K,ROW()-1+1,3),""),IF(ROW()-1&lt;=$L$2+$M$2,IFERROR(INDEX(CLOZE_AB!$A:$K,ROW()-1-$L$2+1,3),""),IF(ROW()-1&lt;=$L$2+$M$2+$N$2,IFERROR(INDEX(CLOZE_LIST!$A:$K,ROW()-1-$L$2-$M$2+1,3),""),IF(ROW()-1&lt;=$L$2+$M$2+$N$2+$O$2,IFERROR(INDEX(PROFORMA!$A:$K,ROW()-1-$L$2-$M$2-$N$2+1,3),""),"")))))</f>
        <v>requirements</v>
      </c>
      <c r="D337" s="3" t="str">
        <f>IF(ROW()-1&lt;=0,"",IF(ROW()-1&lt;=$L$2,IFERROR(INDEX(MCQ!$A:$K,ROW()-1+1,4),""),IF(ROW()-1&lt;=$L$2+$M$2,IFERROR(INDEX(CLOZE_AB!$A:$K,ROW()-1-$L$2+1,4),""),IF(ROW()-1&lt;=$L$2+$M$2+$N$2,IFERROR(INDEX(CLOZE_LIST!$A:$K,ROW()-1-$L$2-$M$2+1,4),""),IF(ROW()-1&lt;=$L$2+$M$2+$N$2+$O$2,IFERROR(INDEX(PROFORMA!$A:$K,ROW()-1-$L$2-$M$2-$N$2+1,4),""),"")))))</f>
        <v>Deemed domicile (IHT vs CGT/IT)</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3</v>
      </c>
      <c r="G337" s="3" t="str">
        <f>IF(ROW()-1&lt;=0,"",IF(ROW()-1&lt;=$L$2,IFERROR(INDEX(MCQ!$A:$K,ROW()-1+1,7),""),IF(ROW()-1&lt;=$L$2+$M$2,IFERROR(INDEX(CLOZE_AB!$A:$K,ROW()-1-$L$2+1,7),""),IF(ROW()-1&lt;=$L$2+$M$2+$N$2,IFERROR(INDEX(CLOZE_LIST!$A:$K,ROW()-1-$L$2-$M$2+1,7),""),IF(ROW()-1&lt;=$L$2+$M$2+$N$2+$O$2,IFERROR(INDEX(PROFORMA!$A:$K,ROW()-1-$L$2-$M$2-$N$2+1,7),""),"")))))</f>
        <v>core</v>
      </c>
      <c r="H337" s="3" t="str">
        <f>IF(ROW()-1&lt;=0,"",IF(ROW()-1&lt;=$L$2,IFERROR(INDEX(MCQ!$A:$K,ROW()-1+1,8),""),IF(ROW()-1&lt;=$L$2+$M$2,IFERROR(INDEX(CLOZE_AB!$A:$K,ROW()-1-$L$2+1,8),""),IF(ROW()-1&lt;=$L$2+$M$2+$N$2,IFERROR(INDEX(CLOZE_LIST!$A:$K,ROW()-1-$L$2-$M$2+1,8),""),IF(ROW()-1&lt;=$L$2+$M$2+$N$2+$O$2,IFERROR(INDEX(PROFORMA!$A:$K,ROW()-1-$L$2-$M$2-$N$2+1,8),""),"")))))</f>
        <v>Y</v>
      </c>
      <c r="I337" s="3" t="str">
        <f>IF(ROW()-1&lt;=0,"",IF(ROW()-1&lt;=$L$2,IFERROR(INDEX(MCQ!$A:$K,ROW()-1+1,9),""),IF(ROW()-1&lt;=$L$2+$M$2,IFERROR(INDEX(CLOZE_AB!$A:$K,ROW()-1-$L$2+1,9),""),IF(ROW()-1&lt;=$L$2+$M$2+$N$2,IFERROR(INDEX(CLOZE_LIST!$A:$K,ROW()-1-$L$2-$M$2+1,9),""),IF(ROW()-1&lt;=$L$2+$M$2+$N$2+$O$2,IFERROR(INDEX(PROFORMA!$A:$K,ROW()-1-$L$2-$M$2-$N$2+1,9),""),"")))))</f>
        <v>iht|trigger_time</v>
      </c>
      <c r="J337" s="3" t="str">
        <f>IF(ROW()-1&lt;=0,"",IF(ROW()-1&lt;=$L$2,IFERROR(INDEX(MCQ!$A:$K,ROW()-1+1,10),""),IF(ROW()-1&lt;=$L$2+$M$2,IFERROR(INDEX(CLOZE_AB!$A:$K,ROW()-1-$L$2+1,10),""),IF(ROW()-1&lt;=$L$2+$M$2+$N$2,IFERROR(INDEX(CLOZE_LIST!$A:$K,ROW()-1-$L$2-$M$2+1,10),""),IF(ROW()-1&lt;=$L$2+$M$2+$N$2+$O$2,IFERROR(INDEX(PROFORMA!$A:$K,ROW()-1-$L$2-$M$2-$N$2+1,10),""),"")))))</f>
        <v>image_notes</v>
      </c>
      <c r="K337" s="3">
        <f>IF(ROW()-1&lt;=0,"",IF(ROW()-1&lt;=$L$2,IFERROR(INDEX(MCQ!$A:$K,ROW()-1+1,11),""),IF(ROW()-1&lt;=$L$2+$M$2,IFERROR(INDEX(CLOZE_AB!$A:$K,ROW()-1-$L$2+1,11),""),IF(ROW()-1&lt;=$L$2+$M$2+$N$2,IFERROR(INDEX(CLOZE_LIST!$A:$K,ROW()-1-$L$2-$M$2+1,11),""),IF(ROW()-1&lt;=$L$2+$M$2+$N$2+$O$2,IFERROR(INDEX(PROFORMA!$A:$K,ROW()-1-$L$2-$M$2-$N$2+1,11),""),"")))))</f>
        <v>1</v>
      </c>
      <c r="L337" s="3">
        <f>COUNTA(MCQ!$A:$A)-1</f>
        <v>143</v>
      </c>
      <c r="M337" s="3">
        <f>COUNTA(CLOZE_AB!$A:$A)-1</f>
        <v>168</v>
      </c>
      <c r="N337" s="3">
        <f>COUNTA(CLOZE_LIST!$A:$A)-1</f>
        <v>199</v>
      </c>
      <c r="O337" s="3">
        <f>COUNTA(PROFORMA!$A:$A)-1</f>
        <v>199</v>
      </c>
    </row>
    <row r="338" spans="1:15" ht="28.8" x14ac:dyDescent="0.3">
      <c r="A338" s="3" t="str">
        <f>IF(ROW()-1&lt;=0,"",IF(ROW()-1&lt;=$L$2,IFERROR(INDEX(MCQ!$A:$K,ROW()-1+1,1),""),IF(ROW()-1&lt;=$L$2+$M$2,IFERROR(INDEX(CLOZE_AB!$A:$K,ROW()-1-$L$2+1,1),""),IF(ROW()-1&lt;=$L$2+$M$2+$N$2,IFERROR(INDEX(CLOZE_LIST!$A:$K,ROW()-1-$L$2-$M$2+1,1),""),IF(ROW()-1&lt;=$L$2+$M$2+$N$2+$O$2,IFERROR(INDEX(PROFORMA!$A:$K,ROW()-1-$L$2-$M$2-$N$2+1,1),""),"")))))</f>
        <v>LIST_IHT_CALC_DTR_001</v>
      </c>
      <c r="B338" s="3" t="str">
        <f>IF(ROW()-1&lt;=0,"",IF(ROW()-1&lt;=$L$2,IFERROR(INDEX(MCQ!$A:$K,ROW()-1+1,2),""),IF(ROW()-1&lt;=$L$2+$M$2,IFERROR(INDEX(CLOZE_AB!$A:$K,ROW()-1-$L$2+1,2),""),IF(ROW()-1&lt;=$L$2+$M$2+$N$2,IFERROR(INDEX(CLOZE_LIST!$A:$K,ROW()-1-$L$2-$M$2+1,2),""),IF(ROW()-1&lt;=$L$2+$M$2+$N$2+$O$2,IFERROR(INDEX(PROFORMA!$A:$K,ROW()-1-$L$2-$M$2-$N$2+1,2),""),"")))))</f>
        <v>Inheritance tax</v>
      </c>
      <c r="C338" s="3" t="str">
        <f>IF(ROW()-1&lt;=0,"",IF(ROW()-1&lt;=$L$2,IFERROR(INDEX(MCQ!$A:$K,ROW()-1+1,3),""),IF(ROW()-1&lt;=$L$2+$M$2,IFERROR(INDEX(CLOZE_AB!$A:$K,ROW()-1-$L$2+1,3),""),IF(ROW()-1&lt;=$L$2+$M$2+$N$2,IFERROR(INDEX(CLOZE_LIST!$A:$K,ROW()-1-$L$2-$M$2+1,3),""),IF(ROW()-1&lt;=$L$2+$M$2+$N$2+$O$2,IFERROR(INDEX(PROFORMA!$A:$K,ROW()-1-$L$2-$M$2-$N$2+1,3),""),"")))))</f>
        <v>calculations</v>
      </c>
      <c r="D338" s="3" t="str">
        <f>IF(ROW()-1&lt;=0,"",IF(ROW()-1&lt;=$L$2,IFERROR(INDEX(MCQ!$A:$K,ROW()-1+1,4),""),IF(ROW()-1&lt;=$L$2+$M$2,IFERROR(INDEX(CLOZE_AB!$A:$K,ROW()-1-$L$2+1,4),""),IF(ROW()-1&lt;=$L$2+$M$2+$N$2,IFERROR(INDEX(CLOZE_LIST!$A:$K,ROW()-1-$L$2-$M$2+1,4),""),IF(ROW()-1&lt;=$L$2+$M$2+$N$2+$O$2,IFERROR(INDEX(PROFORMA!$A:$K,ROW()-1-$L$2-$M$2-$N$2+1,4),""),"")))))</f>
        <v>Double taxation relief</v>
      </c>
      <c r="E338" s="3" t="str">
        <f>IF(ROW()-1&lt;=0,"",IF(ROW()-1&lt;=$L$2,IFERROR(INDEX(MCQ!$A:$K,ROW()-1+1,5),""),IF(ROW()-1&lt;=$L$2+$M$2,IFERROR(INDEX(CLOZE_AB!$A:$K,ROW()-1-$L$2+1,5),""),IF(ROW()-1&lt;=$L$2+$M$2+$N$2,IFERROR(INDEX(CLOZE_LIST!$A:$K,ROW()-1-$L$2-$M$2+1,5),""),IF(ROW()-1&lt;=$L$2+$M$2+$N$2+$O$2,IFERROR(INDEX(PROFORMA!$A:$K,ROW()-1-$L$2-$M$2-$N$2+1,5),""),"")))))</f>
        <v>cloze_list</v>
      </c>
      <c r="F338" s="3">
        <f>IF(ROW()-1&lt;=0,"",IF(ROW()-1&lt;=$L$2,IFERROR(INDEX(MCQ!$A:$K,ROW()-1+1,6),""),IF(ROW()-1&lt;=$L$2+$M$2,IFERROR(INDEX(CLOZE_AB!$A:$K,ROW()-1-$L$2+1,6),""),IF(ROW()-1&lt;=$L$2+$M$2+$N$2,IFERROR(INDEX(CLOZE_LIST!$A:$K,ROW()-1-$L$2-$M$2+1,6),""),IF(ROW()-1&lt;=$L$2+$M$2+$N$2+$O$2,IFERROR(INDEX(PROFORMA!$A:$K,ROW()-1-$L$2-$M$2-$N$2+1,6),""),"")))))</f>
        <v>3</v>
      </c>
      <c r="G338" s="3" t="str">
        <f>IF(ROW()-1&lt;=0,"",IF(ROW()-1&lt;=$L$2,IFERROR(INDEX(MCQ!$A:$K,ROW()-1+1,7),""),IF(ROW()-1&lt;=$L$2+$M$2,IFERROR(INDEX(CLOZE_AB!$A:$K,ROW()-1-$L$2+1,7),""),IF(ROW()-1&lt;=$L$2+$M$2+$N$2,IFERROR(INDEX(CLOZE_LIST!$A:$K,ROW()-1-$L$2-$M$2+1,7),""),IF(ROW()-1&lt;=$L$2+$M$2+$N$2+$O$2,IFERROR(INDEX(PROFORMA!$A:$K,ROW()-1-$L$2-$M$2-$N$2+1,7),""),"")))))</f>
        <v>core</v>
      </c>
      <c r="H338" s="3" t="str">
        <f>IF(ROW()-1&lt;=0,"",IF(ROW()-1&lt;=$L$2,IFERROR(INDEX(MCQ!$A:$K,ROW()-1+1,8),""),IF(ROW()-1&lt;=$L$2+$M$2,IFERROR(INDEX(CLOZE_AB!$A:$K,ROW()-1-$L$2+1,8),""),IF(ROW()-1&lt;=$L$2+$M$2+$N$2,IFERROR(INDEX(CLOZE_LIST!$A:$K,ROW()-1-$L$2-$M$2+1,8),""),IF(ROW()-1&lt;=$L$2+$M$2+$N$2+$O$2,IFERROR(INDEX(PROFORMA!$A:$K,ROW()-1-$L$2-$M$2-$N$2+1,8),""),"")))))</f>
        <v>Y</v>
      </c>
      <c r="I338" s="3" t="str">
        <f>IF(ROW()-1&lt;=0,"",IF(ROW()-1&lt;=$L$2,IFERROR(INDEX(MCQ!$A:$K,ROW()-1+1,9),""),IF(ROW()-1&lt;=$L$2+$M$2,IFERROR(INDEX(CLOZE_AB!$A:$K,ROW()-1-$L$2+1,9),""),IF(ROW()-1&lt;=$L$2+$M$2+$N$2,IFERROR(INDEX(CLOZE_LIST!$A:$K,ROW()-1-$L$2-$M$2+1,9),""),IF(ROW()-1&lt;=$L$2+$M$2+$N$2+$O$2,IFERROR(INDEX(PROFORMA!$A:$K,ROW()-1-$L$2-$M$2-$N$2+1,9),""),"")))))</f>
        <v>iht:dtr</v>
      </c>
      <c r="J338" s="3" t="str">
        <f>IF(ROW()-1&lt;=0,"",IF(ROW()-1&lt;=$L$2,IFERROR(INDEX(MCQ!$A:$K,ROW()-1+1,10),""),IF(ROW()-1&lt;=$L$2+$M$2,IFERROR(INDEX(CLOZE_AB!$A:$K,ROW()-1-$L$2+1,10),""),IF(ROW()-1&lt;=$L$2+$M$2+$N$2,IFERROR(INDEX(CLOZE_LIST!$A:$K,ROW()-1-$L$2-$M$2+1,10),""),IF(ROW()-1&lt;=$L$2+$M$2+$N$2+$O$2,IFERROR(INDEX(PROFORMA!$A:$K,ROW()-1-$L$2-$M$2-$N$2+1,10),""),"")))))</f>
        <v>notes</v>
      </c>
      <c r="K338" s="3">
        <f>IF(ROW()-1&lt;=0,"",IF(ROW()-1&lt;=$L$2,IFERROR(INDEX(MCQ!$A:$K,ROW()-1+1,11),""),IF(ROW()-1&lt;=$L$2+$M$2,IFERROR(INDEX(CLOZE_AB!$A:$K,ROW()-1-$L$2+1,11),""),IF(ROW()-1&lt;=$L$2+$M$2+$N$2,IFERROR(INDEX(CLOZE_LIST!$A:$K,ROW()-1-$L$2-$M$2+1,11),""),IF(ROW()-1&lt;=$L$2+$M$2+$N$2+$O$2,IFERROR(INDEX(PROFORMA!$A:$K,ROW()-1-$L$2-$M$2-$N$2+1,11),""),"")))))</f>
        <v>1</v>
      </c>
      <c r="L338" s="3">
        <f>COUNTA(MCQ!$A:$A)-1</f>
        <v>143</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LIST_IHT_CALC_GIFTRESBEN_001</v>
      </c>
      <c r="B339" s="3" t="str">
        <f>IF(ROW()-1&lt;=0,"",IF(ROW()-1&lt;=$L$2,IFERROR(INDEX(MCQ!$A:$K,ROW()-1+1,2),""),IF(ROW()-1&lt;=$L$2+$M$2,IFERROR(INDEX(CLOZE_AB!$A:$K,ROW()-1-$L$2+1,2),""),IF(ROW()-1&lt;=$L$2+$M$2+$N$2,IFERROR(INDEX(CLOZE_LIST!$A:$K,ROW()-1-$L$2-$M$2+1,2),""),IF(ROW()-1&lt;=$L$2+$M$2+$N$2+$O$2,IFERROR(INDEX(PROFORMA!$A:$K,ROW()-1-$L$2-$M$2-$N$2+1,2),""),"")))))</f>
        <v>Inheritance tax</v>
      </c>
      <c r="C339" s="3" t="str">
        <f>IF(ROW()-1&lt;=0,"",IF(ROW()-1&lt;=$L$2,IFERROR(INDEX(MCQ!$A:$K,ROW()-1+1,3),""),IF(ROW()-1&lt;=$L$2+$M$2,IFERROR(INDEX(CLOZE_AB!$A:$K,ROW()-1-$L$2+1,3),""),IF(ROW()-1&lt;=$L$2+$M$2+$N$2,IFERROR(INDEX(CLOZE_LIST!$A:$K,ROW()-1-$L$2-$M$2+1,3),""),IF(ROW()-1&lt;=$L$2+$M$2+$N$2+$O$2,IFERROR(INDEX(PROFORMA!$A:$K,ROW()-1-$L$2-$M$2-$N$2+1,3),""),"")))))</f>
        <v>calculations</v>
      </c>
      <c r="D339" s="3" t="str">
        <f>IF(ROW()-1&lt;=0,"",IF(ROW()-1&lt;=$L$2,IFERROR(INDEX(MCQ!$A:$K,ROW()-1+1,4),""),IF(ROW()-1&lt;=$L$2+$M$2,IFERROR(INDEX(CLOZE_AB!$A:$K,ROW()-1-$L$2+1,4),""),IF(ROW()-1&lt;=$L$2+$M$2+$N$2,IFERROR(INDEX(CLOZE_LIST!$A:$K,ROW()-1-$L$2-$M$2+1,4),""),IF(ROW()-1&lt;=$L$2+$M$2+$N$2+$O$2,IFERROR(INDEX(PROFORMA!$A:$K,ROW()-1-$L$2-$M$2-$N$2+1,4),""),"")))))</f>
        <v>Valuations</v>
      </c>
      <c r="E339" s="3" t="str">
        <f>IF(ROW()-1&lt;=0,"",IF(ROW()-1&lt;=$L$2,IFERROR(INDEX(MCQ!$A:$K,ROW()-1+1,5),""),IF(ROW()-1&lt;=$L$2+$M$2,IFERROR(INDEX(CLOZE_AB!$A:$K,ROW()-1-$L$2+1,5),""),IF(ROW()-1&lt;=$L$2+$M$2+$N$2,IFERROR(INDEX(CLOZE_LIST!$A:$K,ROW()-1-$L$2-$M$2+1,5),""),IF(ROW()-1&lt;=$L$2+$M$2+$N$2+$O$2,IFERROR(INDEX(PROFORMA!$A:$K,ROW()-1-$L$2-$M$2-$N$2+1,5),""),"")))))</f>
        <v>cloze_list</v>
      </c>
      <c r="F339" s="3">
        <f>IF(ROW()-1&lt;=0,"",IF(ROW()-1&lt;=$L$2,IFERROR(INDEX(MCQ!$A:$K,ROW()-1+1,6),""),IF(ROW()-1&lt;=$L$2+$M$2,IFERROR(INDEX(CLOZE_AB!$A:$K,ROW()-1-$L$2+1,6),""),IF(ROW()-1&lt;=$L$2+$M$2+$N$2,IFERROR(INDEX(CLOZE_LIST!$A:$K,ROW()-1-$L$2-$M$2+1,6),""),IF(ROW()-1&lt;=$L$2+$M$2+$N$2+$O$2,IFERROR(INDEX(PROFORMA!$A:$K,ROW()-1-$L$2-$M$2-$N$2+1,6),""),"")))))</f>
        <v>3</v>
      </c>
      <c r="G339" s="3" t="str">
        <f>IF(ROW()-1&lt;=0,"",IF(ROW()-1&lt;=$L$2,IFERROR(INDEX(MCQ!$A:$K,ROW()-1+1,7),""),IF(ROW()-1&lt;=$L$2+$M$2,IFERROR(INDEX(CLOZE_AB!$A:$K,ROW()-1-$L$2+1,7),""),IF(ROW()-1&lt;=$L$2+$M$2+$N$2,IFERROR(INDEX(CLOZE_LIST!$A:$K,ROW()-1-$L$2-$M$2+1,7),""),IF(ROW()-1&lt;=$L$2+$M$2+$N$2+$O$2,IFERROR(INDEX(PROFORMA!$A:$K,ROW()-1-$L$2-$M$2-$N$2+1,7),""),"")))))</f>
        <v>core</v>
      </c>
      <c r="H339" s="3" t="str">
        <f>IF(ROW()-1&lt;=0,"",IF(ROW()-1&lt;=$L$2,IFERROR(INDEX(MCQ!$A:$K,ROW()-1+1,8),""),IF(ROW()-1&lt;=$L$2+$M$2,IFERROR(INDEX(CLOZE_AB!$A:$K,ROW()-1-$L$2+1,8),""),IF(ROW()-1&lt;=$L$2+$M$2+$N$2,IFERROR(INDEX(CLOZE_LIST!$A:$K,ROW()-1-$L$2-$M$2+1,8),""),IF(ROW()-1&lt;=$L$2+$M$2+$N$2+$O$2,IFERROR(INDEX(PROFORMA!$A:$K,ROW()-1-$L$2-$M$2-$N$2+1,8),""),"")))))</f>
        <v>Y</v>
      </c>
      <c r="I339" s="3" t="str">
        <f>IF(ROW()-1&lt;=0,"",IF(ROW()-1&lt;=$L$2,IFERROR(INDEX(MCQ!$A:$K,ROW()-1+1,9),""),IF(ROW()-1&lt;=$L$2+$M$2,IFERROR(INDEX(CLOZE_AB!$A:$K,ROW()-1-$L$2+1,9),""),IF(ROW()-1&lt;=$L$2+$M$2+$N$2,IFERROR(INDEX(CLOZE_LIST!$A:$K,ROW()-1-$L$2-$M$2+1,9),""),IF(ROW()-1&lt;=$L$2+$M$2+$N$2+$O$2,IFERROR(INDEX(PROFORMA!$A:$K,ROW()-1-$L$2-$M$2-$N$2+1,9),""),"")))))</f>
        <v>iht:gifts_reservation_benefit</v>
      </c>
      <c r="J339" s="3" t="str">
        <f>IF(ROW()-1&lt;=0,"",IF(ROW()-1&lt;=$L$2,IFERROR(INDEX(MCQ!$A:$K,ROW()-1+1,10),""),IF(ROW()-1&lt;=$L$2+$M$2,IFERROR(INDEX(CLOZE_AB!$A:$K,ROW()-1-$L$2+1,10),""),IF(ROW()-1&lt;=$L$2+$M$2+$N$2,IFERROR(INDEX(CLOZE_LIST!$A:$K,ROW()-1-$L$2-$M$2+1,10),""),IF(ROW()-1&lt;=$L$2+$M$2+$N$2+$O$2,IFERROR(INDEX(PROFORMA!$A:$K,ROW()-1-$L$2-$M$2-$N$2+1,10),""),"")))))</f>
        <v>notes</v>
      </c>
      <c r="K339" s="3">
        <f>IF(ROW()-1&lt;=0,"",IF(ROW()-1&lt;=$L$2,IFERROR(INDEX(MCQ!$A:$K,ROW()-1+1,11),""),IF(ROW()-1&lt;=$L$2+$M$2,IFERROR(INDEX(CLOZE_AB!$A:$K,ROW()-1-$L$2+1,11),""),IF(ROW()-1&lt;=$L$2+$M$2+$N$2,IFERROR(INDEX(CLOZE_LIST!$A:$K,ROW()-1-$L$2-$M$2+1,11),""),IF(ROW()-1&lt;=$L$2+$M$2+$N$2+$O$2,IFERROR(INDEX(PROFORMA!$A:$K,ROW()-1-$L$2-$M$2-$N$2+1,11),""),"")))))</f>
        <v>1</v>
      </c>
      <c r="L339" s="3">
        <f>COUNTA(MCQ!$A:$A)-1</f>
        <v>143</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LIST_ITNIC_CALC_LEASES_001</v>
      </c>
      <c r="B340" s="3" t="str">
        <f>IF(ROW()-1&lt;=0,"",IF(ROW()-1&lt;=$L$2,IFERROR(INDEX(MCQ!$A:$K,ROW()-1+1,2),""),IF(ROW()-1&lt;=$L$2+$M$2,IFERROR(INDEX(CLOZE_AB!$A:$K,ROW()-1-$L$2+1,2),""),IF(ROW()-1&lt;=$L$2+$M$2+$N$2,IFERROR(INDEX(CLOZE_LIST!$A:$K,ROW()-1-$L$2-$M$2+1,2),""),IF(ROW()-1&lt;=$L$2+$M$2+$N$2+$O$2,IFERROR(INDEX(PROFORMA!$A:$K,ROW()-1-$L$2-$M$2-$N$2+1,2),""),"")))))</f>
        <v>Income tax &amp; NIC</v>
      </c>
      <c r="C340" s="3" t="str">
        <f>IF(ROW()-1&lt;=0,"",IF(ROW()-1&lt;=$L$2,IFERROR(INDEX(MCQ!$A:$K,ROW()-1+1,3),""),IF(ROW()-1&lt;=$L$2+$M$2,IFERROR(INDEX(CLOZE_AB!$A:$K,ROW()-1-$L$2+1,3),""),IF(ROW()-1&lt;=$L$2+$M$2+$N$2,IFERROR(INDEX(CLOZE_LIST!$A:$K,ROW()-1-$L$2-$M$2+1,3),""),IF(ROW()-1&lt;=$L$2+$M$2+$N$2+$O$2,IFERROR(INDEX(PROFORMA!$A:$K,ROW()-1-$L$2-$M$2-$N$2+1,3),""),"")))))</f>
        <v>calculations</v>
      </c>
      <c r="D340" s="3" t="str">
        <f>IF(ROW()-1&lt;=0,"",IF(ROW()-1&lt;=$L$2,IFERROR(INDEX(MCQ!$A:$K,ROW()-1+1,4),""),IF(ROW()-1&lt;=$L$2+$M$2,IFERROR(INDEX(CLOZE_AB!$A:$K,ROW()-1-$L$2+1,4),""),IF(ROW()-1&lt;=$L$2+$M$2+$N$2,IFERROR(INDEX(CLOZE_LIST!$A:$K,ROW()-1-$L$2-$M$2+1,4),""),IF(ROW()-1&lt;=$L$2+$M$2+$N$2+$O$2,IFERROR(INDEX(PROFORMA!$A:$K,ROW()-1-$L$2-$M$2-$N$2+1,4),""),"")))))</f>
        <v>Lease premiums</v>
      </c>
      <c r="E340" s="3" t="str">
        <f>IF(ROW()-1&lt;=0,"",IF(ROW()-1&lt;=$L$2,IFERROR(INDEX(MCQ!$A:$K,ROW()-1+1,5),""),IF(ROW()-1&lt;=$L$2+$M$2,IFERROR(INDEX(CLOZE_AB!$A:$K,ROW()-1-$L$2+1,5),""),IF(ROW()-1&lt;=$L$2+$M$2+$N$2,IFERROR(INDEX(CLOZE_LIST!$A:$K,ROW()-1-$L$2-$M$2+1,5),""),IF(ROW()-1&lt;=$L$2+$M$2+$N$2+$O$2,IFERROR(INDEX(PROFORMA!$A:$K,ROW()-1-$L$2-$M$2-$N$2+1,5),""),"")))))</f>
        <v>cloze_list</v>
      </c>
      <c r="F340" s="3">
        <f>IF(ROW()-1&lt;=0,"",IF(ROW()-1&lt;=$L$2,IFERROR(INDEX(MCQ!$A:$K,ROW()-1+1,6),""),IF(ROW()-1&lt;=$L$2+$M$2,IFERROR(INDEX(CLOZE_AB!$A:$K,ROW()-1-$L$2+1,6),""),IF(ROW()-1&lt;=$L$2+$M$2+$N$2,IFERROR(INDEX(CLOZE_LIST!$A:$K,ROW()-1-$L$2-$M$2+1,6),""),IF(ROW()-1&lt;=$L$2+$M$2+$N$2+$O$2,IFERROR(INDEX(PROFORMA!$A:$K,ROW()-1-$L$2-$M$2-$N$2+1,6),""),"")))))</f>
        <v>3</v>
      </c>
      <c r="G340" s="3" t="str">
        <f>IF(ROW()-1&lt;=0,"",IF(ROW()-1&lt;=$L$2,IFERROR(INDEX(MCQ!$A:$K,ROW()-1+1,7),""),IF(ROW()-1&lt;=$L$2+$M$2,IFERROR(INDEX(CLOZE_AB!$A:$K,ROW()-1-$L$2+1,7),""),IF(ROW()-1&lt;=$L$2+$M$2+$N$2,IFERROR(INDEX(CLOZE_LIST!$A:$K,ROW()-1-$L$2-$M$2+1,7),""),IF(ROW()-1&lt;=$L$2+$M$2+$N$2+$O$2,IFERROR(INDEX(PROFORMA!$A:$K,ROW()-1-$L$2-$M$2-$N$2+1,7),""),"")))))</f>
        <v>core</v>
      </c>
      <c r="H340" s="3" t="str">
        <f>IF(ROW()-1&lt;=0,"",IF(ROW()-1&lt;=$L$2,IFERROR(INDEX(MCQ!$A:$K,ROW()-1+1,8),""),IF(ROW()-1&lt;=$L$2+$M$2,IFERROR(INDEX(CLOZE_AB!$A:$K,ROW()-1-$L$2+1,8),""),IF(ROW()-1&lt;=$L$2+$M$2+$N$2,IFERROR(INDEX(CLOZE_LIST!$A:$K,ROW()-1-$L$2-$M$2+1,8),""),IF(ROW()-1&lt;=$L$2+$M$2+$N$2+$O$2,IFERROR(INDEX(PROFORMA!$A:$K,ROW()-1-$L$2-$M$2-$N$2+1,8),""),"")))))</f>
        <v>Y</v>
      </c>
      <c r="I340" s="3" t="str">
        <f>IF(ROW()-1&lt;=0,"",IF(ROW()-1&lt;=$L$2,IFERROR(INDEX(MCQ!$A:$K,ROW()-1+1,9),""),IF(ROW()-1&lt;=$L$2+$M$2,IFERROR(INDEX(CLOZE_AB!$A:$K,ROW()-1-$L$2+1,9),""),IF(ROW()-1&lt;=$L$2+$M$2+$N$2,IFERROR(INDEX(CLOZE_LIST!$A:$K,ROW()-1-$L$2-$M$2+1,9),""),IF(ROW()-1&lt;=$L$2+$M$2+$N$2+$O$2,IFERROR(INDEX(PROFORMA!$A:$K,ROW()-1-$L$2-$M$2-$N$2+1,9),""),"")))))</f>
        <v>lease_premium</v>
      </c>
      <c r="J340" s="3" t="str">
        <f>IF(ROW()-1&lt;=0,"",IF(ROW()-1&lt;=$L$2,IFERROR(INDEX(MCQ!$A:$K,ROW()-1+1,10),""),IF(ROW()-1&lt;=$L$2+$M$2,IFERROR(INDEX(CLOZE_AB!$A:$K,ROW()-1-$L$2+1,10),""),IF(ROW()-1&lt;=$L$2+$M$2+$N$2,IFERROR(INDEX(CLOZE_LIST!$A:$K,ROW()-1-$L$2-$M$2+1,10),""),IF(ROW()-1&lt;=$L$2+$M$2+$N$2+$O$2,IFERROR(INDEX(PROFORMA!$A:$K,ROW()-1-$L$2-$M$2-$N$2+1,10),""),"")))))</f>
        <v>notes</v>
      </c>
      <c r="K340" s="3">
        <f>IF(ROW()-1&lt;=0,"",IF(ROW()-1&lt;=$L$2,IFERROR(INDEX(MCQ!$A:$K,ROW()-1+1,11),""),IF(ROW()-1&lt;=$L$2+$M$2,IFERROR(INDEX(CLOZE_AB!$A:$K,ROW()-1-$L$2+1,11),""),IF(ROW()-1&lt;=$L$2+$M$2+$N$2,IFERROR(INDEX(CLOZE_LIST!$A:$K,ROW()-1-$L$2-$M$2+1,11),""),IF(ROW()-1&lt;=$L$2+$M$2+$N$2+$O$2,IFERROR(INDEX(PROFORMA!$A:$K,ROW()-1-$L$2-$M$2-$N$2+1,11),""),"")))))</f>
        <v>1</v>
      </c>
      <c r="L340" s="3">
        <f>COUNTA(MCQ!$A:$A)-1</f>
        <v>143</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LIST_ITNIC_CALC_LEASES_002</v>
      </c>
      <c r="B341" s="3" t="str">
        <f>IF(ROW()-1&lt;=0,"",IF(ROW()-1&lt;=$L$2,IFERROR(INDEX(MCQ!$A:$K,ROW()-1+1,2),""),IF(ROW()-1&lt;=$L$2+$M$2,IFERROR(INDEX(CLOZE_AB!$A:$K,ROW()-1-$L$2+1,2),""),IF(ROW()-1&lt;=$L$2+$M$2+$N$2,IFERROR(INDEX(CLOZE_LIST!$A:$K,ROW()-1-$L$2-$M$2+1,2),""),IF(ROW()-1&lt;=$L$2+$M$2+$N$2+$O$2,IFERROR(INDEX(PROFORMA!$A:$K,ROW()-1-$L$2-$M$2-$N$2+1,2),""),"")))))</f>
        <v>Income tax &amp; NIC</v>
      </c>
      <c r="C341" s="3" t="str">
        <f>IF(ROW()-1&lt;=0,"",IF(ROW()-1&lt;=$L$2,IFERROR(INDEX(MCQ!$A:$K,ROW()-1+1,3),""),IF(ROW()-1&lt;=$L$2+$M$2,IFERROR(INDEX(CLOZE_AB!$A:$K,ROW()-1-$L$2+1,3),""),IF(ROW()-1&lt;=$L$2+$M$2+$N$2,IFERROR(INDEX(CLOZE_LIST!$A:$K,ROW()-1-$L$2-$M$2+1,3),""),IF(ROW()-1&lt;=$L$2+$M$2+$N$2+$O$2,IFERROR(INDEX(PROFORMA!$A:$K,ROW()-1-$L$2-$M$2-$N$2+1,3),""),"")))))</f>
        <v>calculations</v>
      </c>
      <c r="D341" s="3" t="str">
        <f>IF(ROW()-1&lt;=0,"",IF(ROW()-1&lt;=$L$2,IFERROR(INDEX(MCQ!$A:$K,ROW()-1+1,4),""),IF(ROW()-1&lt;=$L$2+$M$2,IFERROR(INDEX(CLOZE_AB!$A:$K,ROW()-1-$L$2+1,4),""),IF(ROW()-1&lt;=$L$2+$M$2+$N$2,IFERROR(INDEX(CLOZE_LIST!$A:$K,ROW()-1-$L$2-$M$2+1,4),""),IF(ROW()-1&lt;=$L$2+$M$2+$N$2+$O$2,IFERROR(INDEX(PROFORMA!$A:$K,ROW()-1-$L$2-$M$2-$N$2+1,4),""),"")))))</f>
        <v>Lease premiums</v>
      </c>
      <c r="E341" s="3" t="str">
        <f>IF(ROW()-1&lt;=0,"",IF(ROW()-1&lt;=$L$2,IFERROR(INDEX(MCQ!$A:$K,ROW()-1+1,5),""),IF(ROW()-1&lt;=$L$2+$M$2,IFERROR(INDEX(CLOZE_AB!$A:$K,ROW()-1-$L$2+1,5),""),IF(ROW()-1&lt;=$L$2+$M$2+$N$2,IFERROR(INDEX(CLOZE_LIST!$A:$K,ROW()-1-$L$2-$M$2+1,5),""),IF(ROW()-1&lt;=$L$2+$M$2+$N$2+$O$2,IFERROR(INDEX(PROFORMA!$A:$K,ROW()-1-$L$2-$M$2-$N$2+1,5),""),"")))))</f>
        <v>cloze_list</v>
      </c>
      <c r="F341" s="3">
        <f>IF(ROW()-1&lt;=0,"",IF(ROW()-1&lt;=$L$2,IFERROR(INDEX(MCQ!$A:$K,ROW()-1+1,6),""),IF(ROW()-1&lt;=$L$2+$M$2,IFERROR(INDEX(CLOZE_AB!$A:$K,ROW()-1-$L$2+1,6),""),IF(ROW()-1&lt;=$L$2+$M$2+$N$2,IFERROR(INDEX(CLOZE_LIST!$A:$K,ROW()-1-$L$2-$M$2+1,6),""),IF(ROW()-1&lt;=$L$2+$M$2+$N$2+$O$2,IFERROR(INDEX(PROFORMA!$A:$K,ROW()-1-$L$2-$M$2-$N$2+1,6),""),"")))))</f>
        <v>3</v>
      </c>
      <c r="G341" s="3" t="str">
        <f>IF(ROW()-1&lt;=0,"",IF(ROW()-1&lt;=$L$2,IFERROR(INDEX(MCQ!$A:$K,ROW()-1+1,7),""),IF(ROW()-1&lt;=$L$2+$M$2,IFERROR(INDEX(CLOZE_AB!$A:$K,ROW()-1-$L$2+1,7),""),IF(ROW()-1&lt;=$L$2+$M$2+$N$2,IFERROR(INDEX(CLOZE_LIST!$A:$K,ROW()-1-$L$2-$M$2+1,7),""),IF(ROW()-1&lt;=$L$2+$M$2+$N$2+$O$2,IFERROR(INDEX(PROFORMA!$A:$K,ROW()-1-$L$2-$M$2-$N$2+1,7),""),"")))))</f>
        <v>core</v>
      </c>
      <c r="H341" s="3" t="str">
        <f>IF(ROW()-1&lt;=0,"",IF(ROW()-1&lt;=$L$2,IFERROR(INDEX(MCQ!$A:$K,ROW()-1+1,8),""),IF(ROW()-1&lt;=$L$2+$M$2,IFERROR(INDEX(CLOZE_AB!$A:$K,ROW()-1-$L$2+1,8),""),IF(ROW()-1&lt;=$L$2+$M$2+$N$2,IFERROR(INDEX(CLOZE_LIST!$A:$K,ROW()-1-$L$2-$M$2+1,8),""),IF(ROW()-1&lt;=$L$2+$M$2+$N$2+$O$2,IFERROR(INDEX(PROFORMA!$A:$K,ROW()-1-$L$2-$M$2-$N$2+1,8),""),"")))))</f>
        <v>Y</v>
      </c>
      <c r="I341" s="3" t="str">
        <f>IF(ROW()-1&lt;=0,"",IF(ROW()-1&lt;=$L$2,IFERROR(INDEX(MCQ!$A:$K,ROW()-1+1,9),""),IF(ROW()-1&lt;=$L$2+$M$2,IFERROR(INDEX(CLOZE_AB!$A:$K,ROW()-1-$L$2+1,9),""),IF(ROW()-1&lt;=$L$2+$M$2+$N$2,IFERROR(INDEX(CLOZE_LIST!$A:$K,ROW()-1-$L$2-$M$2+1,9),""),IF(ROW()-1&lt;=$L$2+$M$2+$N$2+$O$2,IFERROR(INDEX(PROFORMA!$A:$K,ROW()-1-$L$2-$M$2-$N$2+1,9),""),"")))))</f>
        <v>lease_premium</v>
      </c>
      <c r="J341" s="3" t="str">
        <f>IF(ROW()-1&lt;=0,"",IF(ROW()-1&lt;=$L$2,IFERROR(INDEX(MCQ!$A:$K,ROW()-1+1,10),""),IF(ROW()-1&lt;=$L$2+$M$2,IFERROR(INDEX(CLOZE_AB!$A:$K,ROW()-1-$L$2+1,10),""),IF(ROW()-1&lt;=$L$2+$M$2+$N$2,IFERROR(INDEX(CLOZE_LIST!$A:$K,ROW()-1-$L$2-$M$2+1,10),""),IF(ROW()-1&lt;=$L$2+$M$2+$N$2+$O$2,IFERROR(INDEX(PROFORMA!$A:$K,ROW()-1-$L$2-$M$2-$N$2+1,10),""),"")))))</f>
        <v>notes</v>
      </c>
      <c r="K341" s="3">
        <f>IF(ROW()-1&lt;=0,"",IF(ROW()-1&lt;=$L$2,IFERROR(INDEX(MCQ!$A:$K,ROW()-1+1,11),""),IF(ROW()-1&lt;=$L$2+$M$2,IFERROR(INDEX(CLOZE_AB!$A:$K,ROW()-1-$L$2+1,11),""),IF(ROW()-1&lt;=$L$2+$M$2+$N$2,IFERROR(INDEX(CLOZE_LIST!$A:$K,ROW()-1-$L$2-$M$2+1,11),""),IF(ROW()-1&lt;=$L$2+$M$2+$N$2+$O$2,IFERROR(INDEX(PROFORMA!$A:$K,ROW()-1-$L$2-$M$2-$N$2+1,11),""),"")))))</f>
        <v>1</v>
      </c>
      <c r="L341" s="3">
        <f>COUNTA(MCQ!$A:$A)-1</f>
        <v>143</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LIST_ITNIC_DEF_BADGES_001</v>
      </c>
      <c r="B342" s="3" t="str">
        <f>IF(ROW()-1&lt;=0,"",IF(ROW()-1&lt;=$L$2,IFERROR(INDEX(MCQ!$A:$K,ROW()-1+1,2),""),IF(ROW()-1&lt;=$L$2+$M$2,IFERROR(INDEX(CLOZE_AB!$A:$K,ROW()-1-$L$2+1,2),""),IF(ROW()-1&lt;=$L$2+$M$2+$N$2,IFERROR(INDEX(CLOZE_LIST!$A:$K,ROW()-1-$L$2-$M$2+1,2),""),IF(ROW()-1&lt;=$L$2+$M$2+$N$2+$O$2,IFERROR(INDEX(PROFORMA!$A:$K,ROW()-1-$L$2-$M$2-$N$2+1,2),""),"")))))</f>
        <v>Income tax &amp; NIC</v>
      </c>
      <c r="C342" s="3" t="str">
        <f>IF(ROW()-1&lt;=0,"",IF(ROW()-1&lt;=$L$2,IFERROR(INDEX(MCQ!$A:$K,ROW()-1+1,3),""),IF(ROW()-1&lt;=$L$2+$M$2,IFERROR(INDEX(CLOZE_AB!$A:$K,ROW()-1-$L$2+1,3),""),IF(ROW()-1&lt;=$L$2+$M$2+$N$2,IFERROR(INDEX(CLOZE_LIST!$A:$K,ROW()-1-$L$2-$M$2+1,3),""),IF(ROW()-1&lt;=$L$2+$M$2+$N$2+$O$2,IFERROR(INDEX(PROFORMA!$A:$K,ROW()-1-$L$2-$M$2-$N$2+1,3),""),"")))))</f>
        <v>definitions</v>
      </c>
      <c r="D342" s="3" t="str">
        <f>IF(ROW()-1&lt;=0,"",IF(ROW()-1&lt;=$L$2,IFERROR(INDEX(MCQ!$A:$K,ROW()-1+1,4),""),IF(ROW()-1&lt;=$L$2+$M$2,IFERROR(INDEX(CLOZE_AB!$A:$K,ROW()-1-$L$2+1,4),""),IF(ROW()-1&lt;=$L$2+$M$2+$N$2,IFERROR(INDEX(CLOZE_LIST!$A:$K,ROW()-1-$L$2-$M$2+1,4),""),IF(ROW()-1&lt;=$L$2+$M$2+$N$2+$O$2,IFERROR(INDEX(PROFORMA!$A:$K,ROW()-1-$L$2-$M$2-$N$2+1,4),""),"")))))</f>
        <v>Badges of trade</v>
      </c>
      <c r="E342" s="3" t="str">
        <f>IF(ROW()-1&lt;=0,"",IF(ROW()-1&lt;=$L$2,IFERROR(INDEX(MCQ!$A:$K,ROW()-1+1,5),""),IF(ROW()-1&lt;=$L$2+$M$2,IFERROR(INDEX(CLOZE_AB!$A:$K,ROW()-1-$L$2+1,5),""),IF(ROW()-1&lt;=$L$2+$M$2+$N$2,IFERROR(INDEX(CLOZE_LIST!$A:$K,ROW()-1-$L$2-$M$2+1,5),""),IF(ROW()-1&lt;=$L$2+$M$2+$N$2+$O$2,IFERROR(INDEX(PROFORMA!$A:$K,ROW()-1-$L$2-$M$2-$N$2+1,5),""),"")))))</f>
        <v>cloze_list</v>
      </c>
      <c r="F342" s="3">
        <f>IF(ROW()-1&lt;=0,"",IF(ROW()-1&lt;=$L$2,IFERROR(INDEX(MCQ!$A:$K,ROW()-1+1,6),""),IF(ROW()-1&lt;=$L$2+$M$2,IFERROR(INDEX(CLOZE_AB!$A:$K,ROW()-1-$L$2+1,6),""),IF(ROW()-1&lt;=$L$2+$M$2+$N$2,IFERROR(INDEX(CLOZE_LIST!$A:$K,ROW()-1-$L$2-$M$2+1,6),""),IF(ROW()-1&lt;=$L$2+$M$2+$N$2+$O$2,IFERROR(INDEX(PROFORMA!$A:$K,ROW()-1-$L$2-$M$2-$N$2+1,6),""),"")))))</f>
        <v>3</v>
      </c>
      <c r="G342" s="3" t="str">
        <f>IF(ROW()-1&lt;=0,"",IF(ROW()-1&lt;=$L$2,IFERROR(INDEX(MCQ!$A:$K,ROW()-1+1,7),""),IF(ROW()-1&lt;=$L$2+$M$2,IFERROR(INDEX(CLOZE_AB!$A:$K,ROW()-1-$L$2+1,7),""),IF(ROW()-1&lt;=$L$2+$M$2+$N$2,IFERROR(INDEX(CLOZE_LIST!$A:$K,ROW()-1-$L$2-$M$2+1,7),""),IF(ROW()-1&lt;=$L$2+$M$2+$N$2+$O$2,IFERROR(INDEX(PROFORMA!$A:$K,ROW()-1-$L$2-$M$2-$N$2+1,7),""),"")))))</f>
        <v>core</v>
      </c>
      <c r="H342" s="3" t="str">
        <f>IF(ROW()-1&lt;=0,"",IF(ROW()-1&lt;=$L$2,IFERROR(INDEX(MCQ!$A:$K,ROW()-1+1,8),""),IF(ROW()-1&lt;=$L$2+$M$2,IFERROR(INDEX(CLOZE_AB!$A:$K,ROW()-1-$L$2+1,8),""),IF(ROW()-1&lt;=$L$2+$M$2+$N$2,IFERROR(INDEX(CLOZE_LIST!$A:$K,ROW()-1-$L$2-$M$2+1,8),""),IF(ROW()-1&lt;=$L$2+$M$2+$N$2+$O$2,IFERROR(INDEX(PROFORMA!$A:$K,ROW()-1-$L$2-$M$2-$N$2+1,8),""),"")))))</f>
        <v>Y</v>
      </c>
      <c r="I342" s="3" t="str">
        <f>IF(ROW()-1&lt;=0,"",IF(ROW()-1&lt;=$L$2,IFERROR(INDEX(MCQ!$A:$K,ROW()-1+1,9),""),IF(ROW()-1&lt;=$L$2+$M$2,IFERROR(INDEX(CLOZE_AB!$A:$K,ROW()-1-$L$2+1,9),""),IF(ROW()-1&lt;=$L$2+$M$2+$N$2,IFERROR(INDEX(CLOZE_LIST!$A:$K,ROW()-1-$L$2-$M$2+1,9),""),IF(ROW()-1&lt;=$L$2+$M$2+$N$2+$O$2,IFERROR(INDEX(PROFORMA!$A:$K,ROW()-1-$L$2-$M$2-$N$2+1,9),""),"")))))</f>
        <v>badges;mapping</v>
      </c>
      <c r="J342" s="3" t="str">
        <f>IF(ROW()-1&lt;=0,"",IF(ROW()-1&lt;=$L$2,IFERROR(INDEX(MCQ!$A:$K,ROW()-1+1,10),""),IF(ROW()-1&lt;=$L$2+$M$2,IFERROR(INDEX(CLOZE_AB!$A:$K,ROW()-1-$L$2+1,10),""),IF(ROW()-1&lt;=$L$2+$M$2+$N$2,IFERROR(INDEX(CLOZE_LIST!$A:$K,ROW()-1-$L$2-$M$2+1,10),""),IF(ROW()-1&lt;=$L$2+$M$2+$N$2+$O$2,IFERROR(INDEX(PROFORMA!$A:$K,ROW()-1-$L$2-$M$2-$N$2+1,10),""),"")))))</f>
        <v>assistant_generated</v>
      </c>
      <c r="K342" s="3">
        <f>IF(ROW()-1&lt;=0,"",IF(ROW()-1&lt;=$L$2,IFERROR(INDEX(MCQ!$A:$K,ROW()-1+1,11),""),IF(ROW()-1&lt;=$L$2+$M$2,IFERROR(INDEX(CLOZE_AB!$A:$K,ROW()-1-$L$2+1,11),""),IF(ROW()-1&lt;=$L$2+$M$2+$N$2,IFERROR(INDEX(CLOZE_LIST!$A:$K,ROW()-1-$L$2-$M$2+1,11),""),IF(ROW()-1&lt;=$L$2+$M$2+$N$2+$O$2,IFERROR(INDEX(PROFORMA!$A:$K,ROW()-1-$L$2-$M$2-$N$2+1,11),""),"")))))</f>
        <v>1</v>
      </c>
      <c r="L342" s="3">
        <f>COUNTA(MCQ!$A:$A)-1</f>
        <v>143</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LIST_ITNIC_DEF_BADGES_002</v>
      </c>
      <c r="B343" s="3" t="str">
        <f>IF(ROW()-1&lt;=0,"",IF(ROW()-1&lt;=$L$2,IFERROR(INDEX(MCQ!$A:$K,ROW()-1+1,2),""),IF(ROW()-1&lt;=$L$2+$M$2,IFERROR(INDEX(CLOZE_AB!$A:$K,ROW()-1-$L$2+1,2),""),IF(ROW()-1&lt;=$L$2+$M$2+$N$2,IFERROR(INDEX(CLOZE_LIST!$A:$K,ROW()-1-$L$2-$M$2+1,2),""),IF(ROW()-1&lt;=$L$2+$M$2+$N$2+$O$2,IFERROR(INDEX(PROFORMA!$A:$K,ROW()-1-$L$2-$M$2-$N$2+1,2),""),"")))))</f>
        <v>Income tax &amp; NIC</v>
      </c>
      <c r="C343" s="3" t="str">
        <f>IF(ROW()-1&lt;=0,"",IF(ROW()-1&lt;=$L$2,IFERROR(INDEX(MCQ!$A:$K,ROW()-1+1,3),""),IF(ROW()-1&lt;=$L$2+$M$2,IFERROR(INDEX(CLOZE_AB!$A:$K,ROW()-1-$L$2+1,3),""),IF(ROW()-1&lt;=$L$2+$M$2+$N$2,IFERROR(INDEX(CLOZE_LIST!$A:$K,ROW()-1-$L$2-$M$2+1,3),""),IF(ROW()-1&lt;=$L$2+$M$2+$N$2+$O$2,IFERROR(INDEX(PROFORMA!$A:$K,ROW()-1-$L$2-$M$2-$N$2+1,3),""),"")))))</f>
        <v>definitions</v>
      </c>
      <c r="D343" s="3" t="str">
        <f>IF(ROW()-1&lt;=0,"",IF(ROW()-1&lt;=$L$2,IFERROR(INDEX(MCQ!$A:$K,ROW()-1+1,4),""),IF(ROW()-1&lt;=$L$2+$M$2,IFERROR(INDEX(CLOZE_AB!$A:$K,ROW()-1-$L$2+1,4),""),IF(ROW()-1&lt;=$L$2+$M$2+$N$2,IFERROR(INDEX(CLOZE_LIST!$A:$K,ROW()-1-$L$2-$M$2+1,4),""),IF(ROW()-1&lt;=$L$2+$M$2+$N$2+$O$2,IFERROR(INDEX(PROFORMA!$A:$K,ROW()-1-$L$2-$M$2-$N$2+1,4),""),"")))))</f>
        <v>Badges of trade</v>
      </c>
      <c r="E343" s="3" t="str">
        <f>IF(ROW()-1&lt;=0,"",IF(ROW()-1&lt;=$L$2,IFERROR(INDEX(MCQ!$A:$K,ROW()-1+1,5),""),IF(ROW()-1&lt;=$L$2+$M$2,IFERROR(INDEX(CLOZE_AB!$A:$K,ROW()-1-$L$2+1,5),""),IF(ROW()-1&lt;=$L$2+$M$2+$N$2,IFERROR(INDEX(CLOZE_LIST!$A:$K,ROW()-1-$L$2-$M$2+1,5),""),IF(ROW()-1&lt;=$L$2+$M$2+$N$2+$O$2,IFERROR(INDEX(PROFORMA!$A:$K,ROW()-1-$L$2-$M$2-$N$2+1,5),""),"")))))</f>
        <v>cloze_list</v>
      </c>
      <c r="F343" s="3">
        <f>IF(ROW()-1&lt;=0,"",IF(ROW()-1&lt;=$L$2,IFERROR(INDEX(MCQ!$A:$K,ROW()-1+1,6),""),IF(ROW()-1&lt;=$L$2+$M$2,IFERROR(INDEX(CLOZE_AB!$A:$K,ROW()-1-$L$2+1,6),""),IF(ROW()-1&lt;=$L$2+$M$2+$N$2,IFERROR(INDEX(CLOZE_LIST!$A:$K,ROW()-1-$L$2-$M$2+1,6),""),IF(ROW()-1&lt;=$L$2+$M$2+$N$2+$O$2,IFERROR(INDEX(PROFORMA!$A:$K,ROW()-1-$L$2-$M$2-$N$2+1,6),""),"")))))</f>
        <v>3</v>
      </c>
      <c r="G343" s="3" t="str">
        <f>IF(ROW()-1&lt;=0,"",IF(ROW()-1&lt;=$L$2,IFERROR(INDEX(MCQ!$A:$K,ROW()-1+1,7),""),IF(ROW()-1&lt;=$L$2+$M$2,IFERROR(INDEX(CLOZE_AB!$A:$K,ROW()-1-$L$2+1,7),""),IF(ROW()-1&lt;=$L$2+$M$2+$N$2,IFERROR(INDEX(CLOZE_LIST!$A:$K,ROW()-1-$L$2-$M$2+1,7),""),IF(ROW()-1&lt;=$L$2+$M$2+$N$2+$O$2,IFERROR(INDEX(PROFORMA!$A:$K,ROW()-1-$L$2-$M$2-$N$2+1,7),""),"")))))</f>
        <v>core</v>
      </c>
      <c r="H343" s="3" t="str">
        <f>IF(ROW()-1&lt;=0,"",IF(ROW()-1&lt;=$L$2,IFERROR(INDEX(MCQ!$A:$K,ROW()-1+1,8),""),IF(ROW()-1&lt;=$L$2+$M$2,IFERROR(INDEX(CLOZE_AB!$A:$K,ROW()-1-$L$2+1,8),""),IF(ROW()-1&lt;=$L$2+$M$2+$N$2,IFERROR(INDEX(CLOZE_LIST!$A:$K,ROW()-1-$L$2-$M$2+1,8),""),IF(ROW()-1&lt;=$L$2+$M$2+$N$2+$O$2,IFERROR(INDEX(PROFORMA!$A:$K,ROW()-1-$L$2-$M$2-$N$2+1,8),""),"")))))</f>
        <v>Y</v>
      </c>
      <c r="I343" s="3" t="str">
        <f>IF(ROW()-1&lt;=0,"",IF(ROW()-1&lt;=$L$2,IFERROR(INDEX(MCQ!$A:$K,ROW()-1+1,9),""),IF(ROW()-1&lt;=$L$2+$M$2,IFERROR(INDEX(CLOZE_AB!$A:$K,ROW()-1-$L$2+1,9),""),IF(ROW()-1&lt;=$L$2+$M$2+$N$2,IFERROR(INDEX(CLOZE_LIST!$A:$K,ROW()-1-$L$2-$M$2+1,9),""),IF(ROW()-1&lt;=$L$2+$M$2+$N$2+$O$2,IFERROR(INDEX(PROFORMA!$A:$K,ROW()-1-$L$2-$M$2-$N$2+1,9),""),"")))))</f>
        <v>badges;mapping</v>
      </c>
      <c r="J343" s="3" t="str">
        <f>IF(ROW()-1&lt;=0,"",IF(ROW()-1&lt;=$L$2,IFERROR(INDEX(MCQ!$A:$K,ROW()-1+1,10),""),IF(ROW()-1&lt;=$L$2+$M$2,IFERROR(INDEX(CLOZE_AB!$A:$K,ROW()-1-$L$2+1,10),""),IF(ROW()-1&lt;=$L$2+$M$2+$N$2,IFERROR(INDEX(CLOZE_LIST!$A:$K,ROW()-1-$L$2-$M$2+1,10),""),IF(ROW()-1&lt;=$L$2+$M$2+$N$2+$O$2,IFERROR(INDEX(PROFORMA!$A:$K,ROW()-1-$L$2-$M$2-$N$2+1,10),""),"")))))</f>
        <v>assistant_generated</v>
      </c>
      <c r="K343" s="3">
        <f>IF(ROW()-1&lt;=0,"",IF(ROW()-1&lt;=$L$2,IFERROR(INDEX(MCQ!$A:$K,ROW()-1+1,11),""),IF(ROW()-1&lt;=$L$2+$M$2,IFERROR(INDEX(CLOZE_AB!$A:$K,ROW()-1-$L$2+1,11),""),IF(ROW()-1&lt;=$L$2+$M$2+$N$2,IFERROR(INDEX(CLOZE_LIST!$A:$K,ROW()-1-$L$2-$M$2+1,11),""),IF(ROW()-1&lt;=$L$2+$M$2+$N$2+$O$2,IFERROR(INDEX(PROFORMA!$A:$K,ROW()-1-$L$2-$M$2-$N$2+1,11),""),"")))))</f>
        <v>1</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f>IF(ROW()-1&lt;=0,"",IF(ROW()-1&lt;=$L$2,IFERROR(INDEX(MCQ!$A:$K,ROW()-1+1,5),""),IF(ROW()-1&lt;=$L$2+$M$2,IFERROR(INDEX(CLOZE_AB!$A:$K,ROW()-1-$L$2+1,5),""),IF(ROW()-1&lt;=$L$2+$M$2+$N$2,IFERROR(INDEX(CLOZE_LIST!$A:$K,ROW()-1-$L$2-$M$2+1,5),""),IF(ROW()-1&lt;=$L$2+$M$2+$N$2+$O$2,IFERROR(INDEX(PROFORMA!$A:$K,ROW()-1-$L$2-$M$2-$N$2+1,5),""),"")))))</f>
        <v>0</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f>IF(ROW()-1&lt;=0,"",IF(ROW()-1&lt;=$L$2,IFERROR(INDEX(MCQ!$A:$K,ROW()-1+1,5),""),IF(ROW()-1&lt;=$L$2+$M$2,IFERROR(INDEX(CLOZE_AB!$A:$K,ROW()-1-$L$2+1,5),""),IF(ROW()-1&lt;=$L$2+$M$2+$N$2,IFERROR(INDEX(CLOZE_LIST!$A:$K,ROW()-1-$L$2-$M$2+1,5),""),IF(ROW()-1&lt;=$L$2+$M$2+$N$2+$O$2,IFERROR(INDEX(PROFORMA!$A:$K,ROW()-1-$L$2-$M$2-$N$2+1,5),""),"")))))</f>
        <v>0</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f>IF(ROW()-1&lt;=0,"",IF(ROW()-1&lt;=$L$2,IFERROR(INDEX(MCQ!$A:$K,ROW()-1+1,5),""),IF(ROW()-1&lt;=$L$2+$M$2,IFERROR(INDEX(CLOZE_AB!$A:$K,ROW()-1-$L$2+1,5),""),IF(ROW()-1&lt;=$L$2+$M$2+$N$2,IFERROR(INDEX(CLOZE_LIST!$A:$K,ROW()-1-$L$2-$M$2+1,5),""),IF(ROW()-1&lt;=$L$2+$M$2+$N$2+$O$2,IFERROR(INDEX(PROFORMA!$A:$K,ROW()-1-$L$2-$M$2-$N$2+1,5),""),"")))))</f>
        <v>0</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f>IF(ROW()-1&lt;=0,"",IF(ROW()-1&lt;=$L$2,IFERROR(INDEX(MCQ!$A:$K,ROW()-1+1,5),""),IF(ROW()-1&lt;=$L$2+$M$2,IFERROR(INDEX(CLOZE_AB!$A:$K,ROW()-1-$L$2+1,5),""),IF(ROW()-1&lt;=$L$2+$M$2+$N$2,IFERROR(INDEX(CLOZE_LIST!$A:$K,ROW()-1-$L$2-$M$2+1,5),""),IF(ROW()-1&lt;=$L$2+$M$2+$N$2+$O$2,IFERROR(INDEX(PROFORMA!$A:$K,ROW()-1-$L$2-$M$2-$N$2+1,5),""),"")))))</f>
        <v>0</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f>IF(ROW()-1&lt;=0,"",IF(ROW()-1&lt;=$L$2,IFERROR(INDEX(MCQ!$A:$K,ROW()-1+1,5),""),IF(ROW()-1&lt;=$L$2+$M$2,IFERROR(INDEX(CLOZE_AB!$A:$K,ROW()-1-$L$2+1,5),""),IF(ROW()-1&lt;=$L$2+$M$2+$N$2,IFERROR(INDEX(CLOZE_LIST!$A:$K,ROW()-1-$L$2-$M$2+1,5),""),IF(ROW()-1&lt;=$L$2+$M$2+$N$2+$O$2,IFERROR(INDEX(PROFORMA!$A:$K,ROW()-1-$L$2-$M$2-$N$2+1,5),""),"")))))</f>
        <v>0</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f>IF(ROW()-1&lt;=0,"",IF(ROW()-1&lt;=$L$2,IFERROR(INDEX(MCQ!$A:$K,ROW()-1+1,5),""),IF(ROW()-1&lt;=$L$2+$M$2,IFERROR(INDEX(CLOZE_AB!$A:$K,ROW()-1-$L$2+1,5),""),IF(ROW()-1&lt;=$L$2+$M$2+$N$2,IFERROR(INDEX(CLOZE_LIST!$A:$K,ROW()-1-$L$2-$M$2+1,5),""),IF(ROW()-1&lt;=$L$2+$M$2+$N$2+$O$2,IFERROR(INDEX(PROFORMA!$A:$K,ROW()-1-$L$2-$M$2-$N$2+1,5),""),"")))))</f>
        <v>0</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f>IF(ROW()-1&lt;=0,"",IF(ROW()-1&lt;=$L$2,IFERROR(INDEX(MCQ!$A:$K,ROW()-1+1,5),""),IF(ROW()-1&lt;=$L$2+$M$2,IFERROR(INDEX(CLOZE_AB!$A:$K,ROW()-1-$L$2+1,5),""),IF(ROW()-1&lt;=$L$2+$M$2+$N$2,IFERROR(INDEX(CLOZE_LIST!$A:$K,ROW()-1-$L$2-$M$2+1,5),""),IF(ROW()-1&lt;=$L$2+$M$2+$N$2+$O$2,IFERROR(INDEX(PROFORMA!$A:$K,ROW()-1-$L$2-$M$2-$N$2+1,5),""),"")))))</f>
        <v>0</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f>IF(ROW()-1&lt;=0,"",IF(ROW()-1&lt;=$L$2,IFERROR(INDEX(MCQ!$A:$K,ROW()-1+1,5),""),IF(ROW()-1&lt;=$L$2+$M$2,IFERROR(INDEX(CLOZE_AB!$A:$K,ROW()-1-$L$2+1,5),""),IF(ROW()-1&lt;=$L$2+$M$2+$N$2,IFERROR(INDEX(CLOZE_LIST!$A:$K,ROW()-1-$L$2-$M$2+1,5),""),IF(ROW()-1&lt;=$L$2+$M$2+$N$2+$O$2,IFERROR(INDEX(PROFORMA!$A:$K,ROW()-1-$L$2-$M$2-$N$2+1,5),""),"")))))</f>
        <v>0</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f>IF(ROW()-1&lt;=0,"",IF(ROW()-1&lt;=$L$2,IFERROR(INDEX(MCQ!$A:$K,ROW()-1+1,5),""),IF(ROW()-1&lt;=$L$2+$M$2,IFERROR(INDEX(CLOZE_AB!$A:$K,ROW()-1-$L$2+1,5),""),IF(ROW()-1&lt;=$L$2+$M$2+$N$2,IFERROR(INDEX(CLOZE_LIST!$A:$K,ROW()-1-$L$2-$M$2+1,5),""),IF(ROW()-1&lt;=$L$2+$M$2+$N$2+$O$2,IFERROR(INDEX(PROFORMA!$A:$K,ROW()-1-$L$2-$M$2-$N$2+1,5),""),"")))))</f>
        <v>0</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f>IF(ROW()-1&lt;=0,"",IF(ROW()-1&lt;=$L$2,IFERROR(INDEX(MCQ!$A:$K,ROW()-1+1,5),""),IF(ROW()-1&lt;=$L$2+$M$2,IFERROR(INDEX(CLOZE_AB!$A:$K,ROW()-1-$L$2+1,5),""),IF(ROW()-1&lt;=$L$2+$M$2+$N$2,IFERROR(INDEX(CLOZE_LIST!$A:$K,ROW()-1-$L$2-$M$2+1,5),""),IF(ROW()-1&lt;=$L$2+$M$2+$N$2+$O$2,IFERROR(INDEX(PROFORMA!$A:$K,ROW()-1-$L$2-$M$2-$N$2+1,5),""),"")))))</f>
        <v>0</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f>IF(ROW()-1&lt;=0,"",IF(ROW()-1&lt;=$L$2,IFERROR(INDEX(MCQ!$A:$K,ROW()-1+1,5),""),IF(ROW()-1&lt;=$L$2+$M$2,IFERROR(INDEX(CLOZE_AB!$A:$K,ROW()-1-$L$2+1,5),""),IF(ROW()-1&lt;=$L$2+$M$2+$N$2,IFERROR(INDEX(CLOZE_LIST!$A:$K,ROW()-1-$L$2-$M$2+1,5),""),IF(ROW()-1&lt;=$L$2+$M$2+$N$2+$O$2,IFERROR(INDEX(PROFORMA!$A:$K,ROW()-1-$L$2-$M$2-$N$2+1,5),""),"")))))</f>
        <v>0</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ht="28.8" x14ac:dyDescent="0.3">
      <c r="A512" s="3" t="str">
        <f>IF(ROW()-1&lt;=0,"",IF(ROW()-1&lt;=$L$2,IFERROR(INDEX(MCQ!$A:$K,ROW()-1+1,1),""),IF(ROW()-1&lt;=$L$2+$M$2,IFERROR(INDEX(CLOZE_AB!$A:$K,ROW()-1-$L$2+1,1),""),IF(ROW()-1&lt;=$L$2+$M$2+$N$2,IFERROR(INDEX(CLOZE_LIST!$A:$K,ROW()-1-$L$2-$M$2+1,1),""),IF(ROW()-1&lt;=$L$2+$M$2+$N$2+$O$2,IFERROR(INDEX(PROFORMA!$A:$K,ROW()-1-$L$2-$M$2-$N$2+1,1),""),"")))))</f>
        <v>PF_ETH_PF__001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proformas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ht="28.8" x14ac:dyDescent="0.3">
      <c r="A514" s="3" t="str">
        <f>IF(ROW()-1&lt;=0,"",IF(ROW()-1&lt;=$L$2,IFERROR(INDEX(MCQ!$A:$K,ROW()-1+1,1),""),IF(ROW()-1&lt;=$L$2+$M$2,IFERROR(INDEX(CLOZE_AB!$A:$K,ROW()-1-$L$2+1,1),""),IF(ROW()-1&lt;=$L$2+$M$2+$N$2,IFERROR(INDEX(CLOZE_LIST!$A:$K,ROW()-1-$L$2-$M$2+1,1),""),IF(ROW()-1&lt;=$L$2+$M$2+$N$2+$O$2,IFERROR(INDEX(PROFORMA!$A:$K,ROW()-1-$L$2-$M$2-$N$2+1,1),""),"")))))</f>
        <v>PF_ITNIC_PF_EIS_001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proformas</v>
      </c>
      <c r="D514" s="3" t="str">
        <f>IF(ROW()-1&lt;=0,"",IF(ROW()-1&lt;=$L$2,IFERROR(INDEX(MCQ!$A:$K,ROW()-1+1,4),""),IF(ROW()-1&lt;=$L$2+$M$2,IFERROR(INDEX(CLOZE_AB!$A:$K,ROW()-1-$L$2+1,4),""),IF(ROW()-1&lt;=$L$2+$M$2+$N$2,IFERROR(INDEX(CLOZE_LIST!$A:$K,ROW()-1-$L$2-$M$2+1,4),""),IF(ROW()-1&lt;=$L$2+$M$2+$N$2+$O$2,IFERROR(INDEX(PROFORMA!$A:$K,ROW()-1-$L$2-$M$2-$N$2+1,4),""),"")))))</f>
        <v>Tax efficient investments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PF_ITNIC_PF_PSC_001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proformas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PF_ITNIC_PF_PSC_002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proformas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f>IF(ROW()-1&lt;=0,"",IF(ROW()-1&lt;=$L$2,IFERROR(INDEX(MCQ!$A:$K,ROW()-1+1,5),""),IF(ROW()-1&lt;=$L$2+$M$2,IFERROR(INDEX(CLOZE_AB!$A:$K,ROW()-1-$L$2+1,5),""),IF(ROW()-1&lt;=$L$2+$M$2+$N$2,IFERROR(INDEX(CLOZE_LIST!$A:$K,ROW()-1-$L$2-$M$2+1,5),""),IF(ROW()-1&lt;=$L$2+$M$2+$N$2+$O$2,IFERROR(INDEX(PROFORMA!$A:$K,ROW()-1-$L$2-$M$2-$N$2+1,5),""),"")))))</f>
        <v>0</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f>IF(ROW()-1&lt;=0,"",IF(ROW()-1&lt;=$L$2,IFERROR(INDEX(MCQ!$A:$K,ROW()-1+1,5),""),IF(ROW()-1&lt;=$L$2+$M$2,IFERROR(INDEX(CLOZE_AB!$A:$K,ROW()-1-$L$2+1,5),""),IF(ROW()-1&lt;=$L$2+$M$2+$N$2,IFERROR(INDEX(CLOZE_LIST!$A:$K,ROW()-1-$L$2-$M$2+1,5),""),IF(ROW()-1&lt;=$L$2+$M$2+$N$2+$O$2,IFERROR(INDEX(PROFORMA!$A:$K,ROW()-1-$L$2-$M$2-$N$2+1,5),""),"")))))</f>
        <v>0</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f>IF(ROW()-1&lt;=0,"",IF(ROW()-1&lt;=$L$2,IFERROR(INDEX(MCQ!$A:$K,ROW()-1+1,5),""),IF(ROW()-1&lt;=$L$2+$M$2,IFERROR(INDEX(CLOZE_AB!$A:$K,ROW()-1-$L$2+1,5),""),IF(ROW()-1&lt;=$L$2+$M$2+$N$2,IFERROR(INDEX(CLOZE_LIST!$A:$K,ROW()-1-$L$2-$M$2+1,5),""),IF(ROW()-1&lt;=$L$2+$M$2+$N$2+$O$2,IFERROR(INDEX(PROFORMA!$A:$K,ROW()-1-$L$2-$M$2-$N$2+1,5),""),"")))))</f>
        <v>0</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f>IF(ROW()-1&lt;=0,"",IF(ROW()-1&lt;=$L$2,IFERROR(INDEX(MCQ!$A:$K,ROW()-1+1,5),""),IF(ROW()-1&lt;=$L$2+$M$2,IFERROR(INDEX(CLOZE_AB!$A:$K,ROW()-1-$L$2+1,5),""),IF(ROW()-1&lt;=$L$2+$M$2+$N$2,IFERROR(INDEX(CLOZE_LIST!$A:$K,ROW()-1-$L$2-$M$2+1,5),""),IF(ROW()-1&lt;=$L$2+$M$2+$N$2+$O$2,IFERROR(INDEX(PROFORMA!$A:$K,ROW()-1-$L$2-$M$2-$N$2+1,5),""),"")))))</f>
        <v>0</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f>IF(ROW()-1&lt;=0,"",IF(ROW()-1&lt;=$L$2,IFERROR(INDEX(MCQ!$A:$K,ROW()-1+1,5),""),IF(ROW()-1&lt;=$L$2+$M$2,IFERROR(INDEX(CLOZE_AB!$A:$K,ROW()-1-$L$2+1,5),""),IF(ROW()-1&lt;=$L$2+$M$2+$N$2,IFERROR(INDEX(CLOZE_LIST!$A:$K,ROW()-1-$L$2-$M$2+1,5),""),IF(ROW()-1&lt;=$L$2+$M$2+$N$2+$O$2,IFERROR(INDEX(PROFORMA!$A:$K,ROW()-1-$L$2-$M$2-$N$2+1,5),""),"")))))</f>
        <v>0</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f>IF(ROW()-1&lt;=0,"",IF(ROW()-1&lt;=$L$2,IFERROR(INDEX(MCQ!$A:$K,ROW()-1+1,5),""),IF(ROW()-1&lt;=$L$2+$M$2,IFERROR(INDEX(CLOZE_AB!$A:$K,ROW()-1-$L$2+1,5),""),IF(ROW()-1&lt;=$L$2+$M$2+$N$2,IFERROR(INDEX(CLOZE_LIST!$A:$K,ROW()-1-$L$2-$M$2+1,5),""),IF(ROW()-1&lt;=$L$2+$M$2+$N$2+$O$2,IFERROR(INDEX(PROFORMA!$A:$K,ROW()-1-$L$2-$M$2-$N$2+1,5),""),"")))))</f>
        <v>0</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f>IF(ROW()-1&lt;=0,"",IF(ROW()-1&lt;=$L$2,IFERROR(INDEX(MCQ!$A:$K,ROW()-1+1,5),""),IF(ROW()-1&lt;=$L$2+$M$2,IFERROR(INDEX(CLOZE_AB!$A:$K,ROW()-1-$L$2+1,5),""),IF(ROW()-1&lt;=$L$2+$M$2+$N$2,IFERROR(INDEX(CLOZE_LIST!$A:$K,ROW()-1-$L$2-$M$2+1,5),""),IF(ROW()-1&lt;=$L$2+$M$2+$N$2+$O$2,IFERROR(INDEX(PROFORMA!$A:$K,ROW()-1-$L$2-$M$2-$N$2+1,5),""),"")))))</f>
        <v>0</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f>IF(ROW()-1&lt;=0,"",IF(ROW()-1&lt;=$L$2,IFERROR(INDEX(MCQ!$A:$K,ROW()-1+1,5),""),IF(ROW()-1&lt;=$L$2+$M$2,IFERROR(INDEX(CLOZE_AB!$A:$K,ROW()-1-$L$2+1,5),""),IF(ROW()-1&lt;=$L$2+$M$2+$N$2,IFERROR(INDEX(CLOZE_LIST!$A:$K,ROW()-1-$L$2-$M$2+1,5),""),IF(ROW()-1&lt;=$L$2+$M$2+$N$2+$O$2,IFERROR(INDEX(PROFORMA!$A:$K,ROW()-1-$L$2-$M$2-$N$2+1,5),""),"")))))</f>
        <v>0</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f>IF(ROW()-1&lt;=0,"",IF(ROW()-1&lt;=$L$2,IFERROR(INDEX(MCQ!$A:$K,ROW()-1+1,5),""),IF(ROW()-1&lt;=$L$2+$M$2,IFERROR(INDEX(CLOZE_AB!$A:$K,ROW()-1-$L$2+1,5),""),IF(ROW()-1&lt;=$L$2+$M$2+$N$2,IFERROR(INDEX(CLOZE_LIST!$A:$K,ROW()-1-$L$2-$M$2+1,5),""),IF(ROW()-1&lt;=$L$2+$M$2+$N$2+$O$2,IFERROR(INDEX(PROFORMA!$A:$K,ROW()-1-$L$2-$M$2-$N$2+1,5),""),"")))))</f>
        <v>0</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f>IF(ROW()-1&lt;=0,"",IF(ROW()-1&lt;=$L$2,IFERROR(INDEX(MCQ!$A:$K,ROW()-1+1,5),""),IF(ROW()-1&lt;=$L$2+$M$2,IFERROR(INDEX(CLOZE_AB!$A:$K,ROW()-1-$L$2+1,5),""),IF(ROW()-1&lt;=$L$2+$M$2+$N$2,IFERROR(INDEX(CLOZE_LIST!$A:$K,ROW()-1-$L$2-$M$2+1,5),""),IF(ROW()-1&lt;=$L$2+$M$2+$N$2+$O$2,IFERROR(INDEX(PROFORMA!$A:$K,ROW()-1-$L$2-$M$2-$N$2+1,5),""),"")))))</f>
        <v>0</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f>IF(ROW()-1&lt;=0,"",IF(ROW()-1&lt;=$L$2,IFERROR(INDEX(MCQ!$A:$K,ROW()-1+1,5),""),IF(ROW()-1&lt;=$L$2+$M$2,IFERROR(INDEX(CLOZE_AB!$A:$K,ROW()-1-$L$2+1,5),""),IF(ROW()-1&lt;=$L$2+$M$2+$N$2,IFERROR(INDEX(CLOZE_LIST!$A:$K,ROW()-1-$L$2-$M$2+1,5),""),IF(ROW()-1&lt;=$L$2+$M$2+$N$2+$O$2,IFERROR(INDEX(PROFORMA!$A:$K,ROW()-1-$L$2-$M$2-$N$2+1,5),""),"")))))</f>
        <v>0</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f>IF(ROW()-1&lt;=0,"",IF(ROW()-1&lt;=$L$2,IFERROR(INDEX(MCQ!$A:$K,ROW()-1+1,5),""),IF(ROW()-1&lt;=$L$2+$M$2,IFERROR(INDEX(CLOZE_AB!$A:$K,ROW()-1-$L$2+1,5),""),IF(ROW()-1&lt;=$L$2+$M$2+$N$2,IFERROR(INDEX(CLOZE_LIST!$A:$K,ROW()-1-$L$2-$M$2+1,5),""),IF(ROW()-1&lt;=$L$2+$M$2+$N$2+$O$2,IFERROR(INDEX(PROFORMA!$A:$K,ROW()-1-$L$2-$M$2-$N$2+1,5),""),"")))))</f>
        <v>0</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f>IF(ROW()-1&lt;=0,"",IF(ROW()-1&lt;=$L$2,IFERROR(INDEX(MCQ!$A:$K,ROW()-1+1,5),""),IF(ROW()-1&lt;=$L$2+$M$2,IFERROR(INDEX(CLOZE_AB!$A:$K,ROW()-1-$L$2+1,5),""),IF(ROW()-1&lt;=$L$2+$M$2+$N$2,IFERROR(INDEX(CLOZE_LIST!$A:$K,ROW()-1-$L$2-$M$2+1,5),""),IF(ROW()-1&lt;=$L$2+$M$2+$N$2+$O$2,IFERROR(INDEX(PROFORMA!$A:$K,ROW()-1-$L$2-$M$2-$N$2+1,5),""),"")))))</f>
        <v>0</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f>IF(ROW()-1&lt;=0,"",IF(ROW()-1&lt;=$L$2,IFERROR(INDEX(MCQ!$A:$K,ROW()-1+1,5),""),IF(ROW()-1&lt;=$L$2+$M$2,IFERROR(INDEX(CLOZE_AB!$A:$K,ROW()-1-$L$2+1,5),""),IF(ROW()-1&lt;=$L$2+$M$2+$N$2,IFERROR(INDEX(CLOZE_LIST!$A:$K,ROW()-1-$L$2-$M$2+1,5),""),IF(ROW()-1&lt;=$L$2+$M$2+$N$2+$O$2,IFERROR(INDEX(PROFORMA!$A:$K,ROW()-1-$L$2-$M$2-$N$2+1,5),""),"")))))</f>
        <v>0</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f>IF(ROW()-1&lt;=0,"",IF(ROW()-1&lt;=$L$2,IFERROR(INDEX(MCQ!$A:$K,ROW()-1+1,5),""),IF(ROW()-1&lt;=$L$2+$M$2,IFERROR(INDEX(CLOZE_AB!$A:$K,ROW()-1-$L$2+1,5),""),IF(ROW()-1&lt;=$L$2+$M$2+$N$2,IFERROR(INDEX(CLOZE_LIST!$A:$K,ROW()-1-$L$2-$M$2+1,5),""),IF(ROW()-1&lt;=$L$2+$M$2+$N$2+$O$2,IFERROR(INDEX(PROFORMA!$A:$K,ROW()-1-$L$2-$M$2-$N$2+1,5),""),"")))))</f>
        <v>0</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f>IF(ROW()-1&lt;=0,"",IF(ROW()-1&lt;=$L$2,IFERROR(INDEX(MCQ!$A:$K,ROW()-1+1,5),""),IF(ROW()-1&lt;=$L$2+$M$2,IFERROR(INDEX(CLOZE_AB!$A:$K,ROW()-1-$L$2+1,5),""),IF(ROW()-1&lt;=$L$2+$M$2+$N$2,IFERROR(INDEX(CLOZE_LIST!$A:$K,ROW()-1-$L$2-$M$2+1,5),""),IF(ROW()-1&lt;=$L$2+$M$2+$N$2+$O$2,IFERROR(INDEX(PROFORMA!$A:$K,ROW()-1-$L$2-$M$2-$N$2+1,5),""),"")))))</f>
        <v>0</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f>IF(ROW()-1&lt;=0,"",IF(ROW()-1&lt;=$L$2,IFERROR(INDEX(MCQ!$A:$K,ROW()-1+1,5),""),IF(ROW()-1&lt;=$L$2+$M$2,IFERROR(INDEX(CLOZE_AB!$A:$K,ROW()-1-$L$2+1,5),""),IF(ROW()-1&lt;=$L$2+$M$2+$N$2,IFERROR(INDEX(CLOZE_LIST!$A:$K,ROW()-1-$L$2-$M$2+1,5),""),IF(ROW()-1&lt;=$L$2+$M$2+$N$2+$O$2,IFERROR(INDEX(PROFORMA!$A:$K,ROW()-1-$L$2-$M$2-$N$2+1,5),""),"")))))</f>
        <v>0</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f>IF(ROW()-1&lt;=0,"",IF(ROW()-1&lt;=$L$2,IFERROR(INDEX(MCQ!$A:$K,ROW()-1+1,5),""),IF(ROW()-1&lt;=$L$2+$M$2,IFERROR(INDEX(CLOZE_AB!$A:$K,ROW()-1-$L$2+1,5),""),IF(ROW()-1&lt;=$L$2+$M$2+$N$2,IFERROR(INDEX(CLOZE_LIST!$A:$K,ROW()-1-$L$2-$M$2+1,5),""),IF(ROW()-1&lt;=$L$2+$M$2+$N$2+$O$2,IFERROR(INDEX(PROFORMA!$A:$K,ROW()-1-$L$2-$M$2-$N$2+1,5),""),"")))))</f>
        <v>0</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f>IF(ROW()-1&lt;=0,"",IF(ROW()-1&lt;=$L$2,IFERROR(INDEX(MCQ!$A:$K,ROW()-1+1,5),""),IF(ROW()-1&lt;=$L$2+$M$2,IFERROR(INDEX(CLOZE_AB!$A:$K,ROW()-1-$L$2+1,5),""),IF(ROW()-1&lt;=$L$2+$M$2+$N$2,IFERROR(INDEX(CLOZE_LIST!$A:$K,ROW()-1-$L$2-$M$2+1,5),""),IF(ROW()-1&lt;=$L$2+$M$2+$N$2+$O$2,IFERROR(INDEX(PROFORMA!$A:$K,ROW()-1-$L$2-$M$2-$N$2+1,5),""),"")))))</f>
        <v>0</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f>IF(ROW()-1&lt;=0,"",IF(ROW()-1&lt;=$L$2,IFERROR(INDEX(MCQ!$A:$K,ROW()-1+1,5),""),IF(ROW()-1&lt;=$L$2+$M$2,IFERROR(INDEX(CLOZE_AB!$A:$K,ROW()-1-$L$2+1,5),""),IF(ROW()-1&lt;=$L$2+$M$2+$N$2,IFERROR(INDEX(CLOZE_LIST!$A:$K,ROW()-1-$L$2-$M$2+1,5),""),IF(ROW()-1&lt;=$L$2+$M$2+$N$2+$O$2,IFERROR(INDEX(PROFORMA!$A:$K,ROW()-1-$L$2-$M$2-$N$2+1,5),""),"")))))</f>
        <v>0</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f>IF(ROW()-1&lt;=0,"",IF(ROW()-1&lt;=$L$2,IFERROR(INDEX(MCQ!$A:$K,ROW()-1+1,5),""),IF(ROW()-1&lt;=$L$2+$M$2,IFERROR(INDEX(CLOZE_AB!$A:$K,ROW()-1-$L$2+1,5),""),IF(ROW()-1&lt;=$L$2+$M$2+$N$2,IFERROR(INDEX(CLOZE_LIST!$A:$K,ROW()-1-$L$2-$M$2+1,5),""),IF(ROW()-1&lt;=$L$2+$M$2+$N$2+$O$2,IFERROR(INDEX(PROFORMA!$A:$K,ROW()-1-$L$2-$M$2-$N$2+1,5),""),"")))))</f>
        <v>0</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J26"/>
  <sheetViews>
    <sheetView topLeftCell="N3" workbookViewId="0">
      <selection activeCell="D12" sqref="D12:AJ13"/>
    </sheetView>
  </sheetViews>
  <sheetFormatPr defaultRowHeight="25.2" customHeight="1" x14ac:dyDescent="0.3"/>
  <cols>
    <col min="1" max="3" width="8.88671875" style="6"/>
    <col min="4" max="4" width="45.44140625" style="6" customWidth="1"/>
    <col min="5" max="11" width="8.88671875" style="6"/>
    <col min="12" max="12" width="16.5546875" style="6" customWidth="1"/>
    <col min="13" max="16384" width="8.88671875" style="6"/>
  </cols>
  <sheetData>
    <row r="1" spans="1:36" ht="25.2" customHeight="1" x14ac:dyDescent="0.3">
      <c r="A1" s="6" t="s">
        <v>52</v>
      </c>
      <c r="B1" s="6" t="s">
        <v>53</v>
      </c>
      <c r="C1" s="6" t="s">
        <v>54</v>
      </c>
      <c r="D1" s="6" t="s">
        <v>55</v>
      </c>
      <c r="E1" s="6" t="s">
        <v>56</v>
      </c>
      <c r="F1" s="6" t="s">
        <v>57</v>
      </c>
      <c r="G1" s="6" t="s">
        <v>58</v>
      </c>
      <c r="H1" s="6" t="s">
        <v>59</v>
      </c>
      <c r="I1" s="6" t="s">
        <v>60</v>
      </c>
      <c r="J1" s="6" t="s">
        <v>61</v>
      </c>
      <c r="K1" s="6" t="s">
        <v>62</v>
      </c>
      <c r="L1" s="6" t="s">
        <v>63</v>
      </c>
      <c r="M1" s="6" t="s">
        <v>64</v>
      </c>
      <c r="N1" s="6" t="s">
        <v>65</v>
      </c>
      <c r="O1" s="6" t="s">
        <v>66</v>
      </c>
      <c r="P1" s="6" t="s">
        <v>67</v>
      </c>
      <c r="Q1" s="6" t="s">
        <v>68</v>
      </c>
      <c r="R1" s="6" t="s">
        <v>69</v>
      </c>
      <c r="S1" s="6" t="s">
        <v>70</v>
      </c>
      <c r="T1" s="6" t="s">
        <v>71</v>
      </c>
      <c r="U1" s="6" t="s">
        <v>72</v>
      </c>
      <c r="V1" s="6" t="s">
        <v>73</v>
      </c>
    </row>
    <row r="2" spans="1:36" ht="25.2" customHeight="1" x14ac:dyDescent="0.3">
      <c r="B2" s="6" t="s">
        <v>21</v>
      </c>
      <c r="C2" s="6" t="s">
        <v>15</v>
      </c>
      <c r="D2" s="6" t="s">
        <v>970</v>
      </c>
      <c r="E2" s="6" t="s">
        <v>18</v>
      </c>
      <c r="F2" s="6">
        <v>3</v>
      </c>
      <c r="G2" s="6" t="s">
        <v>16</v>
      </c>
      <c r="H2" s="6" t="s">
        <v>17</v>
      </c>
      <c r="I2" s="6" t="s">
        <v>971</v>
      </c>
      <c r="J2" s="6" t="s">
        <v>870</v>
      </c>
      <c r="K2" s="6">
        <v>1</v>
      </c>
      <c r="L2" s="6" t="s">
        <v>972</v>
      </c>
      <c r="O2" s="6" t="s">
        <v>973</v>
      </c>
      <c r="P2" s="6" t="s">
        <v>974</v>
      </c>
      <c r="Q2" s="10" t="s">
        <v>975</v>
      </c>
      <c r="R2" s="10" t="s">
        <v>976</v>
      </c>
      <c r="S2" s="6" t="s">
        <v>977</v>
      </c>
      <c r="T2" s="6" t="s">
        <v>978</v>
      </c>
      <c r="U2" s="11" t="s">
        <v>225</v>
      </c>
      <c r="V2" s="6" t="s">
        <v>979</v>
      </c>
      <c r="X2" s="10"/>
      <c r="AA2" s="11"/>
    </row>
    <row r="3" spans="1:36" ht="25.2" customHeight="1" x14ac:dyDescent="0.3">
      <c r="B3" s="6" t="s">
        <v>21</v>
      </c>
      <c r="C3" s="6" t="s">
        <v>15</v>
      </c>
      <c r="D3" s="6" t="s">
        <v>970</v>
      </c>
      <c r="E3" s="6" t="s">
        <v>18</v>
      </c>
      <c r="F3" s="6">
        <v>3</v>
      </c>
      <c r="G3" s="6" t="s">
        <v>16</v>
      </c>
      <c r="H3" s="6" t="s">
        <v>17</v>
      </c>
      <c r="I3" s="6" t="s">
        <v>980</v>
      </c>
      <c r="J3" s="6" t="s">
        <v>870</v>
      </c>
      <c r="K3" s="6">
        <v>1</v>
      </c>
      <c r="L3" s="6" t="s">
        <v>972</v>
      </c>
      <c r="O3" s="6" t="s">
        <v>981</v>
      </c>
      <c r="P3" s="6" t="s">
        <v>982</v>
      </c>
      <c r="Q3" s="11" t="s">
        <v>976</v>
      </c>
      <c r="R3" s="6" t="s">
        <v>978</v>
      </c>
      <c r="S3" s="6" t="s">
        <v>983</v>
      </c>
      <c r="T3" s="6" t="s">
        <v>975</v>
      </c>
      <c r="U3" s="6" t="s">
        <v>223</v>
      </c>
      <c r="V3" s="6" t="s">
        <v>984</v>
      </c>
    </row>
    <row r="4" spans="1:36" ht="25.2" customHeight="1" x14ac:dyDescent="0.3">
      <c r="B4" s="6" t="s">
        <v>21</v>
      </c>
      <c r="C4" s="6" t="s">
        <v>15</v>
      </c>
      <c r="D4" s="6" t="s">
        <v>970</v>
      </c>
      <c r="E4" s="6" t="s">
        <v>18</v>
      </c>
      <c r="F4" s="6">
        <v>3</v>
      </c>
      <c r="G4" s="6" t="s">
        <v>16</v>
      </c>
      <c r="H4" s="6" t="s">
        <v>17</v>
      </c>
      <c r="I4" s="6" t="s">
        <v>989</v>
      </c>
      <c r="J4" s="6" t="s">
        <v>870</v>
      </c>
      <c r="K4" s="6">
        <v>1</v>
      </c>
      <c r="L4" s="6" t="s">
        <v>972</v>
      </c>
      <c r="O4" s="6" t="s">
        <v>990</v>
      </c>
      <c r="P4" s="6" t="s">
        <v>991</v>
      </c>
      <c r="Q4" s="6" t="s">
        <v>975</v>
      </c>
      <c r="R4" s="6" t="s">
        <v>987</v>
      </c>
      <c r="S4" s="6" t="s">
        <v>976</v>
      </c>
      <c r="T4" s="6" t="s">
        <v>977</v>
      </c>
      <c r="U4" s="6" t="s">
        <v>131</v>
      </c>
      <c r="V4" s="6" t="s">
        <v>992</v>
      </c>
    </row>
    <row r="5" spans="1:36" ht="25.2" customHeight="1" x14ac:dyDescent="0.3">
      <c r="B5" s="6" t="s">
        <v>21</v>
      </c>
      <c r="C5" s="6" t="s">
        <v>15</v>
      </c>
      <c r="D5" s="6" t="s">
        <v>970</v>
      </c>
      <c r="E5" s="6" t="s">
        <v>18</v>
      </c>
      <c r="F5" s="6">
        <v>3</v>
      </c>
      <c r="G5" s="6" t="s">
        <v>16</v>
      </c>
      <c r="H5" s="6" t="s">
        <v>17</v>
      </c>
      <c r="I5" s="6" t="s">
        <v>997</v>
      </c>
      <c r="J5" s="6" t="s">
        <v>870</v>
      </c>
      <c r="K5" s="6">
        <v>1</v>
      </c>
      <c r="L5" s="6" t="s">
        <v>972</v>
      </c>
      <c r="O5" s="6" t="s">
        <v>998</v>
      </c>
      <c r="P5" s="6" t="s">
        <v>976</v>
      </c>
      <c r="Q5" s="10" t="s">
        <v>975</v>
      </c>
      <c r="R5" s="11" t="s">
        <v>977</v>
      </c>
      <c r="S5" s="10" t="s">
        <v>987</v>
      </c>
      <c r="T5" s="6" t="s">
        <v>982</v>
      </c>
      <c r="U5" s="6" t="s">
        <v>223</v>
      </c>
      <c r="V5" s="6" t="s">
        <v>999</v>
      </c>
    </row>
    <row r="6" spans="1:36" ht="25.2" customHeight="1" x14ac:dyDescent="0.3">
      <c r="B6" s="6" t="s">
        <v>21</v>
      </c>
      <c r="C6" s="6" t="s">
        <v>15</v>
      </c>
      <c r="D6" s="6" t="s">
        <v>970</v>
      </c>
      <c r="E6" s="6" t="s">
        <v>18</v>
      </c>
      <c r="F6" s="6">
        <v>3</v>
      </c>
      <c r="G6" s="6" t="s">
        <v>16</v>
      </c>
      <c r="H6" s="6" t="s">
        <v>17</v>
      </c>
      <c r="I6" s="6" t="s">
        <v>1000</v>
      </c>
      <c r="J6" s="6" t="s">
        <v>870</v>
      </c>
      <c r="K6" s="6">
        <v>1</v>
      </c>
      <c r="L6" s="6" t="s">
        <v>972</v>
      </c>
      <c r="O6" s="6" t="s">
        <v>1001</v>
      </c>
      <c r="P6" s="6" t="s">
        <v>976</v>
      </c>
      <c r="Q6" s="6" t="s">
        <v>978</v>
      </c>
      <c r="R6" s="6" t="s">
        <v>987</v>
      </c>
      <c r="S6" s="6" t="s">
        <v>983</v>
      </c>
      <c r="T6" s="6" t="s">
        <v>977</v>
      </c>
      <c r="U6" s="6" t="s">
        <v>131</v>
      </c>
      <c r="V6" s="6" t="s">
        <v>1002</v>
      </c>
    </row>
    <row r="7" spans="1:36" ht="25.2" customHeight="1" x14ac:dyDescent="0.3">
      <c r="B7" s="6" t="s">
        <v>21</v>
      </c>
      <c r="C7" s="6" t="s">
        <v>15</v>
      </c>
      <c r="D7" s="6" t="s">
        <v>970</v>
      </c>
      <c r="E7" s="6" t="s">
        <v>18</v>
      </c>
      <c r="F7" s="6">
        <v>3</v>
      </c>
      <c r="G7" s="6" t="s">
        <v>16</v>
      </c>
      <c r="H7" s="6" t="s">
        <v>17</v>
      </c>
      <c r="I7" s="6" t="s">
        <v>1003</v>
      </c>
      <c r="J7" s="6" t="s">
        <v>870</v>
      </c>
      <c r="K7" s="6">
        <v>1</v>
      </c>
      <c r="L7" s="6" t="s">
        <v>972</v>
      </c>
      <c r="O7" s="6" t="s">
        <v>1004</v>
      </c>
      <c r="P7" s="6" t="s">
        <v>1005</v>
      </c>
      <c r="Q7" s="6" t="s">
        <v>1006</v>
      </c>
      <c r="R7" s="6" t="s">
        <v>1008</v>
      </c>
      <c r="S7" s="6" t="s">
        <v>1007</v>
      </c>
      <c r="T7" s="6" t="s">
        <v>1009</v>
      </c>
      <c r="U7" s="6" t="s">
        <v>226</v>
      </c>
      <c r="V7" s="6" t="s">
        <v>1010</v>
      </c>
    </row>
    <row r="8" spans="1:36" ht="25.2" customHeight="1" x14ac:dyDescent="0.3">
      <c r="B8" s="6" t="s">
        <v>21</v>
      </c>
      <c r="C8" s="6" t="s">
        <v>15</v>
      </c>
      <c r="D8" s="6" t="s">
        <v>970</v>
      </c>
      <c r="E8" s="6" t="s">
        <v>18</v>
      </c>
      <c r="F8" s="6">
        <v>3</v>
      </c>
      <c r="G8" s="6" t="s">
        <v>16</v>
      </c>
      <c r="H8" s="6" t="s">
        <v>17</v>
      </c>
      <c r="I8" s="6" t="s">
        <v>985</v>
      </c>
      <c r="J8" s="6" t="s">
        <v>870</v>
      </c>
      <c r="K8" s="6">
        <v>1</v>
      </c>
      <c r="L8" s="6" t="s">
        <v>972</v>
      </c>
      <c r="O8" s="6" t="s">
        <v>986</v>
      </c>
      <c r="P8" s="6" t="s">
        <v>987</v>
      </c>
      <c r="Q8" s="11" t="s">
        <v>982</v>
      </c>
      <c r="R8" s="6" t="s">
        <v>976</v>
      </c>
      <c r="S8" s="6" t="s">
        <v>977</v>
      </c>
      <c r="T8" s="6" t="s">
        <v>978</v>
      </c>
      <c r="U8" s="6" t="s">
        <v>226</v>
      </c>
      <c r="V8" s="6" t="s">
        <v>988</v>
      </c>
    </row>
    <row r="9" spans="1:36" ht="25.2" customHeight="1" x14ac:dyDescent="0.3">
      <c r="B9" s="6" t="s">
        <v>21</v>
      </c>
      <c r="C9" s="6" t="s">
        <v>15</v>
      </c>
      <c r="D9" s="6" t="s">
        <v>970</v>
      </c>
      <c r="E9" s="6" t="s">
        <v>18</v>
      </c>
      <c r="F9" s="6">
        <v>3</v>
      </c>
      <c r="G9" s="6" t="s">
        <v>16</v>
      </c>
      <c r="H9" s="6" t="s">
        <v>17</v>
      </c>
      <c r="I9" s="6" t="s">
        <v>993</v>
      </c>
      <c r="J9" s="6" t="s">
        <v>870</v>
      </c>
      <c r="K9" s="6">
        <v>1</v>
      </c>
      <c r="L9" s="6" t="s">
        <v>972</v>
      </c>
      <c r="O9" s="6" t="s">
        <v>994</v>
      </c>
      <c r="P9" s="6" t="s">
        <v>976</v>
      </c>
      <c r="Q9" s="11" t="s">
        <v>978</v>
      </c>
      <c r="R9" s="6" t="s">
        <v>982</v>
      </c>
      <c r="S9" s="6" t="s">
        <v>995</v>
      </c>
      <c r="T9" s="11" t="s">
        <v>987</v>
      </c>
      <c r="U9" s="6" t="s">
        <v>224</v>
      </c>
      <c r="V9" s="6" t="s">
        <v>996</v>
      </c>
    </row>
    <row r="11" spans="1:36" ht="25.2" customHeight="1" x14ac:dyDescent="0.3">
      <c r="A11" s="3"/>
      <c r="B11" s="3"/>
      <c r="C11" s="3"/>
      <c r="D11" s="3" t="s">
        <v>52</v>
      </c>
      <c r="E11" s="3" t="s">
        <v>53</v>
      </c>
      <c r="F11" s="3" t="s">
        <v>54</v>
      </c>
      <c r="G11" s="3" t="s">
        <v>55</v>
      </c>
      <c r="H11" s="3" t="s">
        <v>56</v>
      </c>
      <c r="I11" s="3" t="s">
        <v>57</v>
      </c>
      <c r="J11" s="3" t="s">
        <v>58</v>
      </c>
      <c r="K11" s="3" t="s">
        <v>59</v>
      </c>
      <c r="L11" s="3" t="s">
        <v>60</v>
      </c>
      <c r="M11" s="3" t="s">
        <v>61</v>
      </c>
      <c r="N11" s="3" t="s">
        <v>62</v>
      </c>
      <c r="O11" s="3" t="s">
        <v>63</v>
      </c>
      <c r="P11" s="3" t="s">
        <v>64</v>
      </c>
      <c r="Q11" s="3" t="s">
        <v>65</v>
      </c>
      <c r="R11" s="3" t="s">
        <v>74</v>
      </c>
      <c r="S11" s="3" t="s">
        <v>75</v>
      </c>
      <c r="T11" s="3" t="s">
        <v>88</v>
      </c>
      <c r="U11" s="3" t="s">
        <v>78</v>
      </c>
      <c r="V11" s="3" t="s">
        <v>79</v>
      </c>
      <c r="W11" s="3" t="s">
        <v>89</v>
      </c>
      <c r="X11" s="3" t="s">
        <v>80</v>
      </c>
      <c r="Y11" s="3" t="s">
        <v>81</v>
      </c>
      <c r="Z11" s="3" t="s">
        <v>90</v>
      </c>
      <c r="AA11" s="3" t="s">
        <v>82</v>
      </c>
      <c r="AB11" s="3" t="s">
        <v>83</v>
      </c>
      <c r="AC11" s="3" t="s">
        <v>91</v>
      </c>
      <c r="AD11" s="3" t="s">
        <v>84</v>
      </c>
      <c r="AE11" s="3" t="s">
        <v>85</v>
      </c>
      <c r="AF11" s="3" t="s">
        <v>92</v>
      </c>
      <c r="AG11" s="3" t="s">
        <v>86</v>
      </c>
      <c r="AH11" s="6" t="s">
        <v>87</v>
      </c>
      <c r="AI11" s="6" t="s">
        <v>93</v>
      </c>
      <c r="AJ11" s="6" t="s">
        <v>73</v>
      </c>
    </row>
    <row r="12" spans="1:36" ht="25.2" customHeight="1" x14ac:dyDescent="0.3">
      <c r="D12" s="6" t="s">
        <v>1011</v>
      </c>
      <c r="E12" s="6" t="s">
        <v>21</v>
      </c>
      <c r="F12" s="6" t="s">
        <v>15</v>
      </c>
      <c r="G12" s="6" t="s">
        <v>970</v>
      </c>
      <c r="H12" s="6" t="s">
        <v>31</v>
      </c>
      <c r="I12" s="6">
        <v>3</v>
      </c>
      <c r="J12" s="6" t="s">
        <v>16</v>
      </c>
      <c r="K12" s="6" t="s">
        <v>17</v>
      </c>
      <c r="L12" s="6" t="s">
        <v>1012</v>
      </c>
      <c r="M12" s="6" t="s">
        <v>870</v>
      </c>
      <c r="N12" s="6">
        <v>1</v>
      </c>
      <c r="O12" s="6" t="s">
        <v>972</v>
      </c>
      <c r="R12" s="6" t="s">
        <v>1013</v>
      </c>
      <c r="S12" s="6">
        <v>4</v>
      </c>
      <c r="T12" s="6" t="s">
        <v>1027</v>
      </c>
      <c r="U12" s="6" t="s">
        <v>1014</v>
      </c>
      <c r="V12" s="6" t="s">
        <v>17</v>
      </c>
      <c r="W12" s="6" t="s">
        <v>1025</v>
      </c>
      <c r="X12" s="6" t="s">
        <v>1015</v>
      </c>
      <c r="Y12" s="6" t="s">
        <v>17</v>
      </c>
      <c r="Z12" s="6" t="s">
        <v>1026</v>
      </c>
      <c r="AA12" s="6" t="s">
        <v>1016</v>
      </c>
      <c r="AB12" s="6" t="s">
        <v>17</v>
      </c>
      <c r="AC12" s="6" t="s">
        <v>1028</v>
      </c>
      <c r="AD12" s="6" t="s">
        <v>1017</v>
      </c>
      <c r="AE12" s="6" t="s">
        <v>17</v>
      </c>
      <c r="AI12" s="6" t="s">
        <v>17</v>
      </c>
      <c r="AJ12" s="6" t="s">
        <v>1018</v>
      </c>
    </row>
    <row r="13" spans="1:36" ht="25.2" customHeight="1" x14ac:dyDescent="0.3">
      <c r="D13" s="6" t="s">
        <v>1019</v>
      </c>
      <c r="E13" s="6" t="s">
        <v>21</v>
      </c>
      <c r="F13" s="6" t="s">
        <v>15</v>
      </c>
      <c r="G13" s="6" t="s">
        <v>970</v>
      </c>
      <c r="H13" s="6" t="s">
        <v>31</v>
      </c>
      <c r="I13" s="6">
        <v>3</v>
      </c>
      <c r="J13" s="6" t="s">
        <v>16</v>
      </c>
      <c r="K13" s="6" t="s">
        <v>17</v>
      </c>
      <c r="L13" s="6" t="s">
        <v>1012</v>
      </c>
      <c r="M13" s="6" t="s">
        <v>870</v>
      </c>
      <c r="N13" s="6">
        <v>1</v>
      </c>
      <c r="O13" s="6" t="s">
        <v>972</v>
      </c>
      <c r="R13" s="11" t="s">
        <v>1020</v>
      </c>
      <c r="S13" s="6">
        <v>3</v>
      </c>
      <c r="T13" s="6" t="s">
        <v>1029</v>
      </c>
      <c r="U13" s="6" t="s">
        <v>1021</v>
      </c>
      <c r="V13" s="6" t="s">
        <v>17</v>
      </c>
      <c r="W13" s="6" t="s">
        <v>1030</v>
      </c>
      <c r="X13" s="6" t="s">
        <v>1022</v>
      </c>
      <c r="Y13" s="6" t="s">
        <v>17</v>
      </c>
      <c r="Z13" s="6" t="s">
        <v>1031</v>
      </c>
      <c r="AA13" s="6" t="s">
        <v>1023</v>
      </c>
      <c r="AB13" s="6" t="s">
        <v>17</v>
      </c>
      <c r="AI13" s="6" t="s">
        <v>17</v>
      </c>
      <c r="AJ13" s="6" t="s">
        <v>1024</v>
      </c>
    </row>
    <row r="14" spans="1:36" ht="25.2" customHeight="1" x14ac:dyDescent="0.3">
      <c r="R14" s="11"/>
    </row>
    <row r="16" spans="1:36" ht="25.2" customHeight="1" x14ac:dyDescent="0.3">
      <c r="R16" s="10"/>
    </row>
    <row r="25" spans="17:18" ht="25.2" customHeight="1" x14ac:dyDescent="0.3">
      <c r="Q25" s="10"/>
    </row>
    <row r="26" spans="17:18" ht="25.2" customHeight="1" x14ac:dyDescent="0.3">
      <c r="Q26" s="11"/>
      <c r="R26" s="10"/>
    </row>
  </sheetData>
  <dataValidations count="1">
    <dataValidation type="whole" allowBlank="1" sqref="F11" xr:uid="{79174AE4-73F7-4031-A58D-0BBA0D241CCA}">
      <formula1>1</formula1>
      <formula2>5</formula2>
    </dataValidation>
  </dataValidations>
  <pageMargins left="0.7" right="0.7" top="0.75" bottom="0.75" header="0.3" footer="0.3"/>
  <pageSetup paperSize="9" orientation="portrait" horizontalDpi="1200" verticalDpi="1200" r:id="rId1"/>
  <extLst>
    <ext xmlns:x14="http://schemas.microsoft.com/office/spreadsheetml/2009/9/main" uri="{CCE6A557-97BC-4b89-ADB6-D9C93CAAB3DF}">
      <x14:dataValidations xmlns:xm="http://schemas.microsoft.com/office/excel/2006/main" count="5">
        <x14:dataValidation type="list" allowBlank="1" xr:uid="{F304F0A3-98FE-4F43-94B2-8E7EAFD99FCE}">
          <x14:formula1>
            <xm:f>LOOKUPS!$C$2:$C$10</xm:f>
          </x14:formula1>
          <xm:sqref>C11</xm:sqref>
        </x14:dataValidation>
        <x14:dataValidation type="list" allowBlank="1" xr:uid="{DD14BA10-3CBB-4247-98F4-84A8D924613F}">
          <x14:formula1>
            <xm:f>LOOKUPS!$A$2:$A$9</xm:f>
          </x14:formula1>
          <xm:sqref>B11</xm:sqref>
        </x14:dataValidation>
        <x14:dataValidation type="list" allowBlank="1" xr:uid="{185FE2A9-1563-4551-9212-B1D3595DAE5A}">
          <x14:formula1>
            <xm:f>LOOKUPS!$E$2:$E$4</xm:f>
          </x14:formula1>
          <xm:sqref>G11</xm:sqref>
        </x14:dataValidation>
        <x14:dataValidation type="list" allowBlank="1" showDropDown="1" xr:uid="{01E02AA7-4B79-4D18-B698-80DB7AAF1577}">
          <x14:formula1>
            <xm:f>LOOKUPS!$I$2:$I$5</xm:f>
          </x14:formula1>
          <xm:sqref>E11</xm:sqref>
        </x14:dataValidation>
        <x14:dataValidation type="list" allowBlank="1" showDropDown="1" xr:uid="{A843C7BE-6378-4EF0-91C0-E5A712D8487A}">
          <x14:formula1>
            <xm:f>LOOKUPS!$G$2:$G$3</xm:f>
          </x14:formula1>
          <xm:sqref>H11</xm:sqref>
        </x14:dataValidation>
      </x14:dataValidations>
    </ext>
  </extLst>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2026-02-25T09:24:41Z</dcterms:modified>
</cp:coreProperties>
</file>