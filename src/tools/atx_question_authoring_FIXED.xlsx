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756" documentId="11_1A3CAAE0EE81980AE886C8AC59EAF3A67F286A16" xr6:coauthVersionLast="47" xr6:coauthVersionMax="47" xr10:uidLastSave="{DFD43898-D156-49C5-BE3A-41CFFCE138DC}"/>
  <bookViews>
    <workbookView xWindow="-108" yWindow="-108" windowWidth="23256" windowHeight="13896" firstSheet="1" activeTab="4"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 i="5" l="1"/>
  <c r="M22" i="5"/>
  <c r="M23" i="5"/>
  <c r="M24" i="5"/>
  <c r="M25" i="5"/>
  <c r="M26" i="5"/>
  <c r="M43" i="3"/>
  <c r="M44" i="3"/>
  <c r="M45" i="3"/>
  <c r="M46" i="3"/>
  <c r="M47" i="3"/>
  <c r="M48" i="3"/>
  <c r="M49" i="3"/>
  <c r="M50" i="3"/>
  <c r="M28" i="3"/>
  <c r="M29" i="3"/>
  <c r="M30" i="3"/>
  <c r="M31" i="3"/>
  <c r="M32" i="3"/>
  <c r="M33" i="3"/>
  <c r="M34" i="3"/>
  <c r="M35" i="3"/>
  <c r="M36" i="3"/>
  <c r="M37" i="3"/>
  <c r="M38" i="3"/>
  <c r="M39" i="3"/>
  <c r="M40" i="3"/>
  <c r="M41" i="3"/>
  <c r="M42" i="3"/>
  <c r="M52" i="3"/>
  <c r="A52" i="3" s="1"/>
  <c r="N52" i="3"/>
  <c r="M53" i="3"/>
  <c r="A53" i="3" s="1"/>
  <c r="N53" i="3"/>
  <c r="M54" i="3"/>
  <c r="A54" i="3" s="1"/>
  <c r="M55" i="3"/>
  <c r="A55" i="3" s="1"/>
  <c r="M56" i="3"/>
  <c r="N56" i="3" s="1"/>
  <c r="M57" i="3"/>
  <c r="A57" i="3" s="1"/>
  <c r="N57" i="3"/>
  <c r="M58" i="3"/>
  <c r="A58" i="3" s="1"/>
  <c r="M59" i="3"/>
  <c r="A59" i="3" s="1"/>
  <c r="M60" i="3"/>
  <c r="A60" i="3" s="1"/>
  <c r="M61" i="3"/>
  <c r="A61" i="3" s="1"/>
  <c r="M62" i="3"/>
  <c r="A62" i="3" s="1"/>
  <c r="M63" i="3"/>
  <c r="N63" i="3" s="1"/>
  <c r="M64" i="3"/>
  <c r="A64" i="3" s="1"/>
  <c r="M65" i="3"/>
  <c r="A65" i="3" s="1"/>
  <c r="N65" i="3"/>
  <c r="M66" i="3"/>
  <c r="A66" i="3" s="1"/>
  <c r="M67" i="3"/>
  <c r="N67" i="3" s="1"/>
  <c r="M68" i="3"/>
  <c r="N68" i="3" s="1"/>
  <c r="M69" i="3"/>
  <c r="A69" i="3" s="1"/>
  <c r="M70" i="3"/>
  <c r="N70" i="3" s="1"/>
  <c r="M71" i="3"/>
  <c r="N71" i="3" s="1"/>
  <c r="M72" i="3"/>
  <c r="A72" i="3" s="1"/>
  <c r="M73" i="3"/>
  <c r="A73" i="3" s="1"/>
  <c r="M74" i="3"/>
  <c r="A74" i="3" s="1"/>
  <c r="M75" i="3"/>
  <c r="A75" i="3" s="1"/>
  <c r="M76" i="3"/>
  <c r="A76" i="3" s="1"/>
  <c r="M77" i="3"/>
  <c r="N77" i="3" s="1"/>
  <c r="M78" i="3"/>
  <c r="N78" i="3" s="1"/>
  <c r="M79" i="3"/>
  <c r="A79" i="3" s="1"/>
  <c r="M80" i="3"/>
  <c r="A80" i="3" s="1"/>
  <c r="N80" i="3"/>
  <c r="M81" i="3"/>
  <c r="N81" i="3" s="1"/>
  <c r="M82" i="3"/>
  <c r="A82" i="3" s="1"/>
  <c r="N82" i="3"/>
  <c r="M83" i="3"/>
  <c r="A83" i="3" s="1"/>
  <c r="M84" i="3"/>
  <c r="N84" i="3" s="1"/>
  <c r="M85" i="3"/>
  <c r="A85" i="3" s="1"/>
  <c r="M86" i="3"/>
  <c r="A86" i="3" s="1"/>
  <c r="M87" i="3"/>
  <c r="A87" i="3" s="1"/>
  <c r="M88" i="3"/>
  <c r="A88" i="3" s="1"/>
  <c r="M89" i="3"/>
  <c r="A89" i="3" s="1"/>
  <c r="M90" i="3"/>
  <c r="A90" i="3" s="1"/>
  <c r="M91" i="3"/>
  <c r="N91" i="3" s="1"/>
  <c r="M92" i="3"/>
  <c r="A92" i="3" s="1"/>
  <c r="M93" i="3"/>
  <c r="N93" i="3" s="1"/>
  <c r="M94" i="3"/>
  <c r="N94" i="3" s="1"/>
  <c r="M95" i="3"/>
  <c r="N95" i="3" s="1"/>
  <c r="M96" i="3"/>
  <c r="A96" i="3" s="1"/>
  <c r="M97" i="3"/>
  <c r="A97" i="3" s="1"/>
  <c r="M98" i="3"/>
  <c r="N98" i="3" s="1"/>
  <c r="M99" i="3"/>
  <c r="A99" i="3" s="1"/>
  <c r="M100" i="3"/>
  <c r="A100" i="3" s="1"/>
  <c r="M101" i="3"/>
  <c r="A101" i="3" s="1"/>
  <c r="M102" i="3"/>
  <c r="A102" i="3" s="1"/>
  <c r="M103" i="3"/>
  <c r="A103" i="3" s="1"/>
  <c r="M104" i="3"/>
  <c r="A104" i="3" s="1"/>
  <c r="M105" i="3"/>
  <c r="N105" i="3" s="1"/>
  <c r="M106" i="3"/>
  <c r="A106" i="3" s="1"/>
  <c r="M107" i="3"/>
  <c r="A107" i="3" s="1"/>
  <c r="M108" i="3"/>
  <c r="N108" i="3" s="1"/>
  <c r="M109" i="3"/>
  <c r="A109" i="3" s="1"/>
  <c r="N109" i="3"/>
  <c r="M110" i="3"/>
  <c r="A110" i="3" s="1"/>
  <c r="M9" i="5"/>
  <c r="M10" i="5"/>
  <c r="M11" i="5"/>
  <c r="M12" i="5"/>
  <c r="M13" i="5"/>
  <c r="M14" i="5"/>
  <c r="M15" i="5"/>
  <c r="M16" i="5"/>
  <c r="M17" i="5"/>
  <c r="M18" i="5"/>
  <c r="M19" i="5"/>
  <c r="M20" i="5"/>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M4" i="4"/>
  <c r="M5" i="4"/>
  <c r="M6" i="4"/>
  <c r="M7" i="4"/>
  <c r="M8" i="4"/>
  <c r="M9" i="4"/>
  <c r="M10" i="4"/>
  <c r="M11" i="4"/>
  <c r="M12" i="4"/>
  <c r="M13" i="4"/>
  <c r="M7"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M2" i="5"/>
  <c r="N2" i="5" s="1"/>
  <c r="M3" i="5"/>
  <c r="M4" i="5"/>
  <c r="M5" i="5"/>
  <c r="M6" i="5"/>
  <c r="M7" i="5"/>
  <c r="M8" i="5"/>
  <c r="N5" i="5" l="1"/>
  <c r="N100" i="3"/>
  <c r="N4" i="5"/>
  <c r="N103" i="3"/>
  <c r="N3" i="5"/>
  <c r="N85" i="3"/>
  <c r="N3" i="4"/>
  <c r="A3" i="4" s="1"/>
  <c r="N79" i="3"/>
  <c r="N96" i="3"/>
  <c r="N62" i="3"/>
  <c r="N106" i="3"/>
  <c r="N83" i="3"/>
  <c r="A71" i="3"/>
  <c r="N72" i="3"/>
  <c r="N8" i="5"/>
  <c r="N86" i="3"/>
  <c r="N66" i="3"/>
  <c r="N7" i="5"/>
  <c r="N97" i="3"/>
  <c r="A105" i="3"/>
  <c r="N102" i="3"/>
  <c r="N61" i="3"/>
  <c r="A81" i="3"/>
  <c r="A68" i="3"/>
  <c r="N73" i="3"/>
  <c r="N64" i="3"/>
  <c r="A77" i="3"/>
  <c r="A67" i="3"/>
  <c r="N11" i="5"/>
  <c r="A11" i="5" s="1"/>
  <c r="N4" i="4"/>
  <c r="N10" i="5"/>
  <c r="A10" i="5" s="1"/>
  <c r="N99" i="3"/>
  <c r="N88" i="3"/>
  <c r="N87" i="3"/>
  <c r="N18" i="5"/>
  <c r="A18" i="5" s="1"/>
  <c r="N110" i="3"/>
  <c r="N101" i="3"/>
  <c r="N58" i="3"/>
  <c r="N9" i="5"/>
  <c r="A9" i="5" s="1"/>
  <c r="N15" i="5"/>
  <c r="A15" i="5" s="1"/>
  <c r="N11" i="4"/>
  <c r="A11" i="4" s="1"/>
  <c r="A63" i="3"/>
  <c r="N10" i="4"/>
  <c r="A10" i="4" s="1"/>
  <c r="A98" i="3"/>
  <c r="N14" i="5"/>
  <c r="A14" i="5" s="1"/>
  <c r="A56" i="3"/>
  <c r="A95" i="3"/>
  <c r="N13" i="4"/>
  <c r="A13" i="4" s="1"/>
  <c r="A108" i="3"/>
  <c r="N26" i="5"/>
  <c r="A26" i="5" s="1"/>
  <c r="A94" i="3"/>
  <c r="N22" i="5"/>
  <c r="A22" i="5" s="1"/>
  <c r="N12" i="4"/>
  <c r="A12" i="4" s="1"/>
  <c r="N25" i="5"/>
  <c r="A25" i="5" s="1"/>
  <c r="N6" i="5"/>
  <c r="A6" i="5" s="1"/>
  <c r="N6" i="4"/>
  <c r="A6" i="4" s="1"/>
  <c r="N12" i="5"/>
  <c r="A12" i="5" s="1"/>
  <c r="N76" i="3"/>
  <c r="N14" i="4"/>
  <c r="A14" i="4" s="1"/>
  <c r="N13" i="5"/>
  <c r="A13" i="5" s="1"/>
  <c r="A84" i="3"/>
  <c r="N107" i="3"/>
  <c r="N92" i="3"/>
  <c r="N69" i="3"/>
  <c r="N54" i="3"/>
  <c r="N90" i="3"/>
  <c r="N75" i="3"/>
  <c r="N60" i="3"/>
  <c r="N17" i="5"/>
  <c r="A17" i="5" s="1"/>
  <c r="N9" i="4"/>
  <c r="A9" i="4" s="1"/>
  <c r="A78" i="3"/>
  <c r="N104" i="3"/>
  <c r="N89" i="3"/>
  <c r="N74" i="3"/>
  <c r="N59" i="3"/>
  <c r="N24" i="5"/>
  <c r="A24" i="5" s="1"/>
  <c r="N23" i="5"/>
  <c r="A23" i="5" s="1"/>
  <c r="A93" i="3"/>
  <c r="N16" i="5"/>
  <c r="A16" i="5" s="1"/>
  <c r="A70" i="3"/>
  <c r="A91" i="3"/>
  <c r="N55" i="3"/>
  <c r="N21" i="5"/>
  <c r="A21" i="5" s="1"/>
  <c r="N3" i="6"/>
  <c r="N7" i="6"/>
  <c r="A7" i="6" s="1"/>
  <c r="N2" i="6"/>
  <c r="N6" i="6"/>
  <c r="N5" i="6"/>
  <c r="N4" i="6"/>
  <c r="N20" i="5"/>
  <c r="A20" i="5" s="1"/>
  <c r="N19" i="5"/>
  <c r="A19" i="5" s="1"/>
  <c r="N15" i="4"/>
  <c r="A15" i="4" s="1"/>
  <c r="N40" i="4"/>
  <c r="A40" i="4" s="1"/>
  <c r="N39" i="4"/>
  <c r="A39" i="4" s="1"/>
  <c r="N25" i="4"/>
  <c r="A25" i="4" s="1"/>
  <c r="N38" i="4"/>
  <c r="A38" i="4" s="1"/>
  <c r="N24" i="4"/>
  <c r="A24" i="4" s="1"/>
  <c r="N37" i="4"/>
  <c r="A37" i="4" s="1"/>
  <c r="N23" i="4"/>
  <c r="A23" i="4" s="1"/>
  <c r="N44" i="4"/>
  <c r="A44" i="4" s="1"/>
  <c r="N30" i="4"/>
  <c r="A30" i="4" s="1"/>
  <c r="N43" i="4"/>
  <c r="A43" i="4" s="1"/>
  <c r="N29" i="4"/>
  <c r="A29" i="4" s="1"/>
  <c r="N42" i="4"/>
  <c r="A42" i="4" s="1"/>
  <c r="N28" i="4"/>
  <c r="A28" i="4" s="1"/>
  <c r="N36" i="4"/>
  <c r="A36" i="4" s="1"/>
  <c r="N35" i="4"/>
  <c r="A35" i="4" s="1"/>
  <c r="N21" i="4"/>
  <c r="A21" i="4" s="1"/>
  <c r="N34" i="4"/>
  <c r="A34" i="4" s="1"/>
  <c r="N46" i="4"/>
  <c r="A46" i="4" s="1"/>
  <c r="N32" i="4"/>
  <c r="A32" i="4" s="1"/>
  <c r="N18" i="4"/>
  <c r="A18" i="4" s="1"/>
  <c r="N41" i="4"/>
  <c r="A41" i="4" s="1"/>
  <c r="N27" i="4"/>
  <c r="A27" i="4" s="1"/>
  <c r="N20" i="4"/>
  <c r="A20" i="4" s="1"/>
  <c r="N47" i="4"/>
  <c r="A47" i="4" s="1"/>
  <c r="N33" i="4"/>
  <c r="A33" i="4" s="1"/>
  <c r="N26" i="4"/>
  <c r="A26" i="4" s="1"/>
  <c r="N19" i="4"/>
  <c r="A19" i="4" s="1"/>
  <c r="N45" i="4"/>
  <c r="A45" i="4" s="1"/>
  <c r="N31" i="4"/>
  <c r="A31" i="4" s="1"/>
  <c r="N17" i="4"/>
  <c r="A17" i="4" s="1"/>
  <c r="N16" i="4"/>
  <c r="A16" i="4" s="1"/>
  <c r="N22" i="4"/>
  <c r="A22" i="4" s="1"/>
  <c r="N8" i="4"/>
  <c r="A8" i="4" s="1"/>
  <c r="A4" i="4"/>
  <c r="N7" i="4"/>
  <c r="A7" i="4" s="1"/>
  <c r="A2" i="4"/>
  <c r="N5" i="4"/>
  <c r="A5" i="4" s="1"/>
  <c r="A5" i="6" l="1"/>
  <c r="A6" i="6"/>
  <c r="A7" i="5"/>
  <c r="A8" i="5"/>
  <c r="A4" i="5"/>
  <c r="A5" i="5"/>
  <c r="H3" i="6"/>
  <c r="A3" i="6"/>
  <c r="M8" i="6"/>
  <c r="A8" i="6" s="1"/>
  <c r="M9" i="6"/>
  <c r="A9" i="6" s="1"/>
  <c r="M10" i="6"/>
  <c r="A10" i="6" s="1"/>
  <c r="M11" i="6"/>
  <c r="A11" i="6" s="1"/>
  <c r="M12" i="6"/>
  <c r="A12" i="6" s="1"/>
  <c r="M13" i="6"/>
  <c r="N13" i="6" s="1"/>
  <c r="M14" i="6"/>
  <c r="A14" i="6" s="1"/>
  <c r="M15" i="6"/>
  <c r="N15" i="6" s="1"/>
  <c r="M16" i="6"/>
  <c r="N16" i="6" s="1"/>
  <c r="M17" i="6"/>
  <c r="A17" i="6" s="1"/>
  <c r="M18" i="6"/>
  <c r="N18" i="6" s="1"/>
  <c r="M19" i="6"/>
  <c r="A19" i="6" s="1"/>
  <c r="M20" i="6"/>
  <c r="A20" i="6" s="1"/>
  <c r="M21" i="6"/>
  <c r="N21" i="6" s="1"/>
  <c r="M22" i="6"/>
  <c r="A22" i="6" s="1"/>
  <c r="M23" i="6"/>
  <c r="A23" i="6" s="1"/>
  <c r="M24" i="6"/>
  <c r="A24" i="6" s="1"/>
  <c r="M25" i="6"/>
  <c r="N25" i="6" s="1"/>
  <c r="M26" i="6"/>
  <c r="A26" i="6" s="1"/>
  <c r="M27" i="6"/>
  <c r="A27" i="6" s="1"/>
  <c r="M28" i="6"/>
  <c r="M29" i="6"/>
  <c r="A29" i="6" s="1"/>
  <c r="M30" i="6"/>
  <c r="A30" i="6" s="1"/>
  <c r="M31" i="6"/>
  <c r="A31" i="6" s="1"/>
  <c r="M32" i="6"/>
  <c r="M33" i="6"/>
  <c r="A33" i="6" s="1"/>
  <c r="M34" i="6"/>
  <c r="A34" i="6" s="1"/>
  <c r="M35" i="6"/>
  <c r="N35" i="6" s="1"/>
  <c r="M36" i="6"/>
  <c r="M37" i="6"/>
  <c r="A37" i="6" s="1"/>
  <c r="M38" i="6"/>
  <c r="A38" i="6" s="1"/>
  <c r="M39" i="6"/>
  <c r="M40" i="6"/>
  <c r="A40" i="6" s="1"/>
  <c r="M41" i="6"/>
  <c r="A41" i="6" s="1"/>
  <c r="M42" i="6"/>
  <c r="A42" i="6" s="1"/>
  <c r="M43" i="6"/>
  <c r="M44" i="6"/>
  <c r="A44" i="6" s="1"/>
  <c r="M45" i="6"/>
  <c r="A45" i="6" s="1"/>
  <c r="M46" i="6"/>
  <c r="M47" i="6"/>
  <c r="A47" i="6" s="1"/>
  <c r="M48" i="6"/>
  <c r="A48" i="6" s="1"/>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M70" i="6"/>
  <c r="A70" i="6" s="1"/>
  <c r="M71" i="6"/>
  <c r="A71" i="6" s="1"/>
  <c r="M72" i="6"/>
  <c r="A72" i="6" s="1"/>
  <c r="M73" i="6"/>
  <c r="A73" i="6" s="1"/>
  <c r="M74" i="6"/>
  <c r="M75" i="6"/>
  <c r="A75" i="6" s="1"/>
  <c r="M76" i="6"/>
  <c r="A76" i="6" s="1"/>
  <c r="M77" i="6"/>
  <c r="N77" i="6" s="1"/>
  <c r="M78" i="6"/>
  <c r="A78" i="6" s="1"/>
  <c r="M79" i="6"/>
  <c r="A79" i="6" s="1"/>
  <c r="M80" i="6"/>
  <c r="A80" i="6" s="1"/>
  <c r="M81" i="6"/>
  <c r="M82" i="6"/>
  <c r="A82" i="6" s="1"/>
  <c r="M83" i="6"/>
  <c r="A83" i="6" s="1"/>
  <c r="M84" i="6"/>
  <c r="A84" i="6" s="1"/>
  <c r="M85" i="6"/>
  <c r="A85" i="6" s="1"/>
  <c r="M86" i="6"/>
  <c r="A86" i="6" s="1"/>
  <c r="M87" i="6"/>
  <c r="A87" i="6" s="1"/>
  <c r="M88" i="6"/>
  <c r="M89" i="6"/>
  <c r="A89" i="6" s="1"/>
  <c r="M90" i="6"/>
  <c r="A90" i="6" s="1"/>
  <c r="M91" i="6"/>
  <c r="N91" i="6" s="1"/>
  <c r="M92" i="6"/>
  <c r="A92" i="6" s="1"/>
  <c r="M93" i="6"/>
  <c r="A93" i="6" s="1"/>
  <c r="M94" i="6"/>
  <c r="A94" i="6" s="1"/>
  <c r="M95" i="6"/>
  <c r="M96" i="6"/>
  <c r="A96" i="6" s="1"/>
  <c r="M97" i="6"/>
  <c r="A97" i="6" s="1"/>
  <c r="M98" i="6"/>
  <c r="A98" i="6" s="1"/>
  <c r="M99" i="6"/>
  <c r="A99" i="6" s="1"/>
  <c r="M100" i="6"/>
  <c r="A100" i="6" s="1"/>
  <c r="M101" i="6"/>
  <c r="A101" i="6" s="1"/>
  <c r="M102" i="6"/>
  <c r="M103" i="6"/>
  <c r="A103" i="6" s="1"/>
  <c r="M104" i="6"/>
  <c r="A104" i="6" s="1"/>
  <c r="M105" i="6"/>
  <c r="N105" i="6" s="1"/>
  <c r="M106" i="6"/>
  <c r="M107" i="6"/>
  <c r="A107" i="6" s="1"/>
  <c r="M108" i="6"/>
  <c r="N108" i="6" s="1"/>
  <c r="M109" i="6"/>
  <c r="M110" i="6"/>
  <c r="N110" i="6" s="1"/>
  <c r="M111" i="6"/>
  <c r="A111" i="6" s="1"/>
  <c r="M112" i="6"/>
  <c r="A112" i="6" s="1"/>
  <c r="M113" i="6"/>
  <c r="A113" i="6" s="1"/>
  <c r="M114" i="6"/>
  <c r="A114" i="6" s="1"/>
  <c r="M115" i="6"/>
  <c r="A115" i="6" s="1"/>
  <c r="M116" i="6"/>
  <c r="M117" i="6"/>
  <c r="A117" i="6" s="1"/>
  <c r="M118" i="6"/>
  <c r="A118" i="6" s="1"/>
  <c r="M119" i="6"/>
  <c r="N119" i="6" s="1"/>
  <c r="M120" i="6"/>
  <c r="A120" i="6" s="1"/>
  <c r="M121" i="6"/>
  <c r="M122" i="6"/>
  <c r="A122" i="6" s="1"/>
  <c r="M123" i="6"/>
  <c r="M124" i="6"/>
  <c r="A124" i="6" s="1"/>
  <c r="M125" i="6"/>
  <c r="A125" i="6" s="1"/>
  <c r="M126" i="6"/>
  <c r="M127" i="6"/>
  <c r="A127" i="6" s="1"/>
  <c r="M128" i="6"/>
  <c r="M129" i="6"/>
  <c r="A129" i="6" s="1"/>
  <c r="M130" i="6"/>
  <c r="M131" i="6"/>
  <c r="A131" i="6" s="1"/>
  <c r="M132" i="6"/>
  <c r="A132" i="6" s="1"/>
  <c r="M133" i="6"/>
  <c r="N133" i="6" s="1"/>
  <c r="M134" i="6"/>
  <c r="N134" i="6" s="1"/>
  <c r="M135" i="6"/>
  <c r="A135" i="6" s="1"/>
  <c r="M136" i="6"/>
  <c r="M137" i="6"/>
  <c r="M138" i="6"/>
  <c r="A138" i="6" s="1"/>
  <c r="M139" i="6"/>
  <c r="A139" i="6" s="1"/>
  <c r="M140" i="6"/>
  <c r="A140" i="6" s="1"/>
  <c r="M141" i="6"/>
  <c r="M142" i="6"/>
  <c r="M143" i="6"/>
  <c r="A143" i="6" s="1"/>
  <c r="M144" i="6"/>
  <c r="M145" i="6"/>
  <c r="A145" i="6" s="1"/>
  <c r="M146" i="6"/>
  <c r="A146" i="6" s="1"/>
  <c r="M147" i="6"/>
  <c r="N147" i="6" s="1"/>
  <c r="M148" i="6"/>
  <c r="A148" i="6" s="1"/>
  <c r="M149" i="6"/>
  <c r="A149" i="6" s="1"/>
  <c r="M150" i="6"/>
  <c r="A150" i="6" s="1"/>
  <c r="M151" i="6"/>
  <c r="M152" i="6"/>
  <c r="A152" i="6" s="1"/>
  <c r="M153" i="6"/>
  <c r="A153" i="6" s="1"/>
  <c r="M154" i="6"/>
  <c r="A154" i="6" s="1"/>
  <c r="M155" i="6"/>
  <c r="A155" i="6" s="1"/>
  <c r="M156" i="6"/>
  <c r="M157" i="6"/>
  <c r="A157" i="6" s="1"/>
  <c r="M158" i="6"/>
  <c r="M159" i="6"/>
  <c r="A159" i="6" s="1"/>
  <c r="M160" i="6"/>
  <c r="A160" i="6" s="1"/>
  <c r="M161" i="6"/>
  <c r="N161" i="6" s="1"/>
  <c r="M162" i="6"/>
  <c r="A162" i="6" s="1"/>
  <c r="M163" i="6"/>
  <c r="A163" i="6" s="1"/>
  <c r="M164" i="6"/>
  <c r="N164" i="6" s="1"/>
  <c r="M165" i="6"/>
  <c r="M166" i="6"/>
  <c r="A166" i="6" s="1"/>
  <c r="M167" i="6"/>
  <c r="A167" i="6" s="1"/>
  <c r="M168" i="6"/>
  <c r="M169" i="6"/>
  <c r="A169" i="6" s="1"/>
  <c r="M170" i="6"/>
  <c r="A170" i="6" s="1"/>
  <c r="M171" i="6"/>
  <c r="A171" i="6" s="1"/>
  <c r="M172" i="6"/>
  <c r="M173" i="6"/>
  <c r="A173" i="6" s="1"/>
  <c r="M174" i="6"/>
  <c r="A174" i="6" s="1"/>
  <c r="M175" i="6"/>
  <c r="N175" i="6" s="1"/>
  <c r="M176" i="6"/>
  <c r="A176" i="6" s="1"/>
  <c r="M177" i="6"/>
  <c r="A177" i="6" s="1"/>
  <c r="M178" i="6"/>
  <c r="A178" i="6" s="1"/>
  <c r="M179" i="6"/>
  <c r="M180" i="6"/>
  <c r="A180" i="6" s="1"/>
  <c r="M181" i="6"/>
  <c r="A181" i="6" s="1"/>
  <c r="M182" i="6"/>
  <c r="A182" i="6" s="1"/>
  <c r="M183" i="6"/>
  <c r="M184" i="6"/>
  <c r="A184" i="6" s="1"/>
  <c r="M185" i="6"/>
  <c r="A185" i="6" s="1"/>
  <c r="M186" i="6"/>
  <c r="M187" i="6"/>
  <c r="A187" i="6" s="1"/>
  <c r="M188" i="6"/>
  <c r="A188" i="6" s="1"/>
  <c r="M189" i="6"/>
  <c r="N189" i="6" s="1"/>
  <c r="M190" i="6"/>
  <c r="N190" i="6" s="1"/>
  <c r="M191" i="6"/>
  <c r="A191" i="6" s="1"/>
  <c r="M192" i="6"/>
  <c r="A192" i="6" s="1"/>
  <c r="M193" i="6"/>
  <c r="M194" i="6"/>
  <c r="A194" i="6" s="1"/>
  <c r="M195" i="6"/>
  <c r="A195" i="6" s="1"/>
  <c r="M196" i="6"/>
  <c r="A196" i="6" s="1"/>
  <c r="M197" i="6"/>
  <c r="A197" i="6" s="1"/>
  <c r="M198" i="6"/>
  <c r="M199" i="6"/>
  <c r="A199" i="6" s="1"/>
  <c r="M200" i="6"/>
  <c r="A3" i="5"/>
  <c r="M27" i="5"/>
  <c r="M28" i="5"/>
  <c r="M29" i="5"/>
  <c r="N29" i="5" s="1"/>
  <c r="M30" i="5"/>
  <c r="N30" i="5" s="1"/>
  <c r="M31" i="5"/>
  <c r="N31" i="5" s="1"/>
  <c r="M32" i="5"/>
  <c r="N32" i="5" s="1"/>
  <c r="M33" i="5"/>
  <c r="N33" i="5" s="1"/>
  <c r="M34" i="5"/>
  <c r="A34" i="5" s="1"/>
  <c r="M35" i="5"/>
  <c r="N35" i="5" s="1"/>
  <c r="M36" i="5"/>
  <c r="A36" i="5" s="1"/>
  <c r="M37" i="5"/>
  <c r="N37" i="5" s="1"/>
  <c r="M38" i="5"/>
  <c r="A38" i="5" s="1"/>
  <c r="M39" i="5"/>
  <c r="A39" i="5" s="1"/>
  <c r="M40" i="5"/>
  <c r="A40" i="5" s="1"/>
  <c r="M41" i="5"/>
  <c r="A41" i="5" s="1"/>
  <c r="M42" i="5"/>
  <c r="A42" i="5" s="1"/>
  <c r="M43" i="5"/>
  <c r="A43" i="5" s="1"/>
  <c r="M44" i="5"/>
  <c r="A44" i="5" s="1"/>
  <c r="M45" i="5"/>
  <c r="A45" i="5" s="1"/>
  <c r="M46" i="5"/>
  <c r="N46" i="5" s="1"/>
  <c r="M47" i="5"/>
  <c r="A47" i="5" s="1"/>
  <c r="M48" i="5"/>
  <c r="A48" i="5" s="1"/>
  <c r="M49" i="5"/>
  <c r="N49" i="5" s="1"/>
  <c r="M50" i="5"/>
  <c r="A50" i="5" s="1"/>
  <c r="M51" i="5"/>
  <c r="N51" i="5" s="1"/>
  <c r="M52" i="5"/>
  <c r="A52" i="5" s="1"/>
  <c r="M53" i="5"/>
  <c r="A53" i="5" s="1"/>
  <c r="M54" i="5"/>
  <c r="A54" i="5" s="1"/>
  <c r="M55" i="5"/>
  <c r="A55" i="5" s="1"/>
  <c r="M56" i="5"/>
  <c r="A56" i="5" s="1"/>
  <c r="M57" i="5"/>
  <c r="A57" i="5" s="1"/>
  <c r="M58" i="5"/>
  <c r="A58" i="5" s="1"/>
  <c r="M59" i="5"/>
  <c r="A59" i="5" s="1"/>
  <c r="M60" i="5"/>
  <c r="N60" i="5" s="1"/>
  <c r="M61" i="5"/>
  <c r="A61" i="5" s="1"/>
  <c r="M62" i="5"/>
  <c r="A62" i="5" s="1"/>
  <c r="M63" i="5"/>
  <c r="N63" i="5" s="1"/>
  <c r="M64" i="5"/>
  <c r="A64" i="5" s="1"/>
  <c r="M65" i="5"/>
  <c r="A65" i="5" s="1"/>
  <c r="M66" i="5"/>
  <c r="A66" i="5" s="1"/>
  <c r="M67" i="5"/>
  <c r="A67" i="5" s="1"/>
  <c r="M68" i="5"/>
  <c r="A68" i="5" s="1"/>
  <c r="M69" i="5"/>
  <c r="N69" i="5" s="1"/>
  <c r="M70" i="5"/>
  <c r="A70" i="5" s="1"/>
  <c r="M71" i="5"/>
  <c r="A71" i="5" s="1"/>
  <c r="M72" i="5"/>
  <c r="A72" i="5" s="1"/>
  <c r="M73" i="5"/>
  <c r="A73" i="5" s="1"/>
  <c r="M74" i="5"/>
  <c r="N74" i="5" s="1"/>
  <c r="M75" i="5"/>
  <c r="A75" i="5" s="1"/>
  <c r="M76" i="5"/>
  <c r="A76" i="5" s="1"/>
  <c r="M77" i="5"/>
  <c r="N77" i="5" s="1"/>
  <c r="M78" i="5"/>
  <c r="A78" i="5" s="1"/>
  <c r="M79" i="5"/>
  <c r="A79" i="5" s="1"/>
  <c r="M80" i="5"/>
  <c r="A80" i="5" s="1"/>
  <c r="M81" i="5"/>
  <c r="A81" i="5" s="1"/>
  <c r="M82" i="5"/>
  <c r="A82" i="5" s="1"/>
  <c r="M83" i="5"/>
  <c r="N83" i="5" s="1"/>
  <c r="M84" i="5"/>
  <c r="A84" i="5" s="1"/>
  <c r="M85" i="5"/>
  <c r="A85" i="5" s="1"/>
  <c r="M86" i="5"/>
  <c r="A86" i="5" s="1"/>
  <c r="M87" i="5"/>
  <c r="A87" i="5" s="1"/>
  <c r="M88" i="5"/>
  <c r="N88" i="5" s="1"/>
  <c r="M89" i="5"/>
  <c r="A89" i="5" s="1"/>
  <c r="M90" i="5"/>
  <c r="A90" i="5" s="1"/>
  <c r="M91" i="5"/>
  <c r="N91" i="5" s="1"/>
  <c r="M92" i="5"/>
  <c r="A92" i="5" s="1"/>
  <c r="M93" i="5"/>
  <c r="A93" i="5" s="1"/>
  <c r="M94" i="5"/>
  <c r="A94" i="5" s="1"/>
  <c r="M95" i="5"/>
  <c r="A95" i="5" s="1"/>
  <c r="M96" i="5"/>
  <c r="A96" i="5" s="1"/>
  <c r="M97" i="5"/>
  <c r="N97" i="5" s="1"/>
  <c r="M98" i="5"/>
  <c r="A98" i="5" s="1"/>
  <c r="M99" i="5"/>
  <c r="A99" i="5" s="1"/>
  <c r="M100" i="5"/>
  <c r="A100" i="5" s="1"/>
  <c r="M101" i="5"/>
  <c r="A101" i="5" s="1"/>
  <c r="M102" i="5"/>
  <c r="N102" i="5" s="1"/>
  <c r="M103" i="5"/>
  <c r="A103" i="5" s="1"/>
  <c r="M104" i="5"/>
  <c r="A104" i="5" s="1"/>
  <c r="M105" i="5"/>
  <c r="N105" i="5" s="1"/>
  <c r="M106" i="5"/>
  <c r="A106" i="5" s="1"/>
  <c r="M107" i="5"/>
  <c r="A107" i="5" s="1"/>
  <c r="M108" i="5"/>
  <c r="A108" i="5" s="1"/>
  <c r="M109" i="5"/>
  <c r="A109" i="5" s="1"/>
  <c r="M110" i="5"/>
  <c r="A110" i="5" s="1"/>
  <c r="N110" i="5"/>
  <c r="M111" i="5"/>
  <c r="N111" i="5" s="1"/>
  <c r="M112" i="5"/>
  <c r="A112" i="5" s="1"/>
  <c r="M113" i="5"/>
  <c r="A113" i="5" s="1"/>
  <c r="M114" i="5"/>
  <c r="A114" i="5" s="1"/>
  <c r="M115" i="5"/>
  <c r="A115" i="5" s="1"/>
  <c r="M116" i="5"/>
  <c r="N116" i="5" s="1"/>
  <c r="M117" i="5"/>
  <c r="A117" i="5" s="1"/>
  <c r="M118" i="5"/>
  <c r="A118" i="5" s="1"/>
  <c r="M119" i="5"/>
  <c r="N119" i="5" s="1"/>
  <c r="M120" i="5"/>
  <c r="A120" i="5" s="1"/>
  <c r="M121" i="5"/>
  <c r="A121" i="5" s="1"/>
  <c r="M122" i="5"/>
  <c r="A122" i="5" s="1"/>
  <c r="M123" i="5"/>
  <c r="A123" i="5" s="1"/>
  <c r="M124" i="5"/>
  <c r="A124" i="5" s="1"/>
  <c r="M125" i="5"/>
  <c r="N125" i="5" s="1"/>
  <c r="M126" i="5"/>
  <c r="A126" i="5" s="1"/>
  <c r="M127" i="5"/>
  <c r="A127" i="5" s="1"/>
  <c r="M128" i="5"/>
  <c r="A128" i="5" s="1"/>
  <c r="M129" i="5"/>
  <c r="A129" i="5" s="1"/>
  <c r="M130" i="5"/>
  <c r="N130" i="5" s="1"/>
  <c r="M131" i="5"/>
  <c r="A131" i="5" s="1"/>
  <c r="M132" i="5"/>
  <c r="A132" i="5" s="1"/>
  <c r="M133" i="5"/>
  <c r="N133" i="5" s="1"/>
  <c r="M134" i="5"/>
  <c r="A134" i="5" s="1"/>
  <c r="M135" i="5"/>
  <c r="A135" i="5" s="1"/>
  <c r="M136" i="5"/>
  <c r="A136" i="5" s="1"/>
  <c r="M137" i="5"/>
  <c r="A137" i="5" s="1"/>
  <c r="M138" i="5"/>
  <c r="A138" i="5" s="1"/>
  <c r="M139" i="5"/>
  <c r="N139" i="5" s="1"/>
  <c r="M140" i="5"/>
  <c r="A140" i="5" s="1"/>
  <c r="M141" i="5"/>
  <c r="A141" i="5" s="1"/>
  <c r="M142" i="5"/>
  <c r="A142" i="5" s="1"/>
  <c r="M143" i="5"/>
  <c r="A143" i="5" s="1"/>
  <c r="M144" i="5"/>
  <c r="N144" i="5" s="1"/>
  <c r="M145" i="5"/>
  <c r="A145" i="5" s="1"/>
  <c r="M146" i="5"/>
  <c r="A146" i="5" s="1"/>
  <c r="M147" i="5"/>
  <c r="N147" i="5" s="1"/>
  <c r="M148" i="5"/>
  <c r="A148" i="5" s="1"/>
  <c r="M149" i="5"/>
  <c r="A149" i="5" s="1"/>
  <c r="M150" i="5"/>
  <c r="A150" i="5" s="1"/>
  <c r="M151" i="5"/>
  <c r="A151" i="5" s="1"/>
  <c r="M152" i="5"/>
  <c r="A152" i="5" s="1"/>
  <c r="M153" i="5"/>
  <c r="A153" i="5" s="1"/>
  <c r="M154" i="5"/>
  <c r="A154" i="5" s="1"/>
  <c r="M155" i="5"/>
  <c r="A155" i="5" s="1"/>
  <c r="M156" i="5"/>
  <c r="A156" i="5" s="1"/>
  <c r="M157" i="5"/>
  <c r="A157" i="5" s="1"/>
  <c r="M158" i="5"/>
  <c r="N158" i="5" s="1"/>
  <c r="M159" i="5"/>
  <c r="A159" i="5" s="1"/>
  <c r="M160" i="5"/>
  <c r="A160" i="5" s="1"/>
  <c r="M161" i="5"/>
  <c r="N161" i="5" s="1"/>
  <c r="M162" i="5"/>
  <c r="A162" i="5" s="1"/>
  <c r="M163" i="5"/>
  <c r="A163" i="5" s="1"/>
  <c r="M164" i="5"/>
  <c r="A164" i="5" s="1"/>
  <c r="M165" i="5"/>
  <c r="A165" i="5" s="1"/>
  <c r="M166" i="5"/>
  <c r="A166" i="5" s="1"/>
  <c r="M167" i="5"/>
  <c r="A167" i="5" s="1"/>
  <c r="M168" i="5"/>
  <c r="A168" i="5" s="1"/>
  <c r="M169" i="5"/>
  <c r="A169" i="5" s="1"/>
  <c r="M170" i="5"/>
  <c r="A170" i="5" s="1"/>
  <c r="M171" i="5"/>
  <c r="A171" i="5" s="1"/>
  <c r="M172" i="5"/>
  <c r="N172" i="5" s="1"/>
  <c r="M173" i="5"/>
  <c r="A173" i="5" s="1"/>
  <c r="M174" i="5"/>
  <c r="A174" i="5" s="1"/>
  <c r="M175" i="5"/>
  <c r="N175" i="5" s="1"/>
  <c r="M176" i="5"/>
  <c r="A176" i="5" s="1"/>
  <c r="M177" i="5"/>
  <c r="A177" i="5" s="1"/>
  <c r="M178" i="5"/>
  <c r="A178" i="5" s="1"/>
  <c r="M179" i="5"/>
  <c r="A179" i="5" s="1"/>
  <c r="M180" i="5"/>
  <c r="A180" i="5" s="1"/>
  <c r="M181" i="5"/>
  <c r="A181" i="5" s="1"/>
  <c r="M182" i="5"/>
  <c r="A182" i="5" s="1"/>
  <c r="M183" i="5"/>
  <c r="A183" i="5" s="1"/>
  <c r="M184" i="5"/>
  <c r="A184" i="5" s="1"/>
  <c r="M185" i="5"/>
  <c r="A185" i="5" s="1"/>
  <c r="M186" i="5"/>
  <c r="N186" i="5" s="1"/>
  <c r="M187" i="5"/>
  <c r="A187" i="5" s="1"/>
  <c r="M188" i="5"/>
  <c r="A188" i="5" s="1"/>
  <c r="M189" i="5"/>
  <c r="N189" i="5" s="1"/>
  <c r="M190" i="5"/>
  <c r="A190" i="5" s="1"/>
  <c r="M191" i="5"/>
  <c r="A191" i="5" s="1"/>
  <c r="M192" i="5"/>
  <c r="A192" i="5" s="1"/>
  <c r="M193" i="5"/>
  <c r="A193" i="5" s="1"/>
  <c r="M194" i="5"/>
  <c r="A194" i="5" s="1"/>
  <c r="M195" i="5"/>
  <c r="A195" i="5" s="1"/>
  <c r="M196" i="5"/>
  <c r="A196" i="5" s="1"/>
  <c r="M197" i="5"/>
  <c r="A197" i="5" s="1"/>
  <c r="M198" i="5"/>
  <c r="A198" i="5" s="1"/>
  <c r="M199" i="5"/>
  <c r="A199" i="5" s="1"/>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M145" i="4"/>
  <c r="A145" i="4" s="1"/>
  <c r="M146" i="4"/>
  <c r="A146" i="4" s="1"/>
  <c r="M147" i="4"/>
  <c r="N147" i="4" s="1"/>
  <c r="M148" i="4"/>
  <c r="A148" i="4" s="1"/>
  <c r="M149" i="4"/>
  <c r="A149" i="4" s="1"/>
  <c r="M150" i="4"/>
  <c r="A150" i="4" s="1"/>
  <c r="M151" i="4"/>
  <c r="A151" i="4" s="1"/>
  <c r="M152" i="4"/>
  <c r="A152" i="4" s="1"/>
  <c r="M153" i="4"/>
  <c r="A153" i="4" s="1"/>
  <c r="M154" i="4"/>
  <c r="A154" i="4" s="1"/>
  <c r="N154" i="4"/>
  <c r="M155" i="4"/>
  <c r="A155" i="4" s="1"/>
  <c r="M156" i="4"/>
  <c r="A156" i="4" s="1"/>
  <c r="M157" i="4"/>
  <c r="A157" i="4" s="1"/>
  <c r="M158" i="4"/>
  <c r="A158" i="4" s="1"/>
  <c r="M159" i="4"/>
  <c r="A159" i="4" s="1"/>
  <c r="M160" i="4"/>
  <c r="A160" i="4" s="1"/>
  <c r="M161" i="4"/>
  <c r="N161" i="4" s="1"/>
  <c r="M162" i="4"/>
  <c r="A162" i="4" s="1"/>
  <c r="M163" i="4"/>
  <c r="A163" i="4" s="1"/>
  <c r="M164" i="4"/>
  <c r="A164" i="4" s="1"/>
  <c r="M165" i="4"/>
  <c r="A165" i="4" s="1"/>
  <c r="M166" i="4"/>
  <c r="A166" i="4" s="1"/>
  <c r="M167" i="4"/>
  <c r="A167" i="4" s="1"/>
  <c r="M168" i="4"/>
  <c r="A168" i="4" s="1"/>
  <c r="M169" i="4"/>
  <c r="A169" i="4" s="1"/>
  <c r="M3" i="3"/>
  <c r="M111" i="3"/>
  <c r="A111" i="3" s="1"/>
  <c r="M112" i="3"/>
  <c r="M113" i="3"/>
  <c r="A113" i="3" s="1"/>
  <c r="M114" i="3"/>
  <c r="A114" i="3" s="1"/>
  <c r="M115" i="3"/>
  <c r="A115" i="3" s="1"/>
  <c r="M116" i="3"/>
  <c r="A116" i="3" s="1"/>
  <c r="M117" i="3"/>
  <c r="M118" i="3"/>
  <c r="A118" i="3" s="1"/>
  <c r="M119" i="3"/>
  <c r="M120" i="3"/>
  <c r="M121" i="3"/>
  <c r="M122" i="3"/>
  <c r="A122" i="3" s="1"/>
  <c r="M123" i="3"/>
  <c r="A123" i="3" s="1"/>
  <c r="M124" i="3"/>
  <c r="A124" i="3" s="1"/>
  <c r="M125" i="3"/>
  <c r="A125" i="3" s="1"/>
  <c r="M126" i="3"/>
  <c r="M127" i="3"/>
  <c r="A127" i="3" s="1"/>
  <c r="M128" i="3"/>
  <c r="A128" i="3" s="1"/>
  <c r="M129" i="3"/>
  <c r="A129" i="3" s="1"/>
  <c r="M130" i="3"/>
  <c r="M131" i="3"/>
  <c r="N131" i="3" s="1"/>
  <c r="A131" i="3" s="1"/>
  <c r="M132" i="3"/>
  <c r="M133" i="3"/>
  <c r="N133" i="3" s="1"/>
  <c r="M134" i="3"/>
  <c r="N134" i="3" s="1"/>
  <c r="M135" i="3"/>
  <c r="N135" i="3" s="1"/>
  <c r="A135" i="3" s="1"/>
  <c r="M136" i="3"/>
  <c r="M137" i="3"/>
  <c r="M138" i="3"/>
  <c r="M139" i="3"/>
  <c r="N139" i="3" s="1"/>
  <c r="A139" i="3" s="1"/>
  <c r="M140" i="3"/>
  <c r="N140" i="3" s="1"/>
  <c r="A140" i="3" s="1"/>
  <c r="M141" i="3"/>
  <c r="M142" i="3"/>
  <c r="M143" i="3"/>
  <c r="A143" i="3" s="1"/>
  <c r="M144" i="3"/>
  <c r="M2" i="3"/>
  <c r="N163" i="5" l="1"/>
  <c r="N113" i="6"/>
  <c r="N54" i="5"/>
  <c r="N112" i="6"/>
  <c r="N76" i="6"/>
  <c r="N138" i="5"/>
  <c r="N165" i="4"/>
  <c r="N174" i="5"/>
  <c r="N135" i="5"/>
  <c r="N158" i="4"/>
  <c r="N139" i="6"/>
  <c r="N169" i="4"/>
  <c r="A16" i="6"/>
  <c r="A97" i="5"/>
  <c r="N129" i="3"/>
  <c r="A186" i="5"/>
  <c r="N173" i="5"/>
  <c r="N162" i="5"/>
  <c r="N112" i="5"/>
  <c r="N101" i="5"/>
  <c r="N89" i="5"/>
  <c r="N34" i="6"/>
  <c r="N145" i="5"/>
  <c r="N150" i="6"/>
  <c r="N167" i="4"/>
  <c r="N191" i="5"/>
  <c r="N156" i="5"/>
  <c r="N107" i="5"/>
  <c r="N166" i="5"/>
  <c r="N117" i="5"/>
  <c r="N82" i="5"/>
  <c r="N111" i="6"/>
  <c r="N151" i="4"/>
  <c r="N61" i="5"/>
  <c r="N97" i="6"/>
  <c r="N72" i="6"/>
  <c r="N154" i="5"/>
  <c r="N84" i="5"/>
  <c r="N73" i="5"/>
  <c r="N44" i="6"/>
  <c r="N140" i="5"/>
  <c r="N129" i="5"/>
  <c r="N48" i="5"/>
  <c r="N170" i="6"/>
  <c r="N183" i="5"/>
  <c r="N57" i="5"/>
  <c r="N47" i="5"/>
  <c r="N34" i="5"/>
  <c r="N169" i="6"/>
  <c r="N182" i="5"/>
  <c r="N113" i="5"/>
  <c r="N56" i="5"/>
  <c r="N19" i="6"/>
  <c r="A158" i="5"/>
  <c r="N155" i="4"/>
  <c r="N79" i="5"/>
  <c r="N167" i="6"/>
  <c r="N90" i="6"/>
  <c r="A31" i="5"/>
  <c r="N166" i="4"/>
  <c r="N194" i="5"/>
  <c r="N184" i="5"/>
  <c r="N141" i="5"/>
  <c r="N85" i="5"/>
  <c r="N177" i="6"/>
  <c r="N153" i="6"/>
  <c r="N79" i="6"/>
  <c r="N41" i="6"/>
  <c r="N114" i="6"/>
  <c r="A13" i="6"/>
  <c r="N162" i="4"/>
  <c r="N190" i="5"/>
  <c r="N184" i="6"/>
  <c r="N122" i="6"/>
  <c r="N20" i="6"/>
  <c r="A69" i="5"/>
  <c r="N17" i="6"/>
  <c r="A125" i="5"/>
  <c r="N168" i="4"/>
  <c r="N159" i="4"/>
  <c r="N155" i="5"/>
  <c r="N14" i="6"/>
  <c r="N112" i="3"/>
  <c r="A112" i="3"/>
  <c r="N177" i="5"/>
  <c r="N169" i="5"/>
  <c r="N160" i="5"/>
  <c r="N152" i="5"/>
  <c r="N124" i="5"/>
  <c r="N96" i="5"/>
  <c r="N68" i="5"/>
  <c r="N39" i="5"/>
  <c r="N135" i="6"/>
  <c r="A28" i="5"/>
  <c r="N28" i="5"/>
  <c r="N176" i="5"/>
  <c r="N168" i="5"/>
  <c r="N159" i="5"/>
  <c r="N131" i="5"/>
  <c r="N103" i="5"/>
  <c r="N75" i="5"/>
  <c r="N27" i="5"/>
  <c r="A27" i="5" s="1"/>
  <c r="A15" i="6"/>
  <c r="N121" i="3"/>
  <c r="A121" i="3"/>
  <c r="N149" i="5"/>
  <c r="N121" i="5"/>
  <c r="N93" i="5"/>
  <c r="N65" i="5"/>
  <c r="A37" i="5"/>
  <c r="N176" i="6"/>
  <c r="N166" i="6"/>
  <c r="N132" i="6"/>
  <c r="N120" i="6"/>
  <c r="N48" i="6"/>
  <c r="N119" i="3"/>
  <c r="A119" i="3"/>
  <c r="A139" i="5"/>
  <c r="N120" i="3"/>
  <c r="A120" i="3"/>
  <c r="A111" i="5"/>
  <c r="N117" i="3"/>
  <c r="A117" i="3"/>
  <c r="N198" i="5"/>
  <c r="N127" i="5"/>
  <c r="N99" i="5"/>
  <c r="N71" i="5"/>
  <c r="N53" i="5"/>
  <c r="N43" i="5"/>
  <c r="N152" i="6"/>
  <c r="N26" i="6"/>
  <c r="N12" i="6"/>
  <c r="N126" i="3"/>
  <c r="A126" i="3"/>
  <c r="N11" i="6"/>
  <c r="N45" i="3"/>
  <c r="A45" i="3" s="1"/>
  <c r="N31" i="3"/>
  <c r="A31" i="3" s="1"/>
  <c r="N30" i="3"/>
  <c r="A30" i="3" s="1"/>
  <c r="N41" i="3"/>
  <c r="A41" i="3" s="1"/>
  <c r="N46" i="3"/>
  <c r="A46" i="3" s="1"/>
  <c r="N32" i="3"/>
  <c r="A32" i="3" s="1"/>
  <c r="N29" i="3"/>
  <c r="A29" i="3" s="1"/>
  <c r="N34" i="3"/>
  <c r="A34" i="3" s="1"/>
  <c r="N28" i="3"/>
  <c r="A28" i="3" s="1"/>
  <c r="N43" i="3"/>
  <c r="A43" i="3" s="1"/>
  <c r="N35" i="3"/>
  <c r="A35" i="3" s="1"/>
  <c r="N39" i="3"/>
  <c r="A39" i="3" s="1"/>
  <c r="N33" i="3"/>
  <c r="A33" i="3" s="1"/>
  <c r="N47" i="3"/>
  <c r="A47" i="3" s="1"/>
  <c r="N40" i="3"/>
  <c r="A40" i="3" s="1"/>
  <c r="N37" i="3"/>
  <c r="A37" i="3" s="1"/>
  <c r="N50" i="3"/>
  <c r="A50" i="3" s="1"/>
  <c r="N42" i="3"/>
  <c r="A42" i="3" s="1"/>
  <c r="N44" i="3"/>
  <c r="A44" i="3" s="1"/>
  <c r="N38" i="3"/>
  <c r="A38" i="3" s="1"/>
  <c r="N49" i="3"/>
  <c r="A49" i="3" s="1"/>
  <c r="N36" i="3"/>
  <c r="A36" i="3" s="1"/>
  <c r="N48" i="3"/>
  <c r="A48" i="3" s="1"/>
  <c r="N115" i="3"/>
  <c r="N145" i="4"/>
  <c r="N197" i="5"/>
  <c r="N188" i="5"/>
  <c r="N180" i="5"/>
  <c r="A172" i="5"/>
  <c r="N126" i="5"/>
  <c r="N98" i="5"/>
  <c r="N70" i="5"/>
  <c r="N52" i="5"/>
  <c r="N42" i="5"/>
  <c r="N194" i="6"/>
  <c r="N69" i="6"/>
  <c r="N24" i="6"/>
  <c r="N10" i="6"/>
  <c r="A83" i="5"/>
  <c r="A110" i="6"/>
  <c r="A33" i="5"/>
  <c r="N23" i="6"/>
  <c r="N9" i="6"/>
  <c r="A200" i="5"/>
  <c r="N144" i="4"/>
  <c r="N196" i="5"/>
  <c r="N187" i="5"/>
  <c r="N170" i="5"/>
  <c r="N143" i="5"/>
  <c r="N115" i="5"/>
  <c r="N87" i="5"/>
  <c r="N59" i="5"/>
  <c r="N180" i="6"/>
  <c r="N160" i="6"/>
  <c r="A32" i="5"/>
  <c r="N22" i="6"/>
  <c r="N8" i="6"/>
  <c r="N148" i="4"/>
  <c r="N141" i="4"/>
  <c r="N156" i="4"/>
  <c r="N152" i="4"/>
  <c r="N153" i="4"/>
  <c r="N160" i="4"/>
  <c r="N146" i="4"/>
  <c r="N164" i="4"/>
  <c r="N150" i="4"/>
  <c r="N142" i="4"/>
  <c r="N163" i="4"/>
  <c r="N149" i="4"/>
  <c r="N2" i="3"/>
  <c r="A2" i="3" s="1"/>
  <c r="N20" i="3"/>
  <c r="A20" i="3" s="1"/>
  <c r="N15" i="3"/>
  <c r="A15" i="3" s="1"/>
  <c r="N21" i="3"/>
  <c r="A21" i="3" s="1"/>
  <c r="N4" i="3"/>
  <c r="A4" i="3" s="1"/>
  <c r="N8" i="3"/>
  <c r="A8" i="3" s="1"/>
  <c r="N16" i="3"/>
  <c r="A16" i="3" s="1"/>
  <c r="N27" i="3"/>
  <c r="A27" i="3" s="1"/>
  <c r="N13" i="3"/>
  <c r="A13" i="3" s="1"/>
  <c r="N18" i="3"/>
  <c r="A18" i="3" s="1"/>
  <c r="N10" i="3"/>
  <c r="A10" i="3" s="1"/>
  <c r="N9" i="3"/>
  <c r="A9" i="3" s="1"/>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N195" i="6"/>
  <c r="N93" i="6"/>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<sst xmlns="http://schemas.openxmlformats.org/spreadsheetml/2006/main" count="2438" uniqueCount="859">
  <si>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</si>
  <si>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</si>
  <si>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</si>
  <si>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</si>
  <si>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</si>
  <si>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</si>
  <si>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</si>
  <si>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</si>
  <si>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</si>
  <si>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</si>
  <si>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</si>
  <si>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</si>
  <si>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</si>
  <si>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</si>
  <si>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</si>
  <si>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</si>
  <si>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</si>
  <si>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</si>
  <si>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</si>
  <si>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</si>
  <si>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</si>
  <si>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</si>
  <si>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</si>
  <si>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</si>
  <si>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</si>
  <si>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</si>
  <si>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</si>
  <si>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</si>
  <si>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</si>
  <si>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</si>
  <si>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</si>
  <si>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</si>
  <si>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</si>
  <si>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</si>
  <si>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</si>
  <si>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</si>
  <si>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</si>
  <si>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</si>
  <si>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</si>
  <si>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</si>
  <si>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</si>
  <si>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</si>
  <si>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</si>
  <si>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</si>
  <si>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</si>
  <si>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</si>
  <si>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</si>
  <si>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</si>
  <si>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</si>
  <si>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</si>
  <si>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</si>
  <si>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</si>
  <si>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</si>
  <si>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</si>
  <si>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</si>
  <si>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</si>
  <si>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</si>
  <si>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</si>
  <si>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</si>
  <si>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</si>
  <si>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</si>
  <si>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</si>
  <si>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</si>
  <si>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</si>
  <si>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</si>
  <si>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</si>
  <si>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</si>
  <si>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</si>
  <si>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</si>
  <si>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</si>
  <si>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</si>
  <si>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</si>
  <si>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</si>
  <si>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</si>
  <si>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</si>
  <si>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</si>
  <si>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</si>
  <si>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</si>
  <si>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</si>
  <si>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</si>
  <si>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</si>
  <si>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</si>
  <si>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</si>
  <si>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</si>
  <si>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</si>
  <si>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</si>
  <si>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</si>
  <si>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</si>
  <si>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</si>
  <si>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</si>
  <si>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</si>
  <si>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</si>
  <si>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</si>
  <si>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</si>
  <si>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</si>
  <si>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</si>
  <si>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</si>
  <si>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</si>
  <si>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</si>
  <si>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</si>
  <si>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</si>
  <si>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</si>
  <si>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</si>
  <si>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</si>
  <si>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</si>
  <si>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</si>
  <si>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</si>
  <si>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</si>
  <si>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</si>
  <si>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</si>
  <si>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</si>
  <si>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</si>
  <si>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</si>
  <si>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</si>
  <si>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</si>
  <si>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</si>
  <si>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</si>
  <si>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</si>
  <si>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</si>
  <si>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</si>
  <si>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</si>
  <si>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</si>
  <si>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</si>
  <si>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</si>
  <si>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</si>
  <si>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</si>
  <si>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</si>
  <si>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</si>
  <si>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</si>
  <si>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</si>
  <si>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</si>
  <si>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</si>
  <si>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</si>
  <si>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</si>
  <si>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</si>
  <si>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</si>
  <si>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</si>
  <si>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</si>
  <si>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</si>
  <si>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</si>
  <si>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</si>
  <si>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</si>
  <si>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</si>
  <si>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</si>
  <si>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</si>
  <si>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</si>
  <si>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</si>
  <si>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</si>
  <si>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</si>
  <si>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</si>
  <si>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</si>
  <si>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</si>
  <si>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</si>
  <si>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</si>
  <si>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</si>
  <si>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</si>
  <si>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</si>
  <si>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</si>
  <si>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</si>
  <si>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</si>
  <si>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</si>
  <si>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</si>
  <si>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</si>
  <si>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</si>
  <si>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</si>
  <si>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</si>
  <si>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</si>
  <si>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</si>
  <si>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</si>
  <si>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</si>
  <si>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</si>
  <si>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</si>
  <si>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</si>
  <si>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</si>
  <si>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</si>
  <si>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</si>
  <si>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</si>
  <si>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</si>
  <si>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</si>
  <si>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</si>
  <si>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</si>
  <si>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</si>
  <si>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</si>
  <si>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</si>
  <si>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</si>
  <si>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</si>
  <si>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</si>
  <si>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</si>
  <si>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</si>
  <si>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</si>
  <si>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</si>
  <si>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</si>
  <si>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</si>
  <si>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</si>
  <si>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</si>
  <si>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</si>
  <si>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</si>
  <si>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</si>
  <si>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</si>
  <si>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</si>
  <si>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</si>
  <si>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</si>
  <si>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</si>
  <si>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</si>
  <si>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</si>
  <si>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</si>
  <si>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</si>
  <si>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</si>
  <si>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</si>
  <si>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</si>
  <si>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</si>
  <si>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</si>
  <si>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</si>
  <si>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</si>
  <si>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</si>
  <si>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</si>
  <si>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</si>
  <si>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</si>
  <si>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</si>
  <si>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</si>
  <si>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</si>
  <si>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</si>
  <si>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</si>
  <si>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</si>
  <si>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</si>
  <si>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</si>
  <si>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</si>
  <si>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</si>
  <si>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</si>
  <si>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</si>
  <si>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</si>
  <si>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</si>
  <si>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</si>
  <si>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</si>
  <si>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</si>
  <si>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</si>
  <si>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</si>
  <si>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</si>
  <si>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</si>
  <si>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</si>
  <si>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</si>
  <si>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</si>
  <si>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</si>
  <si>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</si>
  <si>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</si>
  <si>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</si>
  <si>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</si>
  <si>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</si>
  <si>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</si>
  <si>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</si>
  <si>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</si>
  <si>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</si>
  <si>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</si>
  <si>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</si>
  <si>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</si>
  <si>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</si>
  <si>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</si>
  <si>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</si>
  <si>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</si>
  <si>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</si>
  <si>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</si>
  <si>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</si>
  <si>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</si>
  <si>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</si>
  <si>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</si>
  <si>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</si>
  <si>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</si>
  <si>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</si>
  <si>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</si>
  <si>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</si>
  <si>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</si>
  <si>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</si>
  <si>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</si>
  <si>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</si>
  <si>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</si>
  <si>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</si>
  <si>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</si>
  <si>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</si>
  <si>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</si>
  <si>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</si>
  <si>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</si>
  <si>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</si>
  <si>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</si>
  <si>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</si>
  <si>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</si>
  <si>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</si>
  <si>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</si>
  <si>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</si>
  <si>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</si>
  <si>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</si>
  <si>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</si>
  <si>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</si>
  <si>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</si>
  <si>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</si>
  <si>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</si>
  <si>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</si>
  <si>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</si>
  <si>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</si>
  <si>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</si>
  <si>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</si>
  <si>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</si>
  <si>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</si>
  <si>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</si>
  <si>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</si>
  <si>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</si>
  <si>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</si>
  <si>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</si>
  <si>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</si>
  <si>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</si>
  <si>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</si>
  <si>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</si>
  <si>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</si>
  <si>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</si>
  <si>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</si>
  <si>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</si>
  <si>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</si>
  <si>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</si>
  <si>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</si>
  <si>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</si>
  <si>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</si>
  <si>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</si>
  <si>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</si>
  <si>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</si>
  <si>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</si>
  <si>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</si>
  <si>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</si>
  <si>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</si>
  <si>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</si>
  <si>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</si>
  <si>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</si>
  <si>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</si>
  <si>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</si>
  <si>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</si>
  <si>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</si>
  <si>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</si>
  <si>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</si>
  <si>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</si>
  <si>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</si>
  <si>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</si>
  <si>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</si>
  <si>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</si>
  <si>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</si>
  <si>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</si>
  <si>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</si>
  <si>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</si>
  <si>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</si>
  <si>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</si>
  <si>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</si>
  <si>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</si>
  <si>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</si>
  <si>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</si>
  <si>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</si>
  <si>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</si>
  <si>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</si>
  <si>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</si>
  <si>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</si>
  <si>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</si>
  <si>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</si>
  <si>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</si>
  <si>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</si>
  <si>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</si>
  <si>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</si>
  <si>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</si>
  <si>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</si>
  <si>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</si>
  <si>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</si>
  <si>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</si>
  <si>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</si>
  <si>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</si>
  <si>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</si>
  <si>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</si>
  <si>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</si>
  <si>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</si>
  <si>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</si>
  <si>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</si>
  <si>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</si>
  <si>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</si>
  <si>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</si>
  <si>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</si>
  <si>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</si>
  <si>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</si>
  <si>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</si>
  <si>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</si>
  <si>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</si>
  <si>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</si>
  <si>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</si>
  <si>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</si>
  <si>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</si>
  <si>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</si>
  <si>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</si>
  <si>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</si>
  <si>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</si>
  <si>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</si>
  <si>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</si>
  <si>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</si>
  <si>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</si>
  <si>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</si>
  <si>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</si>
  <si>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</si>
  <si>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</si>
  <si>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</si>
  <si>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</si>
  <si>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</si>
  <si>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</si>
  <si>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</si>
  <si>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</si>
  <si>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</si>
  <si>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</si>
  <si>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</si>
  <si>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</si>
  <si>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</si>
  <si>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</si>
  <si>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</si>
  <si>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</si>
  <si>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</si>
  <si>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</si>
  <si>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</si>
  <si>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</si>
  <si>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</si>
  <si>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</si>
  <si>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</si>
  <si>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</si>
  <si>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</si>
  <si>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</si>
  <si>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</si>
  <si>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</si>
  <si>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</si>
  <si>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</si>
  <si>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</si>
  <si>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</si>
  <si>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</si>
  <si>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</si>
  <si>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</si>
  <si>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</si>
  <si>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</si>
  <si>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</si>
  <si>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</si>
  <si>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</si>
  <si>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</si>
  <si>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</si>
  <si>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</si>
  <si>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</si>
  <si>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</si>
  <si>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</si>
  <si>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</si>
  <si>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</si>
  <si>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</si>
  <si>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</si>
  <si>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</si>
  <si>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</si>
  <si>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</si>
  <si>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</si>
  <si>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</si>
  <si>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</si>
  <si>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</si>
  <si>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</si>
  <si>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</si>
  <si>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</si>
  <si>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</si>
  <si>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</si>
  <si>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</si>
  <si>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</si>
  <si>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</si>
  <si>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</si>
  <si>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</si>
  <si>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</si>
  <si>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</si>
  <si>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</si>
  <si>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</si>
  <si>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</si>
  <si>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</si>
  <si>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</si>
  <si>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</si>
  <si>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</si>
  <si>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</si>
  <si>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</si>
  <si>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</si>
  <si>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</si>
  <si>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</si>
  <si>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</si>
  <si>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</si>
  <si>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</si>
  <si>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</si>
  <si>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</si>
  <si>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</si>
  <si>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</si>
  <si>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</si>
  <si>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</si>
  <si>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</si>
  <si>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</si>
  <si>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</si>
  <si>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</si>
  <si>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</si>
  <si>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</si>
  <si>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</si>
  <si>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</si>
  <si>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</si>
  <si>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</si>
  <si>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</si>
  <si>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</si>
  <si>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</si>
  <si>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</si>
  <si>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</si>
  <si>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</si>
  <si>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</si>
  <si>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</si>
  <si>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</si>
  <si>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</si>
  <si>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</si>
  <si>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</si>
  <si>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</si>
  <si>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</si>
  <si>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</si>
  <si>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</si>
  <si>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</si>
  <si>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</si>
  <si>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</si>
  <si>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</si>
  <si>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</si>
  <si>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</si>
  <si>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</si>
  <si>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</si>
  <si>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</si>
  <si>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</si>
  <si>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</si>
  <si>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</si>
  <si>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</si>
  <si>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</si>
  <si>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</si>
  <si>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</si>
  <si>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</si>
  <si>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</si>
  <si>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</si>
  <si>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</si>
  <si>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</si>
  <si>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</si>
  <si>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</si>
  <si>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</si>
  <si>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</si>
  <si>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</si>
  <si>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</si>
  <si>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</si>
  <si>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</si>
  <si>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</si>
  <si>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</si>
  <si>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</si>
  <si>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</si>
  <si>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</si>
  <si>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</si>
  <si>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</si>
  <si>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</si>
  <si>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</si>
  <si>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</si>
  <si>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</si>
  <si>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</si>
  <si>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</si>
  <si>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</si>
  <si>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</si>
  <si>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</si>
  <si>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</si>
  <si>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</si>
  <si>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</si>
  <si>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</si>
  <si>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</si>
  <si>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</si>
  <si>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</si>
  <si>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</si>
  <si>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</si>
  <si>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</si>
  <si>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</si>
  <si>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</si>
  <si>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</si>
  <si>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</si>
  <si>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</si>
  <si>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</si>
  <si>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</si>
  <si>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</si>
  <si>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</si>
  <si>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</si>
  <si>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</si>
  <si>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</si>
  <si>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</si>
  <si>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</si>
  <si>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</si>
  <si>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</si>
  <si>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</si>
  <si>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</si>
  <si>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</si>
  <si>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</si>
  <si>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</si>
  <si>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</si>
  <si>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</si>
  <si>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</si>
  <si>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</si>
  <si>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</si>
  <si>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</si>
  <si>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</si>
  <si>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</si>
  <si>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</si>
  <si>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</si>
  <si>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</si>
  <si>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</si>
  <si>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</si>
  <si>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</si>
  <si>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</si>
  <si>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</si>
  <si>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</si>
  <si>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</si>
  <si>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</si>
  <si>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</si>
  <si>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</si>
  <si>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</si>
  <si>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</si>
  <si>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</si>
  <si>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</si>
  <si>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</si>
  <si>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</si>
  <si>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</si>
  <si>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</si>
  <si>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</si>
  <si>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</si>
  <si>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</si>
  <si>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</si>
  <si>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</si>
  <si>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</si>
  <si>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</si>
  <si>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</si>
  <si>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</si>
  <si>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</si>
  <si>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</si>
  <si>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</si>
  <si>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</si>
  <si>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</si>
  <si>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</si>
  <si>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</si>
  <si>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</si>
  <si>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Which set correctly matches the formerly UK domiciled individual conditions for IHT?</t>
  </si>
  <si>
    <t>Born in UK only</t>
  </si>
  <si>
    <t>All listed elements are required under that route in your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</si>
  <si>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</si>
  <si>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</si>
  <si>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</si>
  <si>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</si>
  <si>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</si>
  <si>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</si>
  <si>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</si>
  <si>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</si>
  <si>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</si>
  <si>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</si>
  <si>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</si>
  <si>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</si>
  <si>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</si>
  <si>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</si>
  <si>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</si>
  <si>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</si>
  <si>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</si>
  <si>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</si>
  <si>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</si>
  <si>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</si>
  <si>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</si>
  <si>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</si>
  <si>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</si>
  <si>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</si>
  <si>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</si>
  <si>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</si>
  <si>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</si>
  <si>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</si>
  <si>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</si>
  <si>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</si>
  <si>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</si>
  <si>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</si>
  <si>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</si>
  <si>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</si>
  <si>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</si>
  <si>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</si>
  <si>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</si>
  <si>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</si>
  <si>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</si>
  <si>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</si>
  <si>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</si>
  <si>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</si>
  <si>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</si>
  <si>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</si>
  <si>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</si>
  <si>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</si>
  <si>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</si>
  <si>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</si>
  <si>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</si>
  <si>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</si>
  <si>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</si>
  <si>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</si>
  <si>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</si>
  <si>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</si>
  <si>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</si>
  <si>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</si>
  <si>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</si>
  <si>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</si>
  <si>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</si>
  <si>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</si>
  <si>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</si>
  <si>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</si>
  <si>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</si>
  <si>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</si>
  <si>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</si>
  <si>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</si>
  <si>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</si>
  <si>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</si>
  <si>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</si>
  <si>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</si>
  <si>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</si>
  <si>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</si>
  <si>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</si>
  <si>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</si>
  <si>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</si>
  <si>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</si>
  <si>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</si>
  <si>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</si>
  <si>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</si>
  <si>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</si>
  <si>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</si>
  <si>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</si>
  <si>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</si>
  <si>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</si>
  <si>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</si>
  <si>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</si>
  <si>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</si>
  <si>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</si>
  <si>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</si>
  <si>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</si>
  <si>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</si>
  <si>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</si>
  <si>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</si>
  <si>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</si>
  <si>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</si>
  <si>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</si>
  <si>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</si>
  <si>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</si>
  <si>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</si>
  <si>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</si>
  <si>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</si>
  <si>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</si>
  <si>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</si>
  <si>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</si>
  <si>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</si>
  <si>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</si>
  <si>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</si>
  <si>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</si>
  <si>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</si>
  <si>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</si>
  <si>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</si>
  <si>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</si>
  <si>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</si>
  <si>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</si>
  <si>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</si>
  <si>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</si>
  <si>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</si>
  <si>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</si>
  <si>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</si>
  <si>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</si>
  <si>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</si>
  <si>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</si>
  <si>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</si>
  <si>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</si>
  <si>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</si>
  <si>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</si>
  <si>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</si>
  <si>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</si>
  <si>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</si>
  <si>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</si>
  <si>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</si>
  <si>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</si>
  <si>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</si>
  <si>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</si>
  <si>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</si>
  <si>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</si>
  <si>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</si>
  <si>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</si>
  <si>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</si>
  <si>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</si>
  <si>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</si>
  <si>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</si>
  <si>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</si>
  <si>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</si>
  <si>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</si>
  <si>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</si>
  <si>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</si>
  <si>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</si>
  <si>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</si>
  <si>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</si>
  <si>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</si>
  <si>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</si>
  <si>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</si>
  <si>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</si>
  <si>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</si>
  <si>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</si>
  <si>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</si>
  <si>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</si>
  <si>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</si>
  <si>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</si>
  <si>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</si>
  <si>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</si>
  <si>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</si>
  <si>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</si>
  <si>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</si>
  <si>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</si>
  <si>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</si>
  <si>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</si>
  <si>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</si>
  <si>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</si>
  <si>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</si>
  <si>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</si>
  <si>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Client will withold income tax and Class 1 Employee NICs on DDP as if the individual was an employee. PSC receives fee net of tax and drawings are net of tax up to the limit of the DDP. 
1. Payment for services (net VAT), 
2. (Direct cost of materials), 
3. (Allowable expenses), 
4. Deemed direct payment (DDP)</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</si>
  <si>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</si>
  <si>
    <t xml:space="preserve"> for medium/large entities the client determines status and issues an SDS (with a 45-day challenge window), operates PAYE/NIC on the DDP, and the DDP is used to prevent double taxation when the PSC later remunerates the individual.
1. Client determines whether IR35 rules apply (medium/large entity engagement), 
2. Client issues a Status Determination Statement (SDS) with reasons, 
3. Individual can challenge the SDS before final payment; client must respond within 45 days, 
4. Client operates PAYE/NIC on the deemed direct payment (DDP) as if PSC were a direct employee, 
5. PSC receives the fee net of tax withheld by the client; the net fee is non-taxable to PSC, 
6. When PSC later pays salary/dividends, remuneration is free of PAYE/NIC up to the level of the DDP (to avoid double taxation)</t>
  </si>
  <si>
    <t>1. Notify relevant parties
2. Obtain consent to act for them
3. Use separate engagement teams
4. Prevent access to information
5. Clear guidelines for team on security and confidentiality
6. Confidentiality agreements
7. Regular review of safeguards</t>
  </si>
  <si>
    <t>[{"line_id":"S4","text":"Less employer's NIC on actual payments","is_distractor":false},{"line_id":"S7","text":"Employer's NIC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</si>
  <si>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
1. Income from relevant engagements
2. Less statutory 5%
3. Less salary/benefits paid to worker
4. Less employer's NIC on actual payments
5. Less expenses allowable under employment income
6. Gross amount of deemed payment (G)
7. Employer's NIC on gross deemed payment (G x 13.8/113.8)
8. Actual deemed payment to worker</t>
  </si>
  <si>
    <t>For 2024/25 the default method for preparation of accounts and taxable trading profit of sole traders and partnerships is the cash basis</t>
  </si>
  <si>
    <t>Tax efficient investments</t>
  </si>
  <si>
    <t>This proforma captures the main EIS subscription conditions, the income tax relief mechanics and timing, and the key holding-period/disposal consequences.
1. Ensure the investor is not ‘connected’ (not an employee and does not own &gt;30% share capital)
2. Subscribe in cash for newly issued ordinary shares (irreedeemable and fully paid up), 
3. At investment date, investor must not hold other shares in the company (except existing EIS/SEIS holdings), 
4. Claim EIS income tax relief as a tax reducer (up to £1,000,000 subscriptions; lower of 30% subscription or IT liability), 
5. Hold the shares for at least 3 years to avoid withdrawal of relief, 
6. Remember claim deadline: by 5th anniversary of normal SA filing date for the tax year of investment (e.g., 31 Jan 2031 for 2024/25), 
7. Consider CGT position on disposal: after 3 years, gain is exempt; loss is allowable with cost reduced by net EIS relief not withdrawn</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</si>
  <si>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"S2",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"S1",
        "text": "Ensure the investor is not ‘connected’ (not an employee and does not own &gt;30% share capital)",
        "is_distractor": false
    }
]</t>
  </si>
  <si>
    <t>planning</t>
  </si>
  <si>
    <t>P</t>
  </si>
  <si>
    <t>treatments</t>
  </si>
  <si>
    <t>T</t>
  </si>
  <si>
    <t>In the UK fewer than 16 days and UK resident in one or more of the previous three tax years</t>
  </si>
  <si>
    <t>In the UK fewer than 16 days and not resident during previous three tax years</t>
  </si>
  <si>
    <t>In the UK for 90 days or more</t>
  </si>
  <si>
    <t>A UK house available for at least 30 days and used at least once</t>
  </si>
  <si>
    <t>Inherited from father at birth</t>
  </si>
  <si>
    <t>Born in UK, UK domicile of origin, and UK resident in relevant tax year</t>
  </si>
  <si>
    <t>UK resident at least 10 out of previous 20 tax years</t>
  </si>
  <si>
    <t>Which additional condition applies to the long-term resident deemed domicile route?</t>
  </si>
  <si>
    <t>Must have been UK resident at least once before April 2015</t>
  </si>
  <si>
    <t>Which of these describes the “to live abroad” leaving case?</t>
  </si>
  <si>
    <t>For a coming-to-UK work case, what duration of work is required?</t>
  </si>
  <si>
    <t>Which of these describes a returning-to-UK split-year scenario?</t>
  </si>
  <si>
    <t>At what point is IHT deemed domicile tested?</t>
  </si>
  <si>
    <t>The IHT rule is triggered if any one of three conditions is satisfied.
1. Formerly UK resident (born, origin, resident, 1/2 previous)
2. Long term resident (15/20, resident 1/4 previous)
3. Domiciled in last three years (choice)</t>
  </si>
  <si>
    <t>CGT and IHT both have routes for formerly UK domiciled and long term residents. What additional deemed domicile test exists for IHT?</t>
  </si>
  <si>
    <t>Jon, a UK resident domiciled/deemed domiciled wants to use his spousal exemption to transfer assets to his wife, who is non-UK deemed domiciled. Assuming they make no elections, what is the restriction on Jon's spousal exemption?</t>
  </si>
  <si>
    <t>Jon's available nil rate band at the time of transfer</t>
  </si>
  <si>
    <t>40% of the value of the asset</t>
  </si>
  <si>
    <t>40% of the value of the asset less double taxation relief</t>
  </si>
  <si>
    <t>If Jon has not used any of his NRB, then it will be £325000</t>
  </si>
  <si>
    <t>Double taxation relief is the {gap1} of overseas tax paid and UK HT atrributable to the overseas asset. UK IHT is calculated as {gap2}/(gap3} x {gap4}.</t>
  </si>
  <si>
    <t>["higher","lower"]</t>
  </si>
  <si>
    <t>["UK IHT before QSR","UK IHT after QSR","Taxable estate","overseas tax paid"]</t>
  </si>
  <si>
    <t>UK IHT after QSR</t>
  </si>
  <si>
    <t>y</t>
  </si>
  <si>
    <t xml:space="preserve">["Chargeable estate","Taxable estate","overseas tax paid","UK IHT before QSR"] </t>
  </si>
  <si>
    <t>Chargeable estate</t>
  </si>
  <si>
    <t>["UK IHT before QSR","Chargeable estate","Overseas tax paid","Value of asset"]</t>
  </si>
  <si>
    <t>Value of asset</t>
  </si>
  <si>
    <t>Double taxation relief is the lower of overseas tax paid and UK IHT atrributable to the overseas asset. UK IHT is calculated as UK IHT after QSR/Chargeable estate x value of asset</t>
  </si>
  <si>
    <t>Double taxation relief</t>
  </si>
  <si>
    <t>iht:dtr</t>
  </si>
  <si>
    <t>DTR</t>
  </si>
  <si>
    <t>lower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</si>
</sst>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xf numFmtId="6" fontId="0" fillId="0" borderId="0" xfId="0" applyNumberFormat="1" applyAlignment="1">
      <alignment wrapText="1"/>
    </xf>
    <xf numFmtId="9" fontId="0" fillId="0" borderId="0" xfId="0" applyNumberFormat="1" applyAlignment="1">
      <alignment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76" dataDxfId="75">
  <tableColumns count="22">
    <tableColumn id="1" xr3:uid="{3143F177-F819-460E-B2A9-7D5DF7E40EF8}" name="question_id" dataDxfId="74">
      <calculatedColumnFormula>IF(M2="","",M2&amp;"_"&amp;TEXT(N2,"000"))</calculatedColumnFormula>
    </tableColumn>
    <tableColumn id="2" xr3:uid="{590E99E6-E7E0-4850-B349-788F35665CFB}" name="topic" dataDxfId="73"/>
    <tableColumn id="3" xr3:uid="{0E1102D9-5102-4F5F-94D2-8CDF0342B713}" name="component" dataDxfId="72"/>
    <tableColumn id="4" xr3:uid="{53167456-D2D6-46F5-902F-E25B72847760}" name="subtopic" dataDxfId="71"/>
    <tableColumn id="5" xr3:uid="{4A660E62-FD15-4B74-8FBC-1B8A2BAB6305}" name="question_type" dataDxfId="70"/>
    <tableColumn id="6" xr3:uid="{039025CC-846C-46D7-B1D9-63E3BAF69C9A}" name="difficulty" dataDxfId="69"/>
    <tableColumn id="7" xr3:uid="{996F048C-5FD0-410B-88A3-192D3E6417E2}" name="priority" dataDxfId="68"/>
    <tableColumn id="8" xr3:uid="{EECF5330-4BBC-4ED3-B9D0-64317766CBE4}" name="active" dataDxfId="67"/>
    <tableColumn id="9" xr3:uid="{CBAF624D-83AD-45AD-8500-A2E7B1F24794}" name="tags" dataDxfId="66"/>
    <tableColumn id="10" xr3:uid="{95517BC8-09AC-46E6-AF79-F48569B6E3B4}" name="source_ref" dataDxfId="65"/>
    <tableColumn id="11" xr3:uid="{0ADA81E5-57A0-454C-BA26-289888F2A40C}" name="version" dataDxfId="64"/>
    <tableColumn id="12" xr3:uid="{91DFC1B0-44F2-4CAB-869F-2A1536A924E3}" name="subtopic_code" dataDxfId="63"/>
    <tableColumn id="13" xr3:uid="{DD40E926-33DD-466F-A912-E8459B494AEC}" name="id_prefix" dataDxfId="62">
      <calculatedColumnFormula>IF(B2="","","MCQ"&amp;"_"&amp;IFERROR(VLOOKUP(B2,LOOKUPS!$K$2:$L$9,2,FALSE),"UNK")&amp;"_"&amp;IFERROR(VLOOKUP(C2,LOOKUPS!$N$2:$O$10,2,FALSE),"UNK")&amp;"_"&amp;UPPER(L2))</calculatedColumnFormula>
    </tableColumn>
    <tableColumn id="14" xr3:uid="{B91893FC-B206-4333-AA9F-C9D2E6E88ACB}" name="next_seq" dataDxfId="61">
      <calculatedColumnFormula>IF(M2="","",COUNTIF($M$2:M2,M2))</calculatedColumnFormula>
    </tableColumn>
    <tableColumn id="15" xr3:uid="{1078EC50-F43B-43D7-97FF-5DF911C915E9}" name="prompt" dataDxfId="60"/>
    <tableColumn id="16" xr3:uid="{09037EB0-2F5E-423E-A0B0-A6FA96AAD55C}" name="option_a" dataDxfId="59"/>
    <tableColumn id="17" xr3:uid="{15DBBA40-E39C-49BC-A29D-15E22618204B}" name="option_b" dataDxfId="58"/>
    <tableColumn id="18" xr3:uid="{0DD51665-D870-4BD5-AE89-AC0E7B104E33}" name="option_c" dataDxfId="57"/>
    <tableColumn id="19" xr3:uid="{F03E2272-D332-4A35-A9A4-1207B0516B62}" name="option_d" dataDxfId="56"/>
    <tableColumn id="20" xr3:uid="{2094478F-A251-4AEF-8340-6DC80238A2B4}" name="option_e" dataDxfId="55"/>
    <tableColumn id="21" xr3:uid="{C7639FD0-0BCA-4C05-B93C-0446381E2D4C}" name="correct_option" dataDxfId="54"/>
    <tableColumn id="22" xr3:uid="{F4B67840-87C2-4942-BF58-96478C0C83A8}" name="explanation" dataDxfId="5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52" dataDxfId="51">
  <autoFilter ref="A1:AC169" xr:uid="{F0BC66BE-4E93-4072-A344-FDCACD8C00F6}"/>
  <tableColumns count="29">
    <tableColumn id="1" xr3:uid="{3B955206-414A-482E-8FC0-84A96C4CF49D}" name="question_id" dataDxfId="50">
      <calculatedColumnFormula>IF(M2="","",M2&amp;"_"&amp;TEXT(N2,"000"))</calculatedColumnFormula>
    </tableColumn>
    <tableColumn id="2" xr3:uid="{53027823-F0F6-4E94-8AA1-7C6222262D18}" name="topic" dataDxfId="49"/>
    <tableColumn id="3" xr3:uid="{FD05D5D8-FEA8-48A4-A203-0640D7E619F3}" name="component" dataDxfId="48"/>
    <tableColumn id="4" xr3:uid="{6C2A5CA5-1F90-40D0-A5FA-2742635ABD9A}" name="subtopic" dataDxfId="47"/>
    <tableColumn id="5" xr3:uid="{2B0B69B7-AE58-4CB1-B966-1041649BA116}" name="question_type" dataDxfId="46"/>
    <tableColumn id="6" xr3:uid="{C38B8210-1ACE-45F9-9CAE-F367DA3457ED}" name="difficulty" dataDxfId="45"/>
    <tableColumn id="7" xr3:uid="{53156DAB-1E60-4E68-A9F0-DEDD057BE1AC}" name="priority" dataDxfId="44"/>
    <tableColumn id="8" xr3:uid="{1A85DF8A-ED45-47D7-A6CE-49487F67719B}" name="active" dataDxfId="43"/>
    <tableColumn id="9" xr3:uid="{69D5925E-FDC6-4D60-8287-CD87D72B5723}" name="tags" dataDxfId="42"/>
    <tableColumn id="10" xr3:uid="{0E5E2BA0-7572-4684-9AAE-4051BB319822}" name="source_ref" dataDxfId="41"/>
    <tableColumn id="11" xr3:uid="{B3ED8671-D7AC-48C1-917D-C7E1740038CA}" name="version" dataDxfId="40"/>
    <tableColumn id="12" xr3:uid="{45CE182C-3F25-456B-AAEF-C30193AACF0B}" name="subtopic_code" dataDxfId="39"/>
    <tableColumn id="13" xr3:uid="{78AA824C-B13F-429B-94FD-D39E31754843}" name="id_prefix" dataDxfId="38">
      <calculatedColumnFormula>IF(B2="","","AB"&amp;"_"&amp;IFERROR(VLOOKUP(B2,LOOKUPS!$K$2:$L$9,2,FALSE),"UNK")&amp;"_"&amp;IFERROR(VLOOKUP(C2,LOOKUPS!$N$2:$O$10,2,FALSE),"UNK")&amp;"_"&amp;UPPER(L2))</calculatedColumnFormula>
    </tableColumn>
    <tableColumn id="14" xr3:uid="{57DABC95-1398-407F-818F-E602994B1CF6}" name="next_seq" dataDxfId="37">
      <calculatedColumnFormula>IF(M2="","",COUNTIF($M$2:M2,M2))</calculatedColumnFormula>
    </tableColumn>
    <tableColumn id="15" xr3:uid="{9B2B78EF-2FEE-4BC0-A5FA-D4C2889E74AC}" name="prompt_template" dataDxfId="36"/>
    <tableColumn id="16" xr3:uid="{A8DA9CBD-4C5A-43D0-919E-806E91BEF2EC}" name="gap_count" dataDxfId="35"/>
    <tableColumn id="17" xr3:uid="{F27057E5-A92F-418A-9046-13198E5C9905}" name="choice_a" dataDxfId="34"/>
    <tableColumn id="18" xr3:uid="{E02B27C2-2A44-4E0C-BB94-33C75571BE39}" name="choice_b" dataDxfId="33"/>
    <tableColumn id="19" xr3:uid="{BE479B0C-524B-4C87-AA56-13D53F5D58D5}" name="gap1_correct" dataDxfId="32"/>
    <tableColumn id="20" xr3:uid="{FB5A250C-A156-41E2-8727-D9FA40DA2A74}" name="gap1_allow_repeat" dataDxfId="31"/>
    <tableColumn id="21" xr3:uid="{C7905FE7-BED4-4E80-837C-A5AFDEA02E55}" name="gap2_correct" dataDxfId="30"/>
    <tableColumn id="22" xr3:uid="{2BEB549B-37F9-46B5-B769-4E7075E6757F}" name="gap2_allow_repeat" dataDxfId="29"/>
    <tableColumn id="23" xr3:uid="{143FD944-31A1-40F2-A55D-2870E48C6692}" name="gap3_correct" dataDxfId="28"/>
    <tableColumn id="24" xr3:uid="{E4C97B71-682B-49DE-9CAA-066517D57069}" name="gap3_allow_repeat" dataDxfId="27"/>
    <tableColumn id="25" xr3:uid="{F5BF61B5-9AFD-48D4-9EAB-F4AED68F034F}" name="gap4_correct" dataDxfId="26"/>
    <tableColumn id="26" xr3:uid="{E77B49CD-93F0-4B8D-84D6-8F89A4EE54B3}" name="gap4_allow_repeat" dataDxfId="25"/>
    <tableColumn id="27" xr3:uid="{E73C4452-41C3-40FA-9EA3-93520038EF24}" name="gap5_correct" dataDxfId="24"/>
    <tableColumn id="28" xr3:uid="{67789CB9-B40B-4D48-9861-1F300F9603FA}" name="gap5_allow_repeat" dataDxfId="23"/>
    <tableColumn id="29" xr3:uid="{0524B72D-170D-4329-A999-A8626F98ECC5}" name="explanation" dataDxfId="22"/>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111" dataDxfId="110">
  <autoFilter ref="A1:AG200" xr:uid="{E9B73698-D520-45DF-BE06-581F3140E2CF}"/>
  <tableColumns count="33">
    <tableColumn id="1" xr3:uid="{23420D1D-4A05-4D96-AC71-540C3566B6D4}" name="question_id" dataDxfId="109">
      <calculatedColumnFormula>IF(M2="","",M2&amp;"_"&amp;TEXT(N2,"000"))</calculatedColumnFormula>
    </tableColumn>
    <tableColumn id="2" xr3:uid="{DC8B6EB1-DEA7-4C27-ACC9-69DC66E4B88E}" name="topic" dataDxfId="108"/>
    <tableColumn id="3" xr3:uid="{9FF86C9D-41D3-4FA4-B52D-DE409BE4A75A}" name="component" dataDxfId="107"/>
    <tableColumn id="4" xr3:uid="{CF05BD93-E736-4B25-8614-DACA00DAE906}" name="subtopic" dataDxfId="106"/>
    <tableColumn id="5" xr3:uid="{3B32BF91-E453-4825-B02A-C9BC262C6501}" name="question_type" dataDxfId="105"/>
    <tableColumn id="6" xr3:uid="{C453CAE0-2DF7-4300-96BF-5974156B83E9}" name="difficulty" dataDxfId="104"/>
    <tableColumn id="7" xr3:uid="{B0E77438-C755-4693-AFFA-FE5BF50CA179}" name="priority" dataDxfId="103"/>
    <tableColumn id="8" xr3:uid="{BD79D28D-84B7-48E4-9C88-D55EFAAC128A}" name="active" dataDxfId="102"/>
    <tableColumn id="9" xr3:uid="{3600A004-FB06-48AA-A47D-E8E1DBCBBD75}" name="tags" dataDxfId="101"/>
    <tableColumn id="10" xr3:uid="{484D9A70-6E15-4F60-B434-8A4FB8281401}" name="source_ref" dataDxfId="100"/>
    <tableColumn id="11" xr3:uid="{EE94405E-C69D-448E-AC70-52FDAF43EBE9}" name="version" dataDxfId="99"/>
    <tableColumn id="12" xr3:uid="{EDE5DE77-4198-4D58-92AD-0C6FF2D96198}" name="subtopic_code" dataDxfId="98"/>
    <tableColumn id="13" xr3:uid="{7AB24E72-5B7E-414E-A308-A75760161DBB}" name="id_prefix" dataDxfId="97">
      <calculatedColumnFormula>IF(B2="","","LIST"&amp;"_"&amp;IFERROR(VLOOKUP(B2,LOOKUPS!$K$2:$L$9,2,FALSE),"UNK")&amp;"_"&amp;IFERROR(VLOOKUP(C2,LOOKUPS!$N$2:$O$10,2,FALSE),"UNK")&amp;"_"&amp;UPPER(L2))</calculatedColumnFormula>
    </tableColumn>
    <tableColumn id="14" xr3:uid="{4B76C721-244D-449D-BF23-744114658180}" name="next_seq" dataDxfId="96">
      <calculatedColumnFormula>IF(M2="","",COUNTIF($M$2:M2,M2))</calculatedColumnFormula>
    </tableColumn>
    <tableColumn id="15" xr3:uid="{D95D8A12-9CCC-4D04-88FC-E4C479D3FA48}" name="prompt_template" dataDxfId="95"/>
    <tableColumn id="16" xr3:uid="{DFEE9D8B-25D0-47D1-91CD-27BAF5A2B0C6}" name="gap_count" dataDxfId="94"/>
    <tableColumn id="17" xr3:uid="{4B54EDED-BB6C-4CF9-B4BD-77B72C1AE74B}" name="gap1_options" dataDxfId="93"/>
    <tableColumn id="18" xr3:uid="{18BD33FC-339C-4F30-A820-1E4DADAE51D5}" name="gap1_correct" dataDxfId="92"/>
    <tableColumn id="19" xr3:uid="{43A9E514-1D21-4695-925C-920775974EE5}" name="gap1_allow_repeat" dataDxfId="91"/>
    <tableColumn id="20" xr3:uid="{0C92276E-A5F9-4842-B3B7-DF3087088063}" name="gap2_options" dataDxfId="90"/>
    <tableColumn id="21" xr3:uid="{5406E7DC-2332-49A6-8E05-AA02BA020D80}" name="gap2_correct" dataDxfId="89"/>
    <tableColumn id="22" xr3:uid="{88025412-F321-4D67-AF51-1887302619F1}" name="gap2_allow_repeat" dataDxfId="88"/>
    <tableColumn id="23" xr3:uid="{D286A38F-0421-4573-AB37-656CD478776B}" name="gap3_options" dataDxfId="87"/>
    <tableColumn id="24" xr3:uid="{285479CE-E217-4634-9381-0B4A5327983D}" name="gap3_correct" dataDxfId="86"/>
    <tableColumn id="25" xr3:uid="{1E85105A-3EF1-497C-A227-9A9786DE5761}" name="gap3_allow_repeat" dataDxfId="85"/>
    <tableColumn id="26" xr3:uid="{17D4F9FA-2E8F-40B3-A782-CE1712FEF429}" name="gap4_options" dataDxfId="84"/>
    <tableColumn id="27" xr3:uid="{7FCD686D-B135-4FC9-984F-86069B94E23E}" name="gap4_correct" dataDxfId="83"/>
    <tableColumn id="28" xr3:uid="{01ACCF42-786E-4349-917F-438AB0CFCDAB}" name="gap4_allow_repeat" dataDxfId="82"/>
    <tableColumn id="29" xr3:uid="{AEFF6A1F-711E-4299-8776-D2354BA5BACA}" name="gap5_options" dataDxfId="81"/>
    <tableColumn id="30" xr3:uid="{4C9D15DF-0AEF-4A21-8E7F-C25F24B38036}" name="gap5_correct" dataDxfId="80"/>
    <tableColumn id="31" xr3:uid="{BD273472-5A00-4BB3-9ABB-71585A886E01}" name="gap5_allow_repeat" dataDxfId="79"/>
    <tableColumn id="32" xr3:uid="{85590086-C385-442F-8B44-596E3C01119B}" name="enforce_unique_across_gaps" dataDxfId="78"/>
    <tableColumn id="33" xr3:uid="{B392F52E-81DF-4D51-B364-73E4418D1CA5}" name="explanation" dataDxfId="77"/>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1" dataDxfId="20">
  <autoFilter ref="A1:T200" xr:uid="{9AF4D9C1-FF64-473A-A14E-7E8B7794D33C}"/>
  <tableColumns count="20">
    <tableColumn id="1" xr3:uid="{DF3953CC-F6CA-48A8-B362-3DB144A28B1C}" name="question_id" dataDxfId="19">
      <calculatedColumnFormula>IF(M2="","",M2&amp;"_"&amp;TEXT(N2,"000"))</calculatedColumnFormula>
    </tableColumn>
    <tableColumn id="2" xr3:uid="{B7C3FEC2-CD62-499C-AC65-1F88F7098C32}" name="topic" dataDxfId="18"/>
    <tableColumn id="3" xr3:uid="{FE2F0177-731D-432C-8A5B-9F9373EFFDA5}" name="component" dataDxfId="17"/>
    <tableColumn id="4" xr3:uid="{4240EBF3-C5BF-470A-9949-BE30D5F7F009}" name="subtopic" dataDxfId="16"/>
    <tableColumn id="5" xr3:uid="{7D620D70-554F-4F3D-A441-36BD6B9D4B3F}" name="question_type" dataDxfId="15"/>
    <tableColumn id="6" xr3:uid="{F134E6DC-3407-49BF-BDD9-CC17691B59DA}" name="difficulty" dataDxfId="14"/>
    <tableColumn id="7" xr3:uid="{297F4083-A338-49A2-9858-3CA99B7566DA}" name="priority" dataDxfId="13"/>
    <tableColumn id="8" xr3:uid="{EADB0D92-DBBA-4595-86A9-CC225D6BF45E}" name="active" dataDxfId="12"/>
    <tableColumn id="9" xr3:uid="{5CDF48CA-7DE2-4FC2-AE5B-76546C51FA76}" name="tags" dataDxfId="11"/>
    <tableColumn id="10" xr3:uid="{CBB40C3B-89F6-492E-9EF7-1608F76B6960}" name="source_ref" dataDxfId="10"/>
    <tableColumn id="11" xr3:uid="{8162DE10-7559-4F34-8269-8312D2CD8D8C}" name="version" dataDxfId="9"/>
    <tableColumn id="12" xr3:uid="{AC0FD800-8ECC-40D0-957C-7E8F2A52221F}" name="subtopic_code" dataDxfId="8"/>
    <tableColumn id="13" xr3:uid="{8621D83B-892D-4532-A540-AFA1F548F6CF}" name="id_prefix" dataDxfId="7">
      <calculatedColumnFormula>IF(B2="","","PF"&amp;"_"&amp;IFERROR(VLOOKUP(B2,LOOKUPS!$K$2:$L$9,2,FALSE),"UNK")&amp;"_"&amp;IFERROR(VLOOKUP(C2,LOOKUPS!$N$2:$O$10,2,FALSE),"UNK")&amp;"_"&amp;UPPER(L2))</calculatedColumnFormula>
    </tableColumn>
    <tableColumn id="14" xr3:uid="{C3522ADD-7243-49BF-A9FD-2035E3CF75D7}" name="next_seq" dataDxfId="6">
      <calculatedColumnFormula>IF(M2="","",COUNTIF($M$2:M2,M2))</calculatedColumnFormula>
    </tableColumn>
    <tableColumn id="15" xr3:uid="{9904B470-9EB2-41C4-9CF4-2292C9367D4C}" name="title" dataDxfId="5"/>
    <tableColumn id="16" xr3:uid="{12F4188F-DD37-47E9-8CEC-8967DB411266}" name="instructions" dataDxfId="4"/>
    <tableColumn id="30" xr3:uid="{2EEA9DB6-3F69-4882-BCD6-27607A87326B}" name="slot_labels_json" dataDxfId="3"/>
    <tableColumn id="27" xr3:uid="{668C5D89-6268-47EA-853F-948B6093BF67}" name="correct_line_ids_json" dataDxfId="2"/>
    <tableColumn id="28" xr3:uid="{1BE0DD35-7F1B-4867-A45B-FBF2F9983BC3}" name="lines_json" dataDxfId="1"/>
    <tableColumn id="29" xr3:uid="{963B0537-5B12-4702-8EDA-F4424960ECC9}" name="explana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workbookViewId="0">
      <pane ySplit="1" topLeftCell="A2" activePane="bottomLeft" state="frozen"/>
      <selection pane="bottomLeft" activeCell="P9" sqref="P9"/>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821</v>
      </c>
      <c r="K8" t="s">
        <v>47</v>
      </c>
      <c r="L8" t="s">
        <v>49</v>
      </c>
      <c r="N8" t="s">
        <v>821</v>
      </c>
      <c r="O8" t="s">
        <v>822</v>
      </c>
    </row>
    <row r="9" spans="1:15" x14ac:dyDescent="0.3">
      <c r="A9" t="s">
        <v>51</v>
      </c>
      <c r="C9" t="s">
        <v>823</v>
      </c>
      <c r="K9" t="s">
        <v>51</v>
      </c>
      <c r="L9" t="s">
        <v>51</v>
      </c>
      <c r="N9" t="s">
        <v>823</v>
      </c>
      <c r="O9" t="s">
        <v>824</v>
      </c>
    </row>
    <row r="10" spans="1:15" x14ac:dyDescent="0.3">
      <c r="C10" t="s">
        <v>48</v>
      </c>
      <c r="N10" t="s">
        <v>48</v>
      </c>
      <c r="O10" t="s">
        <v>50</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A48" workbookViewId="0">
      <pane xSplit="3" topLeftCell="O1" activePane="topRight" state="frozen"/>
      <selection pane="topRight" activeCell="A51" sqref="A51:XFD51"/>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IF(B2="","","MCQ"&amp;"_"&amp;IFERROR(VLOOKUP(B2,LOOKUPS!$K$2:$L$9,2,FALSE),"UNK")&amp;"_"&amp;IFERROR(VLOOKUP(C2,LOOKUPS!$N$2:$O$10,2,FALSE),"UNK")&amp;"_"&amp;UPPER(L2))</f>
        <v>MCQ_ETH_DEF_</v>
      </c>
      <c r="N2" s="3">
        <f>IF(M2="","",COUNTIF($M$2:M2,M2))</f>
        <v>1</v>
      </c>
      <c r="O2" s="3" t="s">
        <v>102</v>
      </c>
      <c r="P2" s="3" t="s">
        <v>108</v>
      </c>
      <c r="Q2" s="3" t="s">
        <v>110</v>
      </c>
      <c r="R2" s="3" t="s">
        <v>107</v>
      </c>
      <c r="S2" s="3" t="s">
        <v>109</v>
      </c>
      <c r="T2" s="3" t="s">
        <v>111</v>
      </c>
      <c r="U2" s="3" t="s">
        <v>225</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IF(B3="","","MCQ"&amp;"_"&amp;IFERROR(VLOOKUP(B3,LOOKUPS!$K$2:$L$9,2,FALSE),"UNK")&amp;"_"&amp;IFERROR(VLOOKUP(C3,LOOKUPS!$N$2:$O$10,2,FALSE),"UNK")&amp;"_"&amp;UPPER(L3))</f>
        <v>MCQ_ETH_DEF_</v>
      </c>
      <c r="N3" s="3">
        <f>IF(M3="","",COUNTIF($M$2:M3,M3))</f>
        <v>2</v>
      </c>
      <c r="O3" s="3" t="s">
        <v>103</v>
      </c>
      <c r="P3" s="3" t="s">
        <v>107</v>
      </c>
      <c r="Q3" s="3" t="s">
        <v>111</v>
      </c>
      <c r="R3" s="3" t="s">
        <v>109</v>
      </c>
      <c r="S3" s="3" t="s">
        <v>110</v>
      </c>
      <c r="T3" s="3" t="s">
        <v>108</v>
      </c>
      <c r="U3" s="3" t="s">
        <v>226</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IF(B4="","","MCQ"&amp;"_"&amp;IFERROR(VLOOKUP(B4,LOOKUPS!$K$2:$L$9,2,FALSE),"UNK")&amp;"_"&amp;IFERROR(VLOOKUP(C4,LOOKUPS!$N$2:$O$10,2,FALSE),"UNK")&amp;"_"&amp;UPPER(L4))</f>
        <v>MCQ_ETH_DEF_</v>
      </c>
      <c r="N4" s="3">
        <f>IF(M4="","",COUNTIF($M$2:M4,M4))</f>
        <v>3</v>
      </c>
      <c r="O4" s="3" t="s">
        <v>104</v>
      </c>
      <c r="P4" s="3" t="s">
        <v>109</v>
      </c>
      <c r="Q4" s="3" t="s">
        <v>108</v>
      </c>
      <c r="R4" s="3" t="s">
        <v>111</v>
      </c>
      <c r="S4" s="3" t="s">
        <v>107</v>
      </c>
      <c r="T4" s="3" t="s">
        <v>110</v>
      </c>
      <c r="U4" s="3" t="s">
        <v>133</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IF(B5="","","MCQ"&amp;"_"&amp;IFERROR(VLOOKUP(B5,LOOKUPS!$K$2:$L$9,2,FALSE),"UNK")&amp;"_"&amp;IFERROR(VLOOKUP(C5,LOOKUPS!$N$2:$O$10,2,FALSE),"UNK")&amp;"_"&amp;UPPER(L5))</f>
        <v>MCQ_ETH_DEF_</v>
      </c>
      <c r="N5" s="3">
        <f>IF(M5="","",COUNTIF($M$2:M5,M5))</f>
        <v>4</v>
      </c>
      <c r="O5" s="3" t="s">
        <v>105</v>
      </c>
      <c r="P5" s="3" t="s">
        <v>107</v>
      </c>
      <c r="Q5" s="3" t="s">
        <v>110</v>
      </c>
      <c r="R5" s="3" t="s">
        <v>108</v>
      </c>
      <c r="S5" s="3" t="s">
        <v>111</v>
      </c>
      <c r="T5" s="3" t="s">
        <v>109</v>
      </c>
      <c r="U5" s="3" t="s">
        <v>227</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IF(B6="","","MCQ"&amp;"_"&amp;IFERROR(VLOOKUP(B6,LOOKUPS!$K$2:$L$9,2,FALSE),"UNK")&amp;"_"&amp;IFERROR(VLOOKUP(C6,LOOKUPS!$N$2:$O$10,2,FALSE),"UNK")&amp;"_"&amp;UPPER(L6))</f>
        <v>MCQ_ETH_DEF_</v>
      </c>
      <c r="N6" s="3">
        <f>IF(M6="","",COUNTIF($M$2:M6,M6))</f>
        <v>5</v>
      </c>
      <c r="O6" s="3" t="s">
        <v>106</v>
      </c>
      <c r="P6" s="3" t="s">
        <v>108</v>
      </c>
      <c r="Q6" s="3" t="s">
        <v>109</v>
      </c>
      <c r="R6" s="3" t="s">
        <v>110</v>
      </c>
      <c r="S6" s="3" t="s">
        <v>111</v>
      </c>
      <c r="T6" s="3" t="s">
        <v>107</v>
      </c>
      <c r="U6" s="3" t="s">
        <v>228</v>
      </c>
      <c r="V6" s="3" t="s">
        <v>111</v>
      </c>
    </row>
    <row r="7" spans="1:22" ht="86.4" x14ac:dyDescent="0.3">
      <c r="A7" s="3" t="str">
        <f t="shared" si="0"/>
        <v>MCQ_ITNIC_REQ_EIS_001</v>
      </c>
      <c r="B7" s="3" t="s">
        <v>21</v>
      </c>
      <c r="C7" s="6" t="s">
        <v>22</v>
      </c>
      <c r="D7" s="6" t="s">
        <v>818</v>
      </c>
      <c r="E7" s="3" t="s">
        <v>18</v>
      </c>
      <c r="F7" s="3">
        <v>3</v>
      </c>
      <c r="G7" s="3" t="s">
        <v>16</v>
      </c>
      <c r="H7" s="3" t="s">
        <v>17</v>
      </c>
      <c r="I7" s="3" t="s">
        <v>125</v>
      </c>
      <c r="J7" s="3" t="s">
        <v>126</v>
      </c>
      <c r="K7" s="3">
        <v>1</v>
      </c>
      <c r="L7" s="3" t="s">
        <v>127</v>
      </c>
      <c r="M7" s="3" t="str">
        <f>IF(B7="","","MCQ"&amp;"_"&amp;IFERROR(VLOOKUP(B7,LOOKUPS!$K$2:$L$9,2,FALSE),"UNK")&amp;"_"&amp;IFERROR(VLOOKUP(C7,LOOKUPS!$N$2:$O$10,2,FALSE),"UNK")&amp;"_"&amp;UPPER(L7))</f>
        <v>MCQ_ITNIC_REQ_EIS</v>
      </c>
      <c r="N7" s="3">
        <f>IF(M7="","",COUNTIF($M$2:M7,M7))</f>
        <v>1</v>
      </c>
      <c r="O7" s="3" t="s">
        <v>678</v>
      </c>
      <c r="P7" s="3" t="s">
        <v>128</v>
      </c>
      <c r="Q7" s="3" t="s">
        <v>129</v>
      </c>
      <c r="R7" s="3" t="s">
        <v>130</v>
      </c>
      <c r="S7" s="3" t="s">
        <v>131</v>
      </c>
      <c r="T7" s="3" t="s">
        <v>132</v>
      </c>
      <c r="U7" s="3" t="s">
        <v>133</v>
      </c>
      <c r="V7" s="3" t="s">
        <v>679</v>
      </c>
    </row>
    <row r="8" spans="1:22" ht="72" x14ac:dyDescent="0.3">
      <c r="A8" s="3" t="str">
        <f t="shared" si="0"/>
        <v>MCQ_ITNIC_CALC_EIS_001</v>
      </c>
      <c r="B8" s="3" t="s">
        <v>21</v>
      </c>
      <c r="C8" s="6" t="s">
        <v>40</v>
      </c>
      <c r="D8" s="6" t="s">
        <v>818</v>
      </c>
      <c r="E8" s="3" t="s">
        <v>18</v>
      </c>
      <c r="F8" s="3">
        <v>3</v>
      </c>
      <c r="G8" s="3" t="s">
        <v>16</v>
      </c>
      <c r="H8" s="3" t="s">
        <v>17</v>
      </c>
      <c r="I8" s="3" t="s">
        <v>125</v>
      </c>
      <c r="J8" s="3" t="s">
        <v>126</v>
      </c>
      <c r="K8" s="3">
        <v>1</v>
      </c>
      <c r="L8" s="3" t="s">
        <v>127</v>
      </c>
      <c r="M8" s="3" t="str">
        <f>IF(B8="","","MCQ"&amp;"_"&amp;IFERROR(VLOOKUP(B8,LOOKUPS!$K$2:$L$9,2,FALSE),"UNK")&amp;"_"&amp;IFERROR(VLOOKUP(C8,LOOKUPS!$N$2:$O$10,2,FALSE),"UNK")&amp;"_"&amp;UPPER(L8))</f>
        <v>MCQ_ITNIC_CALC_EIS</v>
      </c>
      <c r="N8" s="3">
        <f>IF(M8="","",COUNTIF($M$2:M8,M8))</f>
        <v>1</v>
      </c>
      <c r="O8" s="3" t="s">
        <v>791</v>
      </c>
      <c r="P8" s="3" t="s">
        <v>234</v>
      </c>
      <c r="Q8" s="3" t="s">
        <v>134</v>
      </c>
      <c r="R8" s="3" t="s">
        <v>135</v>
      </c>
      <c r="S8" s="3" t="s">
        <v>235</v>
      </c>
      <c r="T8" s="3" t="s">
        <v>136</v>
      </c>
      <c r="U8" s="3" t="s">
        <v>228</v>
      </c>
      <c r="V8" s="3" t="s">
        <v>137</v>
      </c>
    </row>
    <row r="9" spans="1:22" ht="100.8" x14ac:dyDescent="0.3">
      <c r="A9" s="3" t="str">
        <f t="shared" si="0"/>
        <v>MCQ_ITNIC_T_EIS_001</v>
      </c>
      <c r="B9" s="3" t="s">
        <v>21</v>
      </c>
      <c r="C9" s="6" t="s">
        <v>823</v>
      </c>
      <c r="D9" s="6" t="s">
        <v>818</v>
      </c>
      <c r="E9" s="3" t="s">
        <v>18</v>
      </c>
      <c r="F9" s="3">
        <v>3</v>
      </c>
      <c r="G9" s="3" t="s">
        <v>16</v>
      </c>
      <c r="H9" s="3" t="s">
        <v>17</v>
      </c>
      <c r="I9" s="3" t="s">
        <v>125</v>
      </c>
      <c r="J9" s="3" t="s">
        <v>126</v>
      </c>
      <c r="K9" s="3">
        <v>1</v>
      </c>
      <c r="L9" s="3" t="s">
        <v>127</v>
      </c>
      <c r="M9" s="3" t="str">
        <f>IF(B9="","","MCQ"&amp;"_"&amp;IFERROR(VLOOKUP(B9,LOOKUPS!$K$2:$L$9,2,FALSE),"UNK")&amp;"_"&amp;IFERROR(VLOOKUP(C9,LOOKUPS!$N$2:$O$10,2,FALSE),"UNK")&amp;"_"&amp;UPPER(L9))</f>
        <v>MCQ_ITNIC_T_EIS</v>
      </c>
      <c r="N9" s="3">
        <f>IF(M9="","",COUNTIF($M$2:M9,M9))</f>
        <v>1</v>
      </c>
      <c r="O9" s="3" t="s">
        <v>775</v>
      </c>
      <c r="P9" s="3" t="s">
        <v>236</v>
      </c>
      <c r="Q9" s="3" t="s">
        <v>138</v>
      </c>
      <c r="R9" s="3" t="s">
        <v>139</v>
      </c>
      <c r="S9" s="3" t="s">
        <v>140</v>
      </c>
      <c r="T9" s="3" t="s">
        <v>237</v>
      </c>
      <c r="U9" s="3" t="s">
        <v>226</v>
      </c>
      <c r="V9" s="3" t="s">
        <v>141</v>
      </c>
    </row>
    <row r="10" spans="1:22" ht="100.8" x14ac:dyDescent="0.3">
      <c r="A10" s="3" t="str">
        <f t="shared" si="0"/>
        <v>MCQ_ITNIC_P_PSC_001</v>
      </c>
      <c r="B10" s="3" t="s">
        <v>21</v>
      </c>
      <c r="C10" s="3" t="s">
        <v>821</v>
      </c>
      <c r="D10" s="3" t="s">
        <v>157</v>
      </c>
      <c r="E10" s="3" t="s">
        <v>18</v>
      </c>
      <c r="F10" s="3">
        <v>3</v>
      </c>
      <c r="G10" s="3" t="s">
        <v>16</v>
      </c>
      <c r="H10" s="3" t="s">
        <v>17</v>
      </c>
      <c r="I10" s="3" t="s">
        <v>158</v>
      </c>
      <c r="J10" s="3" t="s">
        <v>126</v>
      </c>
      <c r="K10" s="3">
        <v>1</v>
      </c>
      <c r="L10" s="3" t="s">
        <v>159</v>
      </c>
      <c r="M10" s="3" t="str">
        <f>IF(B10="","","MCQ"&amp;"_"&amp;IFERROR(VLOOKUP(B10,LOOKUPS!$K$2:$L$9,2,FALSE),"UNK")&amp;"_"&amp;IFERROR(VLOOKUP(C10,LOOKUPS!$N$2:$O$10,2,FALSE),"UNK")&amp;"_"&amp;UPPER(L10))</f>
        <v>MCQ_ITNIC_P_PSC</v>
      </c>
      <c r="N10" s="3">
        <f>IF(M10="","",COUNTIF($M$2:M10,M10))</f>
        <v>1</v>
      </c>
      <c r="O10" s="3" t="s">
        <v>160</v>
      </c>
      <c r="P10" s="3" t="s">
        <v>161</v>
      </c>
      <c r="Q10" s="3" t="s">
        <v>162</v>
      </c>
      <c r="R10" s="3" t="s">
        <v>163</v>
      </c>
      <c r="S10" s="3" t="s">
        <v>164</v>
      </c>
      <c r="T10" s="3" t="s">
        <v>165</v>
      </c>
      <c r="U10" s="3" t="s">
        <v>133</v>
      </c>
      <c r="V10" s="3" t="s">
        <v>166</v>
      </c>
    </row>
    <row r="11" spans="1:22" ht="100.8" x14ac:dyDescent="0.3">
      <c r="A11" s="3" t="str">
        <f t="shared" si="0"/>
        <v>MCQ_ITNIC_T_PSC_001</v>
      </c>
      <c r="B11" s="3" t="s">
        <v>21</v>
      </c>
      <c r="C11" s="3" t="s">
        <v>823</v>
      </c>
      <c r="D11" s="3" t="s">
        <v>157</v>
      </c>
      <c r="E11" s="3" t="s">
        <v>18</v>
      </c>
      <c r="F11" s="3">
        <v>3</v>
      </c>
      <c r="G11" s="3" t="s">
        <v>16</v>
      </c>
      <c r="H11" s="3" t="s">
        <v>17</v>
      </c>
      <c r="I11" s="3" t="s">
        <v>167</v>
      </c>
      <c r="J11" s="3" t="s">
        <v>126</v>
      </c>
      <c r="K11" s="3">
        <v>1</v>
      </c>
      <c r="L11" s="3" t="s">
        <v>159</v>
      </c>
      <c r="M11" s="3" t="str">
        <f>IF(B11="","","MCQ"&amp;"_"&amp;IFERROR(VLOOKUP(B11,LOOKUPS!$K$2:$L$9,2,FALSE),"UNK")&amp;"_"&amp;IFERROR(VLOOKUP(C11,LOOKUPS!$N$2:$O$10,2,FALSE),"UNK")&amp;"_"&amp;UPPER(L11))</f>
        <v>MCQ_ITNIC_T_PSC</v>
      </c>
      <c r="N11" s="3">
        <f>IF(M11="","",COUNTIF($M$2:M11,M11))</f>
        <v>1</v>
      </c>
      <c r="O11" s="3" t="s">
        <v>776</v>
      </c>
      <c r="P11" s="3" t="s">
        <v>238</v>
      </c>
      <c r="Q11" s="3" t="s">
        <v>239</v>
      </c>
      <c r="R11" s="3" t="s">
        <v>168</v>
      </c>
      <c r="S11" s="3" t="s">
        <v>169</v>
      </c>
      <c r="T11" s="3" t="s">
        <v>170</v>
      </c>
      <c r="U11" s="3" t="s">
        <v>227</v>
      </c>
      <c r="V11" s="3" t="s">
        <v>790</v>
      </c>
    </row>
    <row r="12" spans="1:22" ht="86.4" x14ac:dyDescent="0.3">
      <c r="A12" s="3" t="str">
        <f t="shared" si="0"/>
        <v>MCQ_ITNIC_REQ_PSC_001</v>
      </c>
      <c r="B12" s="3" t="s">
        <v>21</v>
      </c>
      <c r="C12" s="3" t="s">
        <v>22</v>
      </c>
      <c r="D12" s="3" t="s">
        <v>157</v>
      </c>
      <c r="E12" s="3" t="s">
        <v>18</v>
      </c>
      <c r="F12" s="3">
        <v>3</v>
      </c>
      <c r="G12" s="3" t="s">
        <v>16</v>
      </c>
      <c r="H12" s="3" t="s">
        <v>17</v>
      </c>
      <c r="I12" s="3" t="s">
        <v>171</v>
      </c>
      <c r="J12" s="3" t="s">
        <v>126</v>
      </c>
      <c r="K12" s="3">
        <v>1</v>
      </c>
      <c r="L12" s="3" t="s">
        <v>159</v>
      </c>
      <c r="M12" s="3" t="str">
        <f>IF(B12="","","MCQ"&amp;"_"&amp;IFERROR(VLOOKUP(B12,LOOKUPS!$K$2:$L$9,2,FALSE),"UNK")&amp;"_"&amp;IFERROR(VLOOKUP(C12,LOOKUPS!$N$2:$O$10,2,FALSE),"UNK")&amp;"_"&amp;UPPER(L12))</f>
        <v>MCQ_ITNIC_REQ_PSC</v>
      </c>
      <c r="N12" s="3">
        <f>IF(M12="","",COUNTIF($M$2:M12,M12))</f>
        <v>1</v>
      </c>
      <c r="O12" s="3" t="s">
        <v>777</v>
      </c>
      <c r="P12" s="3" t="s">
        <v>240</v>
      </c>
      <c r="Q12" s="3" t="s">
        <v>172</v>
      </c>
      <c r="R12" s="3" t="s">
        <v>173</v>
      </c>
      <c r="S12" s="3" t="s">
        <v>241</v>
      </c>
      <c r="T12" s="3" t="s">
        <v>174</v>
      </c>
      <c r="U12" s="3" t="s">
        <v>228</v>
      </c>
      <c r="V12" s="3" t="s">
        <v>794</v>
      </c>
    </row>
    <row r="13" spans="1:22" ht="100.8" x14ac:dyDescent="0.3">
      <c r="A13" s="3" t="str">
        <f t="shared" si="0"/>
        <v>MCQ_ITNIC_DEF_SHS_001</v>
      </c>
      <c r="B13" s="3" t="s">
        <v>21</v>
      </c>
      <c r="C13" s="3" t="s">
        <v>15</v>
      </c>
      <c r="D13" s="3" t="s">
        <v>354</v>
      </c>
      <c r="E13" s="3" t="s">
        <v>18</v>
      </c>
      <c r="F13" s="3">
        <v>3</v>
      </c>
      <c r="G13" s="3" t="s">
        <v>16</v>
      </c>
      <c r="H13" s="3" t="s">
        <v>17</v>
      </c>
      <c r="I13" s="3" t="s">
        <v>200</v>
      </c>
      <c r="J13" s="3" t="s">
        <v>126</v>
      </c>
      <c r="K13" s="3">
        <v>1</v>
      </c>
      <c r="L13" s="3" t="s">
        <v>201</v>
      </c>
      <c r="M13" s="3" t="str">
        <f>IF(B13="","","MCQ"&amp;"_"&amp;IFERROR(VLOOKUP(B13,LOOKUPS!$K$2:$L$9,2,FALSE),"UNK")&amp;"_"&amp;IFERROR(VLOOKUP(C13,LOOKUPS!$N$2:$O$10,2,FALSE),"UNK")&amp;"_"&amp;UPPER(L13))</f>
        <v>MCQ_ITNIC_DEF_SHS</v>
      </c>
      <c r="N13" s="3">
        <f>IF(M13="","",COUNTIF($M$2:M13,M13))</f>
        <v>1</v>
      </c>
      <c r="O13" s="3" t="s">
        <v>801</v>
      </c>
      <c r="P13" s="3" t="s">
        <v>202</v>
      </c>
      <c r="Q13" s="3" t="s">
        <v>203</v>
      </c>
      <c r="R13" s="3" t="s">
        <v>690</v>
      </c>
      <c r="S13" s="3" t="s">
        <v>691</v>
      </c>
      <c r="T13" s="3" t="s">
        <v>692</v>
      </c>
      <c r="U13" s="3" t="s">
        <v>133</v>
      </c>
      <c r="V13" s="3" t="s">
        <v>204</v>
      </c>
    </row>
    <row r="14" spans="1:22" ht="115.2" x14ac:dyDescent="0.3">
      <c r="A14" s="3" t="str">
        <f t="shared" si="0"/>
        <v>MCQ_ITNIC_DEF_SHS_002</v>
      </c>
      <c r="B14" s="3" t="s">
        <v>21</v>
      </c>
      <c r="C14" s="3" t="s">
        <v>15</v>
      </c>
      <c r="D14" s="3" t="s">
        <v>354</v>
      </c>
      <c r="E14" s="3" t="s">
        <v>18</v>
      </c>
      <c r="F14" s="3">
        <v>3</v>
      </c>
      <c r="G14" s="3" t="s">
        <v>16</v>
      </c>
      <c r="H14" s="3" t="s">
        <v>17</v>
      </c>
      <c r="I14" s="3" t="s">
        <v>205</v>
      </c>
      <c r="J14" s="3" t="s">
        <v>126</v>
      </c>
      <c r="K14" s="3">
        <v>1</v>
      </c>
      <c r="L14" s="3" t="s">
        <v>201</v>
      </c>
      <c r="M14" s="3" t="str">
        <f>IF(B14="","","MCQ"&amp;"_"&amp;IFERROR(VLOOKUP(B14,LOOKUPS!$K$2:$L$9,2,FALSE),"UNK")&amp;"_"&amp;IFERROR(VLOOKUP(C14,LOOKUPS!$N$2:$O$10,2,FALSE),"UNK")&amp;"_"&amp;UPPER(L14))</f>
        <v>MCQ_ITNIC_DEF_SHS</v>
      </c>
      <c r="N14" s="3">
        <f>IF(M14="","",COUNTIF($M$2:M14,M14))</f>
        <v>2</v>
      </c>
      <c r="O14" s="3" t="s">
        <v>792</v>
      </c>
      <c r="P14" s="3" t="s">
        <v>732</v>
      </c>
      <c r="Q14" s="3" t="s">
        <v>206</v>
      </c>
      <c r="R14" s="3" t="s">
        <v>207</v>
      </c>
      <c r="S14" s="3" t="s">
        <v>208</v>
      </c>
      <c r="T14" s="3" t="s">
        <v>242</v>
      </c>
      <c r="U14" s="3" t="s">
        <v>226</v>
      </c>
      <c r="V14" s="3" t="s">
        <v>737</v>
      </c>
    </row>
    <row r="15" spans="1:22" ht="115.2" x14ac:dyDescent="0.3">
      <c r="A15" s="3" t="str">
        <f t="shared" si="0"/>
        <v>MCQ_ITNIC_T_SHS_001</v>
      </c>
      <c r="B15" s="3" t="s">
        <v>21</v>
      </c>
      <c r="C15" s="3" t="s">
        <v>823</v>
      </c>
      <c r="D15" s="3" t="s">
        <v>354</v>
      </c>
      <c r="E15" s="3" t="s">
        <v>18</v>
      </c>
      <c r="F15" s="3">
        <v>3</v>
      </c>
      <c r="G15" s="3" t="s">
        <v>16</v>
      </c>
      <c r="H15" s="3" t="s">
        <v>17</v>
      </c>
      <c r="I15" s="3" t="s">
        <v>209</v>
      </c>
      <c r="J15" s="3" t="s">
        <v>126</v>
      </c>
      <c r="K15" s="3">
        <v>1</v>
      </c>
      <c r="L15" s="3" t="s">
        <v>201</v>
      </c>
      <c r="M15" s="3" t="str">
        <f>IF(B15="","","MCQ"&amp;"_"&amp;IFERROR(VLOOKUP(B15,LOOKUPS!$K$2:$L$9,2,FALSE),"UNK")&amp;"_"&amp;IFERROR(VLOOKUP(C15,LOOKUPS!$N$2:$O$10,2,FALSE),"UNK")&amp;"_"&amp;UPPER(L15))</f>
        <v>MCQ_ITNIC_T_SHS</v>
      </c>
      <c r="N15" s="3">
        <f>IF(M15="","",COUNTIF($M$2:M15,M15))</f>
        <v>1</v>
      </c>
      <c r="O15" s="3" t="s">
        <v>793</v>
      </c>
      <c r="P15" s="3" t="s">
        <v>243</v>
      </c>
      <c r="Q15" s="3" t="s">
        <v>693</v>
      </c>
      <c r="R15" s="3" t="s">
        <v>314</v>
      </c>
      <c r="S15" s="3" t="s">
        <v>210</v>
      </c>
      <c r="T15" s="3" t="s">
        <v>211</v>
      </c>
      <c r="U15" s="3" t="s">
        <v>225</v>
      </c>
      <c r="V15" s="3" t="s">
        <v>694</v>
      </c>
    </row>
    <row r="16" spans="1:22" ht="57.6" x14ac:dyDescent="0.3">
      <c r="A16" s="3" t="str">
        <f t="shared" si="0"/>
        <v>MCQ_ITNIC_REQ_EMI_001</v>
      </c>
      <c r="B16" s="6" t="s">
        <v>21</v>
      </c>
      <c r="C16" s="6" t="s">
        <v>22</v>
      </c>
      <c r="D16" s="3" t="s">
        <v>354</v>
      </c>
      <c r="E16" s="6" t="s">
        <v>18</v>
      </c>
      <c r="F16" s="6">
        <v>3</v>
      </c>
      <c r="G16" s="6" t="s">
        <v>16</v>
      </c>
      <c r="H16" s="6" t="s">
        <v>17</v>
      </c>
      <c r="I16" s="6" t="s">
        <v>253</v>
      </c>
      <c r="J16" s="6" t="s">
        <v>126</v>
      </c>
      <c r="K16" s="6">
        <v>1</v>
      </c>
      <c r="L16" s="6" t="s">
        <v>254</v>
      </c>
      <c r="M16" s="3" t="str">
        <f>IF(B16="","","MCQ"&amp;"_"&amp;IFERROR(VLOOKUP(B16,LOOKUPS!$K$2:$L$9,2,FALSE),"UNK")&amp;"_"&amp;IFERROR(VLOOKUP(C16,LOOKUPS!$N$2:$O$10,2,FALSE),"UNK")&amp;"_"&amp;UPPER(L16))</f>
        <v>MCQ_ITNIC_REQ_EMI</v>
      </c>
      <c r="N16" s="3">
        <f>IF(M16="","",COUNTIF($M$2:M16,M16))</f>
        <v>1</v>
      </c>
      <c r="O16" s="6" t="s">
        <v>778</v>
      </c>
      <c r="P16" s="6" t="s">
        <v>255</v>
      </c>
      <c r="Q16" s="3" t="s">
        <v>256</v>
      </c>
      <c r="R16" s="3" t="s">
        <v>257</v>
      </c>
      <c r="S16" s="3" t="s">
        <v>258</v>
      </c>
      <c r="T16" s="3" t="s">
        <v>259</v>
      </c>
      <c r="U16" s="3" t="s">
        <v>133</v>
      </c>
      <c r="V16" s="3" t="s">
        <v>795</v>
      </c>
    </row>
    <row r="17" spans="1:22" ht="100.8" x14ac:dyDescent="0.3">
      <c r="A17" s="3" t="str">
        <f t="shared" si="0"/>
        <v>MCQ_ITNIC_REQ_EMI_002</v>
      </c>
      <c r="B17" s="6" t="s">
        <v>21</v>
      </c>
      <c r="C17" s="6" t="s">
        <v>22</v>
      </c>
      <c r="D17" s="3" t="s">
        <v>354</v>
      </c>
      <c r="E17" s="6" t="s">
        <v>18</v>
      </c>
      <c r="F17" s="6">
        <v>3</v>
      </c>
      <c r="G17" s="6" t="s">
        <v>16</v>
      </c>
      <c r="H17" s="6" t="s">
        <v>17</v>
      </c>
      <c r="I17" s="6" t="s">
        <v>253</v>
      </c>
      <c r="J17" s="6" t="s">
        <v>126</v>
      </c>
      <c r="K17" s="6">
        <v>1</v>
      </c>
      <c r="L17" s="6" t="s">
        <v>254</v>
      </c>
      <c r="M17" s="3" t="str">
        <f>IF(B17="","","MCQ"&amp;"_"&amp;IFERROR(VLOOKUP(B17,LOOKUPS!$K$2:$L$9,2,FALSE),"UNK")&amp;"_"&amp;IFERROR(VLOOKUP(C17,LOOKUPS!$N$2:$O$10,2,FALSE),"UNK")&amp;"_"&amp;UPPER(L17))</f>
        <v>MCQ_ITNIC_REQ_EMI</v>
      </c>
      <c r="N17" s="3">
        <f>IF(M17="","",COUNTIF($M$2:M17,M17))</f>
        <v>2</v>
      </c>
      <c r="O17" s="6" t="s">
        <v>779</v>
      </c>
      <c r="P17" s="6" t="s">
        <v>695</v>
      </c>
      <c r="Q17" s="3" t="s">
        <v>696</v>
      </c>
      <c r="R17" s="3" t="s">
        <v>260</v>
      </c>
      <c r="S17" s="3" t="s">
        <v>697</v>
      </c>
      <c r="T17" s="3" t="s">
        <v>261</v>
      </c>
      <c r="U17" s="3" t="s">
        <v>227</v>
      </c>
      <c r="V17" s="3" t="s">
        <v>262</v>
      </c>
    </row>
    <row r="18" spans="1:22" ht="43.2" x14ac:dyDescent="0.3">
      <c r="A18" s="3" t="str">
        <f t="shared" si="0"/>
        <v>MCQ_ITNIC_REQ_EMI_003</v>
      </c>
      <c r="B18" s="6" t="s">
        <v>21</v>
      </c>
      <c r="C18" s="6" t="s">
        <v>22</v>
      </c>
      <c r="D18" s="3" t="s">
        <v>354</v>
      </c>
      <c r="E18" s="6" t="s">
        <v>18</v>
      </c>
      <c r="F18" s="6">
        <v>3</v>
      </c>
      <c r="G18" s="6" t="s">
        <v>16</v>
      </c>
      <c r="H18" s="6" t="s">
        <v>17</v>
      </c>
      <c r="I18" s="6" t="s">
        <v>253</v>
      </c>
      <c r="J18" s="6" t="s">
        <v>126</v>
      </c>
      <c r="K18" s="6">
        <v>1</v>
      </c>
      <c r="L18" s="6" t="s">
        <v>254</v>
      </c>
      <c r="M18" s="3" t="str">
        <f>IF(B18="","","MCQ"&amp;"_"&amp;IFERROR(VLOOKUP(B18,LOOKUPS!$K$2:$L$9,2,FALSE),"UNK")&amp;"_"&amp;IFERROR(VLOOKUP(C18,LOOKUPS!$N$2:$O$10,2,FALSE),"UNK")&amp;"_"&amp;UPPER(L18))</f>
        <v>MCQ_ITNIC_REQ_EMI</v>
      </c>
      <c r="N18" s="3">
        <f>IF(M18="","",COUNTIF($M$2:M18,M18))</f>
        <v>3</v>
      </c>
      <c r="O18" s="6" t="s">
        <v>780</v>
      </c>
      <c r="P18" s="6" t="s">
        <v>263</v>
      </c>
      <c r="Q18" s="3" t="s">
        <v>264</v>
      </c>
      <c r="R18" s="3" t="s">
        <v>265</v>
      </c>
      <c r="S18" s="3" t="s">
        <v>266</v>
      </c>
      <c r="T18" s="3" t="s">
        <v>267</v>
      </c>
      <c r="U18" s="3" t="s">
        <v>225</v>
      </c>
      <c r="V18" s="3" t="s">
        <v>796</v>
      </c>
    </row>
    <row r="19" spans="1:22" ht="57.6" x14ac:dyDescent="0.3">
      <c r="A19" s="3" t="str">
        <f t="shared" si="0"/>
        <v>MCQ_ITNIC_REQ_EMI_004</v>
      </c>
      <c r="B19" s="6" t="s">
        <v>21</v>
      </c>
      <c r="C19" s="6" t="s">
        <v>22</v>
      </c>
      <c r="D19" s="3" t="s">
        <v>354</v>
      </c>
      <c r="E19" s="6" t="s">
        <v>18</v>
      </c>
      <c r="F19" s="6">
        <v>3</v>
      </c>
      <c r="G19" s="6" t="s">
        <v>16</v>
      </c>
      <c r="H19" s="6" t="s">
        <v>17</v>
      </c>
      <c r="I19" s="6" t="s">
        <v>253</v>
      </c>
      <c r="J19" s="6" t="s">
        <v>126</v>
      </c>
      <c r="K19" s="6">
        <v>1</v>
      </c>
      <c r="L19" s="6" t="s">
        <v>254</v>
      </c>
      <c r="M19" s="3" t="str">
        <f>IF(B19="","","MCQ"&amp;"_"&amp;IFERROR(VLOOKUP(B19,LOOKUPS!$K$2:$L$9,2,FALSE),"UNK")&amp;"_"&amp;IFERROR(VLOOKUP(C19,LOOKUPS!$N$2:$O$10,2,FALSE),"UNK")&amp;"_"&amp;UPPER(L19))</f>
        <v>MCQ_ITNIC_REQ_EMI</v>
      </c>
      <c r="N19" s="3">
        <f>IF(M19="","",COUNTIF($M$2:M19,M19))</f>
        <v>4</v>
      </c>
      <c r="O19" s="6" t="s">
        <v>781</v>
      </c>
      <c r="P19" s="6" t="s">
        <v>268</v>
      </c>
      <c r="Q19" s="3" t="s">
        <v>269</v>
      </c>
      <c r="R19" s="3" t="s">
        <v>270</v>
      </c>
      <c r="S19" s="3" t="s">
        <v>271</v>
      </c>
      <c r="T19" s="3" t="s">
        <v>272</v>
      </c>
      <c r="U19" s="3" t="s">
        <v>228</v>
      </c>
      <c r="V19" s="3" t="s">
        <v>273</v>
      </c>
    </row>
    <row r="20" spans="1:22" ht="72" x14ac:dyDescent="0.3">
      <c r="A20" s="3" t="str">
        <f t="shared" si="0"/>
        <v>MCQ_ITNIC_REQ_EMI_005</v>
      </c>
      <c r="B20" s="3" t="s">
        <v>21</v>
      </c>
      <c r="C20" s="3" t="s">
        <v>22</v>
      </c>
      <c r="D20" s="3" t="s">
        <v>354</v>
      </c>
      <c r="E20" s="3" t="s">
        <v>18</v>
      </c>
      <c r="F20" s="3">
        <v>3</v>
      </c>
      <c r="G20" s="3" t="s">
        <v>16</v>
      </c>
      <c r="H20" s="3" t="s">
        <v>17</v>
      </c>
      <c r="I20" s="3" t="s">
        <v>253</v>
      </c>
      <c r="J20" s="3" t="s">
        <v>126</v>
      </c>
      <c r="K20" s="3">
        <v>1</v>
      </c>
      <c r="L20" s="3" t="s">
        <v>254</v>
      </c>
      <c r="M20" s="3" t="str">
        <f>IF(B20="","","MCQ"&amp;"_"&amp;IFERROR(VLOOKUP(B20,LOOKUPS!$K$2:$L$9,2,FALSE),"UNK")&amp;"_"&amp;IFERROR(VLOOKUP(C20,LOOKUPS!$N$2:$O$10,2,FALSE),"UNK")&amp;"_"&amp;UPPER(L20))</f>
        <v>MCQ_ITNIC_REQ_EMI</v>
      </c>
      <c r="N20" s="3">
        <f>IF(M20="","",COUNTIF($M$2:M20,M20))</f>
        <v>5</v>
      </c>
      <c r="O20" s="3" t="s">
        <v>782</v>
      </c>
      <c r="P20" s="3" t="s">
        <v>274</v>
      </c>
      <c r="Q20" s="3" t="s">
        <v>275</v>
      </c>
      <c r="R20" s="3" t="s">
        <v>276</v>
      </c>
      <c r="S20" s="3" t="s">
        <v>698</v>
      </c>
      <c r="T20" s="3" t="s">
        <v>277</v>
      </c>
      <c r="U20" s="3" t="s">
        <v>226</v>
      </c>
      <c r="V20" s="3" t="s">
        <v>797</v>
      </c>
    </row>
    <row r="21" spans="1:22" ht="72" x14ac:dyDescent="0.3">
      <c r="A21" s="3" t="str">
        <f t="shared" si="0"/>
        <v>MCQ_ITNIC_REQ_EMI_006</v>
      </c>
      <c r="B21" s="3" t="s">
        <v>21</v>
      </c>
      <c r="C21" s="3" t="s">
        <v>22</v>
      </c>
      <c r="D21" s="3" t="s">
        <v>354</v>
      </c>
      <c r="E21" s="3" t="s">
        <v>18</v>
      </c>
      <c r="F21" s="3">
        <v>3</v>
      </c>
      <c r="G21" s="3" t="s">
        <v>16</v>
      </c>
      <c r="H21" s="3" t="s">
        <v>17</v>
      </c>
      <c r="I21" s="3" t="s">
        <v>278</v>
      </c>
      <c r="J21" s="3" t="s">
        <v>126</v>
      </c>
      <c r="K21" s="3">
        <v>1</v>
      </c>
      <c r="L21" s="3" t="s">
        <v>254</v>
      </c>
      <c r="M21" s="3" t="str">
        <f>IF(B21="","","MCQ"&amp;"_"&amp;IFERROR(VLOOKUP(B21,LOOKUPS!$K$2:$L$9,2,FALSE),"UNK")&amp;"_"&amp;IFERROR(VLOOKUP(C21,LOOKUPS!$N$2:$O$10,2,FALSE),"UNK")&amp;"_"&amp;UPPER(L21))</f>
        <v>MCQ_ITNIC_REQ_EMI</v>
      </c>
      <c r="N21" s="3">
        <f>IF(M21="","",COUNTIF($M$2:M21,M21))</f>
        <v>6</v>
      </c>
      <c r="O21" s="3" t="s">
        <v>783</v>
      </c>
      <c r="P21" s="3" t="s">
        <v>279</v>
      </c>
      <c r="Q21" s="3" t="s">
        <v>280</v>
      </c>
      <c r="R21" s="3" t="s">
        <v>281</v>
      </c>
      <c r="S21" s="3" t="s">
        <v>282</v>
      </c>
      <c r="T21" s="3" t="s">
        <v>283</v>
      </c>
      <c r="U21" s="3" t="s">
        <v>226</v>
      </c>
      <c r="V21" s="3" t="s">
        <v>284</v>
      </c>
    </row>
    <row r="22" spans="1:22" ht="57.6" x14ac:dyDescent="0.3">
      <c r="A22" s="3" t="str">
        <f t="shared" si="0"/>
        <v>MCQ_ITNIC_REQ_EMI_007</v>
      </c>
      <c r="B22" s="3" t="s">
        <v>21</v>
      </c>
      <c r="C22" s="3" t="s">
        <v>22</v>
      </c>
      <c r="D22" s="3" t="s">
        <v>354</v>
      </c>
      <c r="E22" s="3" t="s">
        <v>18</v>
      </c>
      <c r="F22" s="3">
        <v>3</v>
      </c>
      <c r="G22" s="3" t="s">
        <v>16</v>
      </c>
      <c r="H22" s="3" t="s">
        <v>17</v>
      </c>
      <c r="I22" s="3" t="s">
        <v>278</v>
      </c>
      <c r="J22" s="3" t="s">
        <v>126</v>
      </c>
      <c r="K22" s="3">
        <v>1</v>
      </c>
      <c r="L22" s="3" t="s">
        <v>254</v>
      </c>
      <c r="M22" s="3" t="str">
        <f>IF(B22="","","MCQ"&amp;"_"&amp;IFERROR(VLOOKUP(B22,LOOKUPS!$K$2:$L$9,2,FALSE),"UNK")&amp;"_"&amp;IFERROR(VLOOKUP(C22,LOOKUPS!$N$2:$O$10,2,FALSE),"UNK")&amp;"_"&amp;UPPER(L22))</f>
        <v>MCQ_ITNIC_REQ_EMI</v>
      </c>
      <c r="N22" s="3">
        <f>IF(M22="","",COUNTIF($M$2:M22,M22))</f>
        <v>7</v>
      </c>
      <c r="O22" s="3" t="s">
        <v>784</v>
      </c>
      <c r="P22" s="3" t="s">
        <v>285</v>
      </c>
      <c r="Q22" s="3" t="s">
        <v>286</v>
      </c>
      <c r="R22" s="3" t="s">
        <v>287</v>
      </c>
      <c r="S22" s="3" t="s">
        <v>288</v>
      </c>
      <c r="T22" s="3" t="s">
        <v>289</v>
      </c>
      <c r="U22" s="3" t="s">
        <v>228</v>
      </c>
      <c r="V22" s="3" t="s">
        <v>798</v>
      </c>
    </row>
    <row r="23" spans="1:22" ht="86.4" x14ac:dyDescent="0.3">
      <c r="A23" s="3" t="str">
        <f t="shared" si="0"/>
        <v>MCQ_ITNIC_REQ_EMI_008</v>
      </c>
      <c r="B23" s="3" t="s">
        <v>21</v>
      </c>
      <c r="C23" s="3" t="s">
        <v>22</v>
      </c>
      <c r="D23" s="3" t="s">
        <v>354</v>
      </c>
      <c r="E23" s="3" t="s">
        <v>18</v>
      </c>
      <c r="F23" s="3">
        <v>3</v>
      </c>
      <c r="G23" s="3" t="s">
        <v>16</v>
      </c>
      <c r="H23" s="3" t="s">
        <v>17</v>
      </c>
      <c r="I23" s="3" t="s">
        <v>290</v>
      </c>
      <c r="J23" s="3" t="s">
        <v>126</v>
      </c>
      <c r="K23" s="3">
        <v>1</v>
      </c>
      <c r="L23" s="3" t="s">
        <v>254</v>
      </c>
      <c r="M23" s="3" t="str">
        <f>IF(B23="","","MCQ"&amp;"_"&amp;IFERROR(VLOOKUP(B23,LOOKUPS!$K$2:$L$9,2,FALSE),"UNK")&amp;"_"&amp;IFERROR(VLOOKUP(C23,LOOKUPS!$N$2:$O$10,2,FALSE),"UNK")&amp;"_"&amp;UPPER(L23))</f>
        <v>MCQ_ITNIC_REQ_EMI</v>
      </c>
      <c r="N23" s="3">
        <f>IF(M23="","",COUNTIF($M$2:M23,M23))</f>
        <v>8</v>
      </c>
      <c r="O23" s="3" t="s">
        <v>785</v>
      </c>
      <c r="P23" s="3" t="s">
        <v>291</v>
      </c>
      <c r="Q23" s="3" t="s">
        <v>292</v>
      </c>
      <c r="R23" s="3" t="s">
        <v>293</v>
      </c>
      <c r="S23" s="3" t="s">
        <v>294</v>
      </c>
      <c r="T23" s="3" t="s">
        <v>295</v>
      </c>
      <c r="U23" s="3" t="s">
        <v>225</v>
      </c>
      <c r="V23" s="3" t="s">
        <v>296</v>
      </c>
    </row>
    <row r="24" spans="1:22" ht="43.2" x14ac:dyDescent="0.3">
      <c r="A24" s="3" t="str">
        <f t="shared" si="0"/>
        <v>MCQ_ITNIC_REQ_EMI_009</v>
      </c>
      <c r="B24" s="3" t="s">
        <v>21</v>
      </c>
      <c r="C24" s="3" t="s">
        <v>22</v>
      </c>
      <c r="D24" s="3" t="s">
        <v>354</v>
      </c>
      <c r="E24" s="3" t="s">
        <v>18</v>
      </c>
      <c r="F24" s="3">
        <v>3</v>
      </c>
      <c r="G24" s="3" t="s">
        <v>16</v>
      </c>
      <c r="H24" s="3" t="s">
        <v>17</v>
      </c>
      <c r="I24" s="3" t="s">
        <v>297</v>
      </c>
      <c r="J24" s="3" t="s">
        <v>126</v>
      </c>
      <c r="K24" s="3">
        <v>1</v>
      </c>
      <c r="L24" s="3" t="s">
        <v>254</v>
      </c>
      <c r="M24" s="3" t="str">
        <f>IF(B24="","","MCQ"&amp;"_"&amp;IFERROR(VLOOKUP(B24,LOOKUPS!$K$2:$L$9,2,FALSE),"UNK")&amp;"_"&amp;IFERROR(VLOOKUP(C24,LOOKUPS!$N$2:$O$10,2,FALSE),"UNK")&amp;"_"&amp;UPPER(L24))</f>
        <v>MCQ_ITNIC_REQ_EMI</v>
      </c>
      <c r="N24" s="3">
        <f>IF(M24="","",COUNTIF($M$2:M24,M24))</f>
        <v>9</v>
      </c>
      <c r="O24" s="3" t="s">
        <v>786</v>
      </c>
      <c r="P24" s="3" t="s">
        <v>298</v>
      </c>
      <c r="Q24" s="3" t="s">
        <v>299</v>
      </c>
      <c r="R24" s="3" t="s">
        <v>300</v>
      </c>
      <c r="S24" s="3" t="s">
        <v>301</v>
      </c>
      <c r="T24" s="3" t="s">
        <v>302</v>
      </c>
      <c r="U24" s="3" t="s">
        <v>227</v>
      </c>
      <c r="V24" s="3" t="s">
        <v>799</v>
      </c>
    </row>
    <row r="25" spans="1:22" ht="43.2" x14ac:dyDescent="0.3">
      <c r="A25" s="3" t="str">
        <f t="shared" si="0"/>
        <v>MCQ_ITNIC_REQ_EMI_010</v>
      </c>
      <c r="B25" s="3" t="s">
        <v>21</v>
      </c>
      <c r="C25" s="3" t="s">
        <v>22</v>
      </c>
      <c r="D25" s="3" t="s">
        <v>354</v>
      </c>
      <c r="E25" s="3" t="s">
        <v>18</v>
      </c>
      <c r="F25" s="3">
        <v>3</v>
      </c>
      <c r="G25" s="3" t="s">
        <v>16</v>
      </c>
      <c r="H25" s="3" t="s">
        <v>17</v>
      </c>
      <c r="I25" s="3" t="s">
        <v>297</v>
      </c>
      <c r="J25" s="3" t="s">
        <v>126</v>
      </c>
      <c r="K25" s="3">
        <v>1</v>
      </c>
      <c r="L25" s="3" t="s">
        <v>254</v>
      </c>
      <c r="M25" s="3" t="str">
        <f>IF(B25="","","MCQ"&amp;"_"&amp;IFERROR(VLOOKUP(B25,LOOKUPS!$K$2:$L$9,2,FALSE),"UNK")&amp;"_"&amp;IFERROR(VLOOKUP(C25,LOOKUPS!$N$2:$O$10,2,FALSE),"UNK")&amp;"_"&amp;UPPER(L25))</f>
        <v>MCQ_ITNIC_REQ_EMI</v>
      </c>
      <c r="N25" s="3">
        <f>IF(M25="","",COUNTIF($M$2:M25,M25))</f>
        <v>10</v>
      </c>
      <c r="O25" s="3" t="s">
        <v>787</v>
      </c>
      <c r="P25" s="3" t="s">
        <v>303</v>
      </c>
      <c r="Q25" s="3" t="s">
        <v>299</v>
      </c>
      <c r="R25" s="3" t="s">
        <v>304</v>
      </c>
      <c r="S25" s="3" t="s">
        <v>305</v>
      </c>
      <c r="T25" s="3" t="s">
        <v>306</v>
      </c>
      <c r="U25" s="3" t="s">
        <v>133</v>
      </c>
      <c r="V25" s="3" t="s">
        <v>307</v>
      </c>
    </row>
    <row r="26" spans="1:22" ht="86.4" x14ac:dyDescent="0.3">
      <c r="A26" s="3" t="str">
        <f t="shared" si="0"/>
        <v>MCQ_ITNIC_REQ_EMI_011</v>
      </c>
      <c r="B26" s="3" t="s">
        <v>21</v>
      </c>
      <c r="C26" s="3" t="s">
        <v>22</v>
      </c>
      <c r="D26" s="3" t="s">
        <v>354</v>
      </c>
      <c r="E26" s="3" t="s">
        <v>18</v>
      </c>
      <c r="F26" s="3">
        <v>3</v>
      </c>
      <c r="G26" s="3" t="s">
        <v>16</v>
      </c>
      <c r="H26" s="3" t="s">
        <v>17</v>
      </c>
      <c r="I26" s="3" t="s">
        <v>297</v>
      </c>
      <c r="J26" s="3" t="s">
        <v>126</v>
      </c>
      <c r="K26" s="3">
        <v>1</v>
      </c>
      <c r="L26" s="3" t="s">
        <v>254</v>
      </c>
      <c r="M26" s="3" t="str">
        <f>IF(B26="","","MCQ"&amp;"_"&amp;IFERROR(VLOOKUP(B26,LOOKUPS!$K$2:$L$9,2,FALSE),"UNK")&amp;"_"&amp;IFERROR(VLOOKUP(C26,LOOKUPS!$N$2:$O$10,2,FALSE),"UNK")&amp;"_"&amp;UPPER(L26))</f>
        <v>MCQ_ITNIC_REQ_EMI</v>
      </c>
      <c r="N26" s="3">
        <f>IF(M26="","",COUNTIF($M$2:M26,M26))</f>
        <v>11</v>
      </c>
      <c r="O26" s="3" t="s">
        <v>788</v>
      </c>
      <c r="P26" s="3" t="s">
        <v>699</v>
      </c>
      <c r="Q26" s="3" t="s">
        <v>700</v>
      </c>
      <c r="R26" s="3" t="s">
        <v>701</v>
      </c>
      <c r="S26" s="3" t="s">
        <v>702</v>
      </c>
      <c r="T26" s="3" t="s">
        <v>703</v>
      </c>
      <c r="U26" s="3" t="s">
        <v>225</v>
      </c>
      <c r="V26" s="3" t="s">
        <v>800</v>
      </c>
    </row>
    <row r="27" spans="1:22" ht="100.8" x14ac:dyDescent="0.3">
      <c r="A27" s="3" t="str">
        <f t="shared" si="0"/>
        <v>MCQ_ITNIC_P_EMI_001</v>
      </c>
      <c r="B27" s="3" t="s">
        <v>21</v>
      </c>
      <c r="C27" s="3" t="s">
        <v>821</v>
      </c>
      <c r="D27" s="3" t="s">
        <v>354</v>
      </c>
      <c r="E27" s="3" t="s">
        <v>18</v>
      </c>
      <c r="F27" s="3">
        <v>3</v>
      </c>
      <c r="G27" s="3" t="s">
        <v>16</v>
      </c>
      <c r="H27" s="3" t="s">
        <v>17</v>
      </c>
      <c r="I27" s="3" t="s">
        <v>308</v>
      </c>
      <c r="J27" s="3" t="s">
        <v>126</v>
      </c>
      <c r="K27" s="3">
        <v>1</v>
      </c>
      <c r="L27" s="3" t="s">
        <v>254</v>
      </c>
      <c r="M27" s="3" t="str">
        <f>IF(B27="","","MCQ"&amp;"_"&amp;IFERROR(VLOOKUP(B27,LOOKUPS!$K$2:$L$9,2,FALSE),"UNK")&amp;"_"&amp;IFERROR(VLOOKUP(C27,LOOKUPS!$N$2:$O$10,2,FALSE),"UNK")&amp;"_"&amp;UPPER(L27))</f>
        <v>MCQ_ITNIC_P_EMI</v>
      </c>
      <c r="N27" s="3">
        <f>IF(M27="","",COUNTIF($M$2:M27,M27))</f>
        <v>1</v>
      </c>
      <c r="O27" s="3" t="s">
        <v>789</v>
      </c>
      <c r="P27" s="3" t="s">
        <v>754</v>
      </c>
      <c r="Q27" s="3" t="s">
        <v>733</v>
      </c>
      <c r="R27" s="3" t="s">
        <v>734</v>
      </c>
      <c r="S27" s="3" t="s">
        <v>735</v>
      </c>
      <c r="T27" s="3" t="s">
        <v>736</v>
      </c>
      <c r="U27" s="3" t="s">
        <v>226</v>
      </c>
      <c r="V27" s="3" t="s">
        <v>738</v>
      </c>
    </row>
    <row r="28" spans="1:22" ht="57.6" x14ac:dyDescent="0.3">
      <c r="A28" s="3" t="str">
        <f t="shared" si="0"/>
        <v>MCQ_CGT_REQ_RESDOM_001</v>
      </c>
      <c r="B28" s="3" t="s">
        <v>28</v>
      </c>
      <c r="C28" s="3" t="s">
        <v>22</v>
      </c>
      <c r="D28" s="3" t="s">
        <v>473</v>
      </c>
      <c r="E28" s="3" t="s">
        <v>18</v>
      </c>
      <c r="F28" s="3">
        <v>3</v>
      </c>
      <c r="G28" s="3" t="s">
        <v>16</v>
      </c>
      <c r="H28" s="3" t="s">
        <v>17</v>
      </c>
      <c r="I28" s="3" t="s">
        <v>474</v>
      </c>
      <c r="J28" s="3" t="s">
        <v>432</v>
      </c>
      <c r="K28" s="3">
        <v>1</v>
      </c>
      <c r="L28" s="3" t="s">
        <v>475</v>
      </c>
      <c r="M28" s="3" t="str">
        <f>IF(B28="","","MCQ"&amp;"_"&amp;IFERROR(VLOOKUP(B28,LOOKUPS!$K$2:$L$9,2,FALSE),"UNK")&amp;"_"&amp;IFERROR(VLOOKUP(C28,LOOKUPS!$N$2:$O$10,2,FALSE),"UNK")&amp;"_"&amp;UPPER(L28))</f>
        <v>MCQ_CGT_REQ_RESDOM</v>
      </c>
      <c r="N28" s="3">
        <f>IF(M28="","",COUNTIF($M$2:M28,M28))</f>
        <v>1</v>
      </c>
      <c r="O28" s="3" t="s">
        <v>590</v>
      </c>
      <c r="P28" s="3" t="s">
        <v>825</v>
      </c>
      <c r="Q28" s="3" t="s">
        <v>589</v>
      </c>
      <c r="R28" s="3" t="s">
        <v>588</v>
      </c>
      <c r="S28" s="3" t="s">
        <v>587</v>
      </c>
      <c r="T28" s="3"/>
      <c r="U28" s="3" t="s">
        <v>133</v>
      </c>
      <c r="V28" s="3" t="s">
        <v>586</v>
      </c>
    </row>
    <row r="29" spans="1:22" ht="57.6" x14ac:dyDescent="0.3">
      <c r="A29" s="3" t="str">
        <f t="shared" si="0"/>
        <v>MCQ_CGT_REQ_RESDOM_002</v>
      </c>
      <c r="B29" s="3" t="s">
        <v>28</v>
      </c>
      <c r="C29" s="3" t="s">
        <v>22</v>
      </c>
      <c r="D29" s="3" t="s">
        <v>473</v>
      </c>
      <c r="E29" s="3" t="s">
        <v>18</v>
      </c>
      <c r="F29" s="3">
        <v>3</v>
      </c>
      <c r="G29" s="3" t="s">
        <v>16</v>
      </c>
      <c r="H29" s="3" t="s">
        <v>17</v>
      </c>
      <c r="I29" s="3" t="s">
        <v>474</v>
      </c>
      <c r="J29" s="3" t="s">
        <v>432</v>
      </c>
      <c r="K29" s="3">
        <v>1</v>
      </c>
      <c r="L29" s="3" t="s">
        <v>475</v>
      </c>
      <c r="M29" s="3" t="str">
        <f>IF(B29="","","MCQ"&amp;"_"&amp;IFERROR(VLOOKUP(B29,LOOKUPS!$K$2:$L$9,2,FALSE),"UNK")&amp;"_"&amp;IFERROR(VLOOKUP(C29,LOOKUPS!$N$2:$O$10,2,FALSE),"UNK")&amp;"_"&amp;UPPER(L29))</f>
        <v>MCQ_CGT_REQ_RESDOM</v>
      </c>
      <c r="N29" s="3">
        <f>IF(M29="","",COUNTIF($M$2:M29,M29))</f>
        <v>2</v>
      </c>
      <c r="O29" s="3" t="s">
        <v>585</v>
      </c>
      <c r="P29" s="3" t="s">
        <v>826</v>
      </c>
      <c r="Q29" s="3" t="s">
        <v>584</v>
      </c>
      <c r="R29" s="3" t="s">
        <v>583</v>
      </c>
      <c r="S29" s="3" t="s">
        <v>582</v>
      </c>
      <c r="T29" s="3"/>
      <c r="U29" s="3" t="s">
        <v>227</v>
      </c>
      <c r="V29" s="3" t="s">
        <v>581</v>
      </c>
    </row>
    <row r="30" spans="1:22" ht="28.8" x14ac:dyDescent="0.3">
      <c r="A30" s="3" t="str">
        <f t="shared" si="0"/>
        <v>MCQ_CGT_REQ_RESDOM_003</v>
      </c>
      <c r="B30" s="3" t="s">
        <v>28</v>
      </c>
      <c r="C30" s="3" t="s">
        <v>22</v>
      </c>
      <c r="D30" s="3" t="s">
        <v>473</v>
      </c>
      <c r="E30" s="3" t="s">
        <v>18</v>
      </c>
      <c r="F30" s="3">
        <v>3</v>
      </c>
      <c r="G30" s="3" t="s">
        <v>16</v>
      </c>
      <c r="H30" s="3" t="s">
        <v>17</v>
      </c>
      <c r="I30" s="3" t="s">
        <v>483</v>
      </c>
      <c r="J30" s="3" t="s">
        <v>432</v>
      </c>
      <c r="K30" s="3">
        <v>1</v>
      </c>
      <c r="L30" s="3" t="s">
        <v>475</v>
      </c>
      <c r="M30" s="3" t="str">
        <f>IF(B30="","","MCQ"&amp;"_"&amp;IFERROR(VLOOKUP(B30,LOOKUPS!$K$2:$L$9,2,FALSE),"UNK")&amp;"_"&amp;IFERROR(VLOOKUP(C30,LOOKUPS!$N$2:$O$10,2,FALSE),"UNK")&amp;"_"&amp;UPPER(L30))</f>
        <v>MCQ_CGT_REQ_RESDOM</v>
      </c>
      <c r="N30" s="3">
        <f>IF(M30="","",COUNTIF($M$2:M30,M30))</f>
        <v>3</v>
      </c>
      <c r="O30" s="3" t="s">
        <v>580</v>
      </c>
      <c r="P30" s="3" t="s">
        <v>827</v>
      </c>
      <c r="Q30" s="3" t="s">
        <v>579</v>
      </c>
      <c r="R30" s="3" t="s">
        <v>578</v>
      </c>
      <c r="S30" s="3" t="s">
        <v>577</v>
      </c>
      <c r="T30" s="3"/>
      <c r="U30" s="3" t="s">
        <v>225</v>
      </c>
      <c r="V30" s="3" t="s">
        <v>576</v>
      </c>
    </row>
    <row r="31" spans="1:22" ht="43.2" x14ac:dyDescent="0.3">
      <c r="A31" s="3" t="str">
        <f t="shared" si="0"/>
        <v>MCQ_CGT_REQ_RESDOM_004</v>
      </c>
      <c r="B31" s="3" t="s">
        <v>28</v>
      </c>
      <c r="C31" s="3" t="s">
        <v>22</v>
      </c>
      <c r="D31" s="3" t="s">
        <v>473</v>
      </c>
      <c r="E31" s="3" t="s">
        <v>18</v>
      </c>
      <c r="F31" s="3">
        <v>3</v>
      </c>
      <c r="G31" s="3" t="s">
        <v>16</v>
      </c>
      <c r="H31" s="3" t="s">
        <v>17</v>
      </c>
      <c r="I31" s="3" t="s">
        <v>488</v>
      </c>
      <c r="J31" s="3" t="s">
        <v>432</v>
      </c>
      <c r="K31" s="3">
        <v>1</v>
      </c>
      <c r="L31" s="3" t="s">
        <v>475</v>
      </c>
      <c r="M31" s="3" t="str">
        <f>IF(B31="","","MCQ"&amp;"_"&amp;IFERROR(VLOOKUP(B31,LOOKUPS!$K$2:$L$9,2,FALSE),"UNK")&amp;"_"&amp;IFERROR(VLOOKUP(C31,LOOKUPS!$N$2:$O$10,2,FALSE),"UNK")&amp;"_"&amp;UPPER(L31))</f>
        <v>MCQ_CGT_REQ_RESDOM</v>
      </c>
      <c r="N31" s="3">
        <f>IF(M31="","",COUNTIF($M$2:M31,M31))</f>
        <v>4</v>
      </c>
      <c r="O31" s="3" t="s">
        <v>575</v>
      </c>
      <c r="P31" s="3" t="s">
        <v>828</v>
      </c>
      <c r="Q31" s="3" t="s">
        <v>574</v>
      </c>
      <c r="R31" s="3" t="s">
        <v>573</v>
      </c>
      <c r="S31" s="3" t="s">
        <v>572</v>
      </c>
      <c r="T31" s="3"/>
      <c r="U31" s="3" t="s">
        <v>227</v>
      </c>
      <c r="V31" s="3" t="s">
        <v>571</v>
      </c>
    </row>
    <row r="32" spans="1:22" ht="43.2" x14ac:dyDescent="0.3">
      <c r="A32" s="3" t="str">
        <f t="shared" si="0"/>
        <v>MCQ_CGT_DEF_RESDOM_001</v>
      </c>
      <c r="B32" s="3" t="s">
        <v>28</v>
      </c>
      <c r="C32" s="3" t="s">
        <v>15</v>
      </c>
      <c r="D32" s="3" t="s">
        <v>473</v>
      </c>
      <c r="E32" s="3" t="s">
        <v>18</v>
      </c>
      <c r="F32" s="3">
        <v>3</v>
      </c>
      <c r="G32" s="3" t="s">
        <v>16</v>
      </c>
      <c r="H32" s="3" t="s">
        <v>17</v>
      </c>
      <c r="I32" s="3" t="s">
        <v>494</v>
      </c>
      <c r="J32" s="3" t="s">
        <v>432</v>
      </c>
      <c r="K32" s="3">
        <v>1</v>
      </c>
      <c r="L32" s="3" t="s">
        <v>475</v>
      </c>
      <c r="M32" s="3" t="str">
        <f>IF(B32="","","MCQ"&amp;"_"&amp;IFERROR(VLOOKUP(B32,LOOKUPS!$K$2:$L$9,2,FALSE),"UNK")&amp;"_"&amp;IFERROR(VLOOKUP(C32,LOOKUPS!$N$2:$O$10,2,FALSE),"UNK")&amp;"_"&amp;UPPER(L32))</f>
        <v>MCQ_CGT_DEF_RESDOM</v>
      </c>
      <c r="N32" s="3">
        <f>IF(M32="","",COUNTIF($M$2:M32,M32))</f>
        <v>1</v>
      </c>
      <c r="O32" s="3" t="s">
        <v>570</v>
      </c>
      <c r="P32" s="3" t="s">
        <v>829</v>
      </c>
      <c r="Q32" s="3" t="s">
        <v>569</v>
      </c>
      <c r="R32" s="3" t="s">
        <v>568</v>
      </c>
      <c r="S32" s="3" t="s">
        <v>567</v>
      </c>
      <c r="T32" s="3"/>
      <c r="U32" s="3" t="s">
        <v>225</v>
      </c>
      <c r="V32" s="3" t="s">
        <v>566</v>
      </c>
    </row>
    <row r="33" spans="1:27" ht="43.2" x14ac:dyDescent="0.3">
      <c r="A33" s="3" t="str">
        <f t="shared" si="0"/>
        <v>MCQ_CGT_REQ_RESDOM_005</v>
      </c>
      <c r="B33" s="3" t="s">
        <v>28</v>
      </c>
      <c r="C33" s="3" t="s">
        <v>22</v>
      </c>
      <c r="D33" s="3" t="s">
        <v>473</v>
      </c>
      <c r="E33" s="3" t="s">
        <v>18</v>
      </c>
      <c r="F33" s="3">
        <v>3</v>
      </c>
      <c r="G33" s="3" t="s">
        <v>16</v>
      </c>
      <c r="H33" s="3" t="s">
        <v>17</v>
      </c>
      <c r="I33" s="3" t="s">
        <v>565</v>
      </c>
      <c r="J33" s="3" t="s">
        <v>432</v>
      </c>
      <c r="K33" s="3">
        <v>1</v>
      </c>
      <c r="L33" s="3" t="s">
        <v>475</v>
      </c>
      <c r="M33" s="3" t="str">
        <f>IF(B33="","","MCQ"&amp;"_"&amp;IFERROR(VLOOKUP(B33,LOOKUPS!$K$2:$L$9,2,FALSE),"UNK")&amp;"_"&amp;IFERROR(VLOOKUP(C33,LOOKUPS!$N$2:$O$10,2,FALSE),"UNK")&amp;"_"&amp;UPPER(L33))</f>
        <v>MCQ_CGT_REQ_RESDOM</v>
      </c>
      <c r="N33" s="3">
        <f>IF(M33="","",COUNTIF($M$2:M33,M33))</f>
        <v>5</v>
      </c>
      <c r="O33" s="3" t="s">
        <v>564</v>
      </c>
      <c r="P33" s="3" t="s">
        <v>830</v>
      </c>
      <c r="Q33" s="3" t="s">
        <v>563</v>
      </c>
      <c r="R33" s="3" t="s">
        <v>562</v>
      </c>
      <c r="S33" s="3" t="s">
        <v>561</v>
      </c>
      <c r="T33" s="3"/>
      <c r="U33" s="3" t="s">
        <v>133</v>
      </c>
      <c r="V33" s="3" t="s">
        <v>560</v>
      </c>
    </row>
    <row r="34" spans="1:27" ht="43.2" x14ac:dyDescent="0.3">
      <c r="A34" s="3" t="str">
        <f t="shared" si="0"/>
        <v>MCQ_CGT_REQ_RESDOM_006</v>
      </c>
      <c r="B34" s="3" t="s">
        <v>28</v>
      </c>
      <c r="C34" s="3" t="s">
        <v>22</v>
      </c>
      <c r="D34" s="3" t="s">
        <v>473</v>
      </c>
      <c r="E34" s="3" t="s">
        <v>18</v>
      </c>
      <c r="F34" s="3">
        <v>3</v>
      </c>
      <c r="G34" s="3" t="s">
        <v>16</v>
      </c>
      <c r="H34" s="3" t="s">
        <v>17</v>
      </c>
      <c r="I34" s="3" t="s">
        <v>559</v>
      </c>
      <c r="J34" s="3" t="s">
        <v>432</v>
      </c>
      <c r="K34" s="3">
        <v>1</v>
      </c>
      <c r="L34" s="3" t="s">
        <v>475</v>
      </c>
      <c r="M34" s="3" t="str">
        <f>IF(B34="","","MCQ"&amp;"_"&amp;IFERROR(VLOOKUP(B34,LOOKUPS!$K$2:$L$9,2,FALSE),"UNK")&amp;"_"&amp;IFERROR(VLOOKUP(C34,LOOKUPS!$N$2:$O$10,2,FALSE),"UNK")&amp;"_"&amp;UPPER(L34))</f>
        <v>MCQ_CGT_REQ_RESDOM</v>
      </c>
      <c r="N34" s="3">
        <f>IF(M34="","",COUNTIF($M$2:M34,M34))</f>
        <v>6</v>
      </c>
      <c r="O34" s="3" t="s">
        <v>558</v>
      </c>
      <c r="P34" s="3" t="s">
        <v>831</v>
      </c>
      <c r="Q34" s="3" t="s">
        <v>557</v>
      </c>
      <c r="R34" s="3" t="s">
        <v>556</v>
      </c>
      <c r="S34" s="3" t="s">
        <v>555</v>
      </c>
      <c r="T34" s="3"/>
      <c r="U34" s="3" t="s">
        <v>225</v>
      </c>
      <c r="V34" s="3" t="s">
        <v>554</v>
      </c>
    </row>
    <row r="35" spans="1:27" ht="43.2" x14ac:dyDescent="0.3">
      <c r="A35" s="3" t="str">
        <f t="shared" si="0"/>
        <v>MCQ_CGT_REQ_RESDOM_007</v>
      </c>
      <c r="B35" s="6" t="s">
        <v>28</v>
      </c>
      <c r="C35" s="6" t="s">
        <v>22</v>
      </c>
      <c r="D35" s="6" t="s">
        <v>473</v>
      </c>
      <c r="E35" s="6" t="s">
        <v>18</v>
      </c>
      <c r="F35" s="6">
        <v>3</v>
      </c>
      <c r="G35" s="6" t="s">
        <v>16</v>
      </c>
      <c r="H35" s="6" t="s">
        <v>17</v>
      </c>
      <c r="I35" s="6" t="s">
        <v>553</v>
      </c>
      <c r="J35" s="6" t="s">
        <v>432</v>
      </c>
      <c r="K35" s="6">
        <v>1</v>
      </c>
      <c r="L35" s="6" t="s">
        <v>475</v>
      </c>
      <c r="M35" s="3" t="str">
        <f>IF(B35="","","MCQ"&amp;"_"&amp;IFERROR(VLOOKUP(B35,LOOKUPS!$K$2:$L$9,2,FALSE),"UNK")&amp;"_"&amp;IFERROR(VLOOKUP(C35,LOOKUPS!$N$2:$O$10,2,FALSE),"UNK")&amp;"_"&amp;UPPER(L35))</f>
        <v>MCQ_CGT_REQ_RESDOM</v>
      </c>
      <c r="N35" s="3">
        <f>IF(M35="","",COUNTIF($M$2:M35,M35))</f>
        <v>7</v>
      </c>
      <c r="O35" s="6" t="s">
        <v>832</v>
      </c>
      <c r="P35" s="6" t="s">
        <v>833</v>
      </c>
      <c r="Q35" s="6" t="s">
        <v>552</v>
      </c>
      <c r="R35" s="6" t="s">
        <v>551</v>
      </c>
      <c r="S35" s="6" t="s">
        <v>550</v>
      </c>
      <c r="U35" s="6" t="s">
        <v>227</v>
      </c>
      <c r="V35" s="6" t="s">
        <v>549</v>
      </c>
    </row>
    <row r="36" spans="1:27" ht="43.2" x14ac:dyDescent="0.3">
      <c r="A36" s="3" t="str">
        <f t="shared" si="0"/>
        <v>MCQ_CGT_P_SPLITYR_001</v>
      </c>
      <c r="B36" s="6" t="s">
        <v>28</v>
      </c>
      <c r="C36" s="6" t="s">
        <v>821</v>
      </c>
      <c r="D36" s="6" t="s">
        <v>430</v>
      </c>
      <c r="E36" s="6" t="s">
        <v>18</v>
      </c>
      <c r="F36" s="6">
        <v>3</v>
      </c>
      <c r="G36" s="6" t="s">
        <v>16</v>
      </c>
      <c r="H36" s="6" t="s">
        <v>17</v>
      </c>
      <c r="I36" s="6" t="s">
        <v>431</v>
      </c>
      <c r="J36" s="6" t="s">
        <v>432</v>
      </c>
      <c r="K36" s="6">
        <v>1</v>
      </c>
      <c r="L36" s="6" t="s">
        <v>433</v>
      </c>
      <c r="M36" s="3" t="str">
        <f>IF(B36="","","MCQ"&amp;"_"&amp;IFERROR(VLOOKUP(B36,LOOKUPS!$K$2:$L$9,2,FALSE),"UNK")&amp;"_"&amp;IFERROR(VLOOKUP(C36,LOOKUPS!$N$2:$O$10,2,FALSE),"UNK")&amp;"_"&amp;UPPER(L36))</f>
        <v>MCQ_CGT_P_SPLITYR</v>
      </c>
      <c r="N36" s="3">
        <f>IF(M36="","",COUNTIF($M$2:M36,M36))</f>
        <v>1</v>
      </c>
      <c r="O36" s="6" t="s">
        <v>548</v>
      </c>
      <c r="P36" s="6" t="s">
        <v>547</v>
      </c>
      <c r="Q36" s="6" t="s">
        <v>546</v>
      </c>
      <c r="R36" s="6" t="s">
        <v>545</v>
      </c>
      <c r="S36" s="6" t="s">
        <v>544</v>
      </c>
      <c r="U36" s="6" t="s">
        <v>133</v>
      </c>
      <c r="V36" s="6" t="s">
        <v>543</v>
      </c>
    </row>
    <row r="37" spans="1:27" ht="43.2" x14ac:dyDescent="0.3">
      <c r="A37" s="3" t="str">
        <f t="shared" si="0"/>
        <v>MCQ_CGT_P_SPLITYR_002</v>
      </c>
      <c r="B37" s="6" t="s">
        <v>28</v>
      </c>
      <c r="C37" s="6" t="s">
        <v>821</v>
      </c>
      <c r="D37" s="6" t="s">
        <v>430</v>
      </c>
      <c r="E37" s="6" t="s">
        <v>18</v>
      </c>
      <c r="F37" s="6">
        <v>3</v>
      </c>
      <c r="G37" s="6" t="s">
        <v>16</v>
      </c>
      <c r="H37" s="6" t="s">
        <v>17</v>
      </c>
      <c r="I37" s="6" t="s">
        <v>440</v>
      </c>
      <c r="J37" s="6" t="s">
        <v>432</v>
      </c>
      <c r="K37" s="6">
        <v>1</v>
      </c>
      <c r="L37" s="6" t="s">
        <v>433</v>
      </c>
      <c r="M37" s="3" t="str">
        <f>IF(B37="","","MCQ"&amp;"_"&amp;IFERROR(VLOOKUP(B37,LOOKUPS!$K$2:$L$9,2,FALSE),"UNK")&amp;"_"&amp;IFERROR(VLOOKUP(C37,LOOKUPS!$N$2:$O$10,2,FALSE),"UNK")&amp;"_"&amp;UPPER(L37))</f>
        <v>MCQ_CGT_P_SPLITYR</v>
      </c>
      <c r="N37" s="3">
        <f>IF(M37="","",COUNTIF($M$2:M37,M37))</f>
        <v>2</v>
      </c>
      <c r="O37" s="6" t="s">
        <v>542</v>
      </c>
      <c r="P37" s="6" t="s">
        <v>541</v>
      </c>
      <c r="Q37" s="6" t="s">
        <v>540</v>
      </c>
      <c r="R37" s="6" t="s">
        <v>539</v>
      </c>
      <c r="S37" s="6" t="s">
        <v>538</v>
      </c>
      <c r="U37" s="6" t="s">
        <v>227</v>
      </c>
      <c r="V37" s="6" t="s">
        <v>537</v>
      </c>
    </row>
    <row r="38" spans="1:27" ht="43.2" x14ac:dyDescent="0.3">
      <c r="A38" s="3" t="str">
        <f t="shared" si="0"/>
        <v>MCQ_CGT_P_SPLITYR_003</v>
      </c>
      <c r="B38" s="6" t="s">
        <v>28</v>
      </c>
      <c r="C38" s="6" t="s">
        <v>821</v>
      </c>
      <c r="D38" s="6" t="s">
        <v>430</v>
      </c>
      <c r="E38" s="6" t="s">
        <v>18</v>
      </c>
      <c r="F38" s="6">
        <v>3</v>
      </c>
      <c r="G38" s="6" t="s">
        <v>16</v>
      </c>
      <c r="H38" s="6" t="s">
        <v>17</v>
      </c>
      <c r="I38" s="6" t="s">
        <v>536</v>
      </c>
      <c r="J38" s="6" t="s">
        <v>432</v>
      </c>
      <c r="K38" s="6">
        <v>1</v>
      </c>
      <c r="L38" s="6" t="s">
        <v>433</v>
      </c>
      <c r="M38" s="3" t="str">
        <f>IF(B38="","","MCQ"&amp;"_"&amp;IFERROR(VLOOKUP(B38,LOOKUPS!$K$2:$L$9,2,FALSE),"UNK")&amp;"_"&amp;IFERROR(VLOOKUP(C38,LOOKUPS!$N$2:$O$10,2,FALSE),"UNK")&amp;"_"&amp;UPPER(L38))</f>
        <v>MCQ_CGT_P_SPLITYR</v>
      </c>
      <c r="N38" s="3">
        <f>IF(M38="","",COUNTIF($M$2:M38,M38))</f>
        <v>3</v>
      </c>
      <c r="O38" s="6" t="s">
        <v>807</v>
      </c>
      <c r="P38" s="6" t="s">
        <v>535</v>
      </c>
      <c r="Q38" s="6" t="s">
        <v>534</v>
      </c>
      <c r="R38" s="6" t="s">
        <v>533</v>
      </c>
      <c r="S38" s="6" t="s">
        <v>532</v>
      </c>
      <c r="U38" s="6" t="s">
        <v>133</v>
      </c>
      <c r="V38" s="6" t="s">
        <v>531</v>
      </c>
    </row>
    <row r="39" spans="1:27" ht="43.2" x14ac:dyDescent="0.3">
      <c r="A39" s="3" t="str">
        <f t="shared" si="0"/>
        <v>MCQ_CGT_P_SPLITYR_004</v>
      </c>
      <c r="B39" s="6" t="s">
        <v>28</v>
      </c>
      <c r="C39" s="6" t="s">
        <v>821</v>
      </c>
      <c r="D39" s="6" t="s">
        <v>430</v>
      </c>
      <c r="E39" s="6" t="s">
        <v>18</v>
      </c>
      <c r="F39" s="6">
        <v>3</v>
      </c>
      <c r="G39" s="6" t="s">
        <v>16</v>
      </c>
      <c r="H39" s="6" t="s">
        <v>17</v>
      </c>
      <c r="I39" s="6" t="s">
        <v>530</v>
      </c>
      <c r="J39" s="6" t="s">
        <v>432</v>
      </c>
      <c r="K39" s="6">
        <v>1</v>
      </c>
      <c r="L39" s="6" t="s">
        <v>433</v>
      </c>
      <c r="M39" s="3" t="str">
        <f>IF(B39="","","MCQ"&amp;"_"&amp;IFERROR(VLOOKUP(B39,LOOKUPS!$K$2:$L$9,2,FALSE),"UNK")&amp;"_"&amp;IFERROR(VLOOKUP(C39,LOOKUPS!$N$2:$O$10,2,FALSE),"UNK")&amp;"_"&amp;UPPER(L39))</f>
        <v>MCQ_CGT_P_SPLITYR</v>
      </c>
      <c r="N39" s="3">
        <f>IF(M39="","",COUNTIF($M$2:M39,M39))</f>
        <v>4</v>
      </c>
      <c r="O39" s="6" t="s">
        <v>834</v>
      </c>
      <c r="P39" s="6" t="s">
        <v>529</v>
      </c>
      <c r="Q39" s="6" t="s">
        <v>528</v>
      </c>
      <c r="R39" s="6" t="s">
        <v>527</v>
      </c>
      <c r="S39" s="6" t="s">
        <v>526</v>
      </c>
      <c r="U39" s="6" t="s">
        <v>225</v>
      </c>
      <c r="V39" s="6" t="s">
        <v>525</v>
      </c>
    </row>
    <row r="40" spans="1:27" ht="57.6" x14ac:dyDescent="0.3">
      <c r="A40" s="3" t="str">
        <f t="shared" si="0"/>
        <v>MCQ_CGT_REQ_SPLITYR_001</v>
      </c>
      <c r="B40" s="6" t="s">
        <v>28</v>
      </c>
      <c r="C40" s="6" t="s">
        <v>22</v>
      </c>
      <c r="D40" s="6" t="s">
        <v>430</v>
      </c>
      <c r="E40" s="6" t="s">
        <v>18</v>
      </c>
      <c r="F40" s="6">
        <v>3</v>
      </c>
      <c r="G40" s="6" t="s">
        <v>16</v>
      </c>
      <c r="H40" s="6" t="s">
        <v>17</v>
      </c>
      <c r="I40" s="6" t="s">
        <v>454</v>
      </c>
      <c r="J40" s="6" t="s">
        <v>432</v>
      </c>
      <c r="K40" s="6">
        <v>1</v>
      </c>
      <c r="L40" s="6" t="s">
        <v>433</v>
      </c>
      <c r="M40" s="3" t="str">
        <f>IF(B40="","","MCQ"&amp;"_"&amp;IFERROR(VLOOKUP(B40,LOOKUPS!$K$2:$L$9,2,FALSE),"UNK")&amp;"_"&amp;IFERROR(VLOOKUP(C40,LOOKUPS!$N$2:$O$10,2,FALSE),"UNK")&amp;"_"&amp;UPPER(L40))</f>
        <v>MCQ_CGT_REQ_SPLITYR</v>
      </c>
      <c r="N40" s="3">
        <f>IF(M40="","",COUNTIF($M$2:M40,M40))</f>
        <v>1</v>
      </c>
      <c r="O40" s="6" t="s">
        <v>524</v>
      </c>
      <c r="P40" s="6" t="s">
        <v>523</v>
      </c>
      <c r="Q40" s="6" t="s">
        <v>522</v>
      </c>
      <c r="R40" s="6" t="s">
        <v>521</v>
      </c>
      <c r="S40" s="6" t="s">
        <v>520</v>
      </c>
      <c r="U40" s="6" t="s">
        <v>227</v>
      </c>
      <c r="V40" s="6" t="s">
        <v>519</v>
      </c>
    </row>
    <row r="41" spans="1:27" ht="28.8" x14ac:dyDescent="0.3">
      <c r="A41" s="3" t="str">
        <f t="shared" si="0"/>
        <v>MCQ_CGT_REQ_SPLITYR_002</v>
      </c>
      <c r="B41" s="6" t="s">
        <v>28</v>
      </c>
      <c r="C41" s="6" t="s">
        <v>22</v>
      </c>
      <c r="D41" s="6" t="s">
        <v>430</v>
      </c>
      <c r="E41" s="6" t="s">
        <v>18</v>
      </c>
      <c r="F41" s="6">
        <v>3</v>
      </c>
      <c r="G41" s="6" t="s">
        <v>16</v>
      </c>
      <c r="H41" s="6" t="s">
        <v>17</v>
      </c>
      <c r="I41" s="6" t="s">
        <v>461</v>
      </c>
      <c r="J41" s="6" t="s">
        <v>432</v>
      </c>
      <c r="K41" s="6">
        <v>1</v>
      </c>
      <c r="L41" s="6" t="s">
        <v>433</v>
      </c>
      <c r="M41" s="3" t="str">
        <f>IF(B41="","","MCQ"&amp;"_"&amp;IFERROR(VLOOKUP(B41,LOOKUPS!$K$2:$L$9,2,FALSE),"UNK")&amp;"_"&amp;IFERROR(VLOOKUP(C41,LOOKUPS!$N$2:$O$10,2,FALSE),"UNK")&amp;"_"&amp;UPPER(L41))</f>
        <v>MCQ_CGT_REQ_SPLITYR</v>
      </c>
      <c r="N41" s="3">
        <f>IF(M41="","",COUNTIF($M$2:M41,M41))</f>
        <v>2</v>
      </c>
      <c r="O41" s="6" t="s">
        <v>835</v>
      </c>
      <c r="P41" s="6" t="s">
        <v>518</v>
      </c>
      <c r="Q41" s="6" t="s">
        <v>517</v>
      </c>
      <c r="R41" s="6" t="s">
        <v>516</v>
      </c>
      <c r="S41" s="6" t="s">
        <v>515</v>
      </c>
      <c r="U41" s="6" t="s">
        <v>225</v>
      </c>
      <c r="V41" s="6" t="s">
        <v>514</v>
      </c>
    </row>
    <row r="42" spans="1:27" ht="57.6" x14ac:dyDescent="0.3">
      <c r="A42" s="3" t="str">
        <f t="shared" si="0"/>
        <v>MCQ_CGT_P_SPLITYR_005</v>
      </c>
      <c r="B42" s="6" t="s">
        <v>28</v>
      </c>
      <c r="C42" s="6" t="s">
        <v>821</v>
      </c>
      <c r="D42" s="6" t="s">
        <v>430</v>
      </c>
      <c r="E42" s="6" t="s">
        <v>18</v>
      </c>
      <c r="F42" s="6">
        <v>3</v>
      </c>
      <c r="G42" s="6" t="s">
        <v>16</v>
      </c>
      <c r="H42" s="6" t="s">
        <v>17</v>
      </c>
      <c r="I42" s="6" t="s">
        <v>467</v>
      </c>
      <c r="J42" s="6" t="s">
        <v>432</v>
      </c>
      <c r="K42" s="6">
        <v>1</v>
      </c>
      <c r="L42" s="6" t="s">
        <v>433</v>
      </c>
      <c r="M42" s="3" t="str">
        <f>IF(B42="","","MCQ"&amp;"_"&amp;IFERROR(VLOOKUP(B42,LOOKUPS!$K$2:$L$9,2,FALSE),"UNK")&amp;"_"&amp;IFERROR(VLOOKUP(C42,LOOKUPS!$N$2:$O$10,2,FALSE),"UNK")&amp;"_"&amp;UPPER(L42))</f>
        <v>MCQ_CGT_P_SPLITYR</v>
      </c>
      <c r="N42" s="3">
        <f>IF(M42="","",COUNTIF($M$2:M42,M42))</f>
        <v>5</v>
      </c>
      <c r="O42" s="6" t="s">
        <v>836</v>
      </c>
      <c r="P42" s="6" t="s">
        <v>513</v>
      </c>
      <c r="Q42" s="6" t="s">
        <v>512</v>
      </c>
      <c r="R42" s="6" t="s">
        <v>511</v>
      </c>
      <c r="S42" s="6" t="s">
        <v>510</v>
      </c>
      <c r="U42" s="6" t="s">
        <v>227</v>
      </c>
      <c r="V42" s="6" t="s">
        <v>509</v>
      </c>
    </row>
    <row r="43" spans="1:27" customFormat="1" ht="86.4" x14ac:dyDescent="0.3">
      <c r="A43" s="3" t="str">
        <f t="shared" si="0"/>
        <v>MCQ_IHT_REQ_DOMICILE_001</v>
      </c>
      <c r="B43" s="6" t="s">
        <v>34</v>
      </c>
      <c r="C43" s="6" t="s">
        <v>22</v>
      </c>
      <c r="D43" s="6" t="s">
        <v>610</v>
      </c>
      <c r="E43" s="6" t="s">
        <v>18</v>
      </c>
      <c r="F43" s="6">
        <v>3</v>
      </c>
      <c r="G43" s="6" t="s">
        <v>16</v>
      </c>
      <c r="H43" s="6" t="s">
        <v>17</v>
      </c>
      <c r="I43" s="6" t="s">
        <v>591</v>
      </c>
      <c r="J43" s="6" t="s">
        <v>592</v>
      </c>
      <c r="K43" s="6">
        <v>1</v>
      </c>
      <c r="L43" s="6" t="s">
        <v>644</v>
      </c>
      <c r="M43" s="3" t="str">
        <f>IF(B43="","","MCQ"&amp;"_"&amp;IFERROR(VLOOKUP(B43,LOOKUPS!$K$2:$L$9,2,FALSE),"UNK")&amp;"_"&amp;IFERROR(VLOOKUP(C43,LOOKUPS!$N$2:$O$10,2,FALSE),"UNK")&amp;"_"&amp;UPPER(L43))</f>
        <v>MCQ_IHT_REQ_DOMICILE</v>
      </c>
      <c r="N43" s="3">
        <f>IF(M43="","",COUNTIF($M$2:M43,M43))</f>
        <v>1</v>
      </c>
      <c r="O43" s="6" t="s">
        <v>594</v>
      </c>
      <c r="P43" s="6" t="s">
        <v>611</v>
      </c>
      <c r="Q43" s="10" t="s">
        <v>612</v>
      </c>
      <c r="R43" s="10" t="s">
        <v>613</v>
      </c>
      <c r="S43" s="6" t="s">
        <v>614</v>
      </c>
      <c r="T43" s="6"/>
      <c r="U43" s="11" t="s">
        <v>227</v>
      </c>
      <c r="V43" s="6" t="s">
        <v>838</v>
      </c>
      <c r="X43" s="4"/>
      <c r="AA43" s="5"/>
    </row>
    <row r="44" spans="1:27" customFormat="1" ht="43.2" x14ac:dyDescent="0.3">
      <c r="A44" s="3" t="str">
        <f t="shared" si="0"/>
        <v>MCQ_IHT_REQ_DOMICILE_002</v>
      </c>
      <c r="B44" s="6" t="s">
        <v>34</v>
      </c>
      <c r="C44" s="6" t="s">
        <v>22</v>
      </c>
      <c r="D44" s="6" t="s">
        <v>610</v>
      </c>
      <c r="E44" s="6" t="s">
        <v>18</v>
      </c>
      <c r="F44" s="6">
        <v>3</v>
      </c>
      <c r="G44" s="6" t="s">
        <v>16</v>
      </c>
      <c r="H44" s="6" t="s">
        <v>17</v>
      </c>
      <c r="I44" s="6" t="s">
        <v>595</v>
      </c>
      <c r="J44" s="6" t="s">
        <v>592</v>
      </c>
      <c r="K44" s="6">
        <v>1</v>
      </c>
      <c r="L44" s="6" t="s">
        <v>644</v>
      </c>
      <c r="M44" s="3" t="str">
        <f>IF(B44="","","MCQ"&amp;"_"&amp;IFERROR(VLOOKUP(B44,LOOKUPS!$K$2:$L$9,2,FALSE),"UNK")&amp;"_"&amp;IFERROR(VLOOKUP(C44,LOOKUPS!$N$2:$O$10,2,FALSE),"UNK")&amp;"_"&amp;UPPER(L44))</f>
        <v>MCQ_IHT_REQ_DOMICILE</v>
      </c>
      <c r="N44" s="3">
        <f>IF(M44="","",COUNTIF($M$2:M44,M44))</f>
        <v>2</v>
      </c>
      <c r="O44" s="6" t="s">
        <v>839</v>
      </c>
      <c r="P44" s="6" t="s">
        <v>615</v>
      </c>
      <c r="Q44" s="11" t="s">
        <v>616</v>
      </c>
      <c r="R44" s="6" t="s">
        <v>617</v>
      </c>
      <c r="S44" s="6" t="s">
        <v>618</v>
      </c>
      <c r="T44" s="6"/>
      <c r="U44" s="6" t="s">
        <v>225</v>
      </c>
      <c r="V44" s="6" t="s">
        <v>619</v>
      </c>
    </row>
    <row r="45" spans="1:27" customFormat="1" ht="57.6" x14ac:dyDescent="0.3">
      <c r="A45" s="3" t="str">
        <f t="shared" si="0"/>
        <v>MCQ_IHT_REQ_DOMICILE_003</v>
      </c>
      <c r="B45" s="6" t="s">
        <v>34</v>
      </c>
      <c r="C45" s="6" t="s">
        <v>22</v>
      </c>
      <c r="D45" s="6" t="s">
        <v>610</v>
      </c>
      <c r="E45" s="6" t="s">
        <v>18</v>
      </c>
      <c r="F45" s="6">
        <v>3</v>
      </c>
      <c r="G45" s="6" t="s">
        <v>16</v>
      </c>
      <c r="H45" s="6" t="s">
        <v>17</v>
      </c>
      <c r="I45" s="6" t="s">
        <v>598</v>
      </c>
      <c r="J45" s="6" t="s">
        <v>592</v>
      </c>
      <c r="K45" s="6">
        <v>1</v>
      </c>
      <c r="L45" s="6" t="s">
        <v>644</v>
      </c>
      <c r="M45" s="3" t="str">
        <f>IF(B45="","","MCQ"&amp;"_"&amp;IFERROR(VLOOKUP(B45,LOOKUPS!$K$2:$L$9,2,FALSE),"UNK")&amp;"_"&amp;IFERROR(VLOOKUP(C45,LOOKUPS!$N$2:$O$10,2,FALSE),"UNK")&amp;"_"&amp;UPPER(L45))</f>
        <v>MCQ_IHT_REQ_DOMICILE</v>
      </c>
      <c r="N45" s="3">
        <f>IF(M45="","",COUNTIF($M$2:M45,M45))</f>
        <v>3</v>
      </c>
      <c r="O45" s="6" t="s">
        <v>599</v>
      </c>
      <c r="P45" s="6" t="s">
        <v>620</v>
      </c>
      <c r="Q45" s="11" t="s">
        <v>621</v>
      </c>
      <c r="R45" s="6" t="s">
        <v>622</v>
      </c>
      <c r="S45" s="6" t="s">
        <v>623</v>
      </c>
      <c r="T45" s="6"/>
      <c r="U45" s="6" t="s">
        <v>133</v>
      </c>
      <c r="V45" s="6" t="s">
        <v>624</v>
      </c>
    </row>
    <row r="46" spans="1:27" customFormat="1" ht="43.2" x14ac:dyDescent="0.3">
      <c r="A46" s="3" t="str">
        <f t="shared" si="0"/>
        <v>MCQ_IHT_REQ_DOMICILE_004</v>
      </c>
      <c r="B46" s="6" t="s">
        <v>34</v>
      </c>
      <c r="C46" s="6" t="s">
        <v>22</v>
      </c>
      <c r="D46" s="6" t="s">
        <v>610</v>
      </c>
      <c r="E46" s="6" t="s">
        <v>18</v>
      </c>
      <c r="F46" s="6">
        <v>3</v>
      </c>
      <c r="G46" s="6" t="s">
        <v>16</v>
      </c>
      <c r="H46" s="6" t="s">
        <v>17</v>
      </c>
      <c r="I46" s="6" t="s">
        <v>600</v>
      </c>
      <c r="J46" s="6" t="s">
        <v>592</v>
      </c>
      <c r="K46" s="6">
        <v>1</v>
      </c>
      <c r="L46" s="6" t="s">
        <v>644</v>
      </c>
      <c r="M46" s="3" t="str">
        <f>IF(B46="","","MCQ"&amp;"_"&amp;IFERROR(VLOOKUP(B46,LOOKUPS!$K$2:$L$9,2,FALSE),"UNK")&amp;"_"&amp;IFERROR(VLOOKUP(C46,LOOKUPS!$N$2:$O$10,2,FALSE),"UNK")&amp;"_"&amp;UPPER(L46))</f>
        <v>MCQ_IHT_REQ_DOMICILE</v>
      </c>
      <c r="N46" s="3">
        <f>IF(M46="","",COUNTIF($M$2:M46,M46))</f>
        <v>4</v>
      </c>
      <c r="O46" s="6" t="s">
        <v>601</v>
      </c>
      <c r="P46" s="6" t="s">
        <v>625</v>
      </c>
      <c r="Q46" s="6" t="s">
        <v>626</v>
      </c>
      <c r="R46" s="6" t="s">
        <v>627</v>
      </c>
      <c r="S46" s="6" t="s">
        <v>628</v>
      </c>
      <c r="T46" s="6"/>
      <c r="U46" s="6" t="s">
        <v>227</v>
      </c>
      <c r="V46" s="6" t="s">
        <v>629</v>
      </c>
    </row>
    <row r="47" spans="1:27" customFormat="1" ht="43.2" x14ac:dyDescent="0.3">
      <c r="A47" s="3" t="str">
        <f t="shared" si="0"/>
        <v>MCQ_IHT_REQ_DOMICILE_005</v>
      </c>
      <c r="B47" s="6" t="s">
        <v>34</v>
      </c>
      <c r="C47" s="6" t="s">
        <v>22</v>
      </c>
      <c r="D47" s="6" t="s">
        <v>610</v>
      </c>
      <c r="E47" s="6" t="s">
        <v>18</v>
      </c>
      <c r="F47" s="6">
        <v>3</v>
      </c>
      <c r="G47" s="6" t="s">
        <v>16</v>
      </c>
      <c r="H47" s="6" t="s">
        <v>17</v>
      </c>
      <c r="I47" s="6" t="s">
        <v>602</v>
      </c>
      <c r="J47" s="6" t="s">
        <v>592</v>
      </c>
      <c r="K47" s="6">
        <v>1</v>
      </c>
      <c r="L47" s="6" t="s">
        <v>644</v>
      </c>
      <c r="M47" s="3" t="str">
        <f>IF(B47="","","MCQ"&amp;"_"&amp;IFERROR(VLOOKUP(B47,LOOKUPS!$K$2:$L$9,2,FALSE),"UNK")&amp;"_"&amp;IFERROR(VLOOKUP(C47,LOOKUPS!$N$2:$O$10,2,FALSE),"UNK")&amp;"_"&amp;UPPER(L47))</f>
        <v>MCQ_IHT_REQ_DOMICILE</v>
      </c>
      <c r="N47" s="3">
        <f>IF(M47="","",COUNTIF($M$2:M47,M47))</f>
        <v>5</v>
      </c>
      <c r="O47" s="6" t="s">
        <v>630</v>
      </c>
      <c r="P47" s="6" t="s">
        <v>631</v>
      </c>
      <c r="Q47" s="11" t="s">
        <v>632</v>
      </c>
      <c r="R47" s="10" t="s">
        <v>633</v>
      </c>
      <c r="S47" s="6" t="s">
        <v>634</v>
      </c>
      <c r="T47" s="6"/>
      <c r="U47" s="6" t="s">
        <v>225</v>
      </c>
      <c r="V47" s="6" t="s">
        <v>635</v>
      </c>
    </row>
    <row r="48" spans="1:27" customFormat="1" ht="86.4" x14ac:dyDescent="0.3">
      <c r="A48" s="3" t="str">
        <f t="shared" si="0"/>
        <v>MCQ_IHT_REQ_DOMICILE_006</v>
      </c>
      <c r="B48" s="6" t="s">
        <v>34</v>
      </c>
      <c r="C48" s="6" t="s">
        <v>22</v>
      </c>
      <c r="D48" s="6" t="s">
        <v>610</v>
      </c>
      <c r="E48" s="6" t="s">
        <v>18</v>
      </c>
      <c r="F48" s="6">
        <v>3</v>
      </c>
      <c r="G48" s="6" t="s">
        <v>16</v>
      </c>
      <c r="H48" s="6" t="s">
        <v>17</v>
      </c>
      <c r="I48" s="6" t="s">
        <v>603</v>
      </c>
      <c r="J48" s="6" t="s">
        <v>592</v>
      </c>
      <c r="K48" s="6">
        <v>1</v>
      </c>
      <c r="L48" s="6" t="s">
        <v>644</v>
      </c>
      <c r="M48" s="3" t="str">
        <f>IF(B48="","","MCQ"&amp;"_"&amp;IFERROR(VLOOKUP(B48,LOOKUPS!$K$2:$L$9,2,FALSE),"UNK")&amp;"_"&amp;IFERROR(VLOOKUP(C48,LOOKUPS!$N$2:$O$10,2,FALSE),"UNK")&amp;"_"&amp;UPPER(L48))</f>
        <v>MCQ_IHT_REQ_DOMICILE</v>
      </c>
      <c r="N48" s="3">
        <f>IF(M48="","",COUNTIF($M$2:M48,M48))</f>
        <v>6</v>
      </c>
      <c r="O48" s="6" t="s">
        <v>840</v>
      </c>
      <c r="P48" s="10">
        <v>325000</v>
      </c>
      <c r="Q48" s="6" t="s">
        <v>841</v>
      </c>
      <c r="R48" s="6" t="s">
        <v>842</v>
      </c>
      <c r="S48" s="6" t="s">
        <v>843</v>
      </c>
      <c r="T48" s="6"/>
      <c r="U48" s="6" t="s">
        <v>227</v>
      </c>
      <c r="V48" s="6" t="s">
        <v>844</v>
      </c>
    </row>
    <row r="49" spans="1:22" customFormat="1" ht="72" x14ac:dyDescent="0.3">
      <c r="A49" s="3" t="str">
        <f t="shared" si="0"/>
        <v>MCQ_IHT_REQ_DOMICILE_007</v>
      </c>
      <c r="B49" s="6" t="s">
        <v>34</v>
      </c>
      <c r="C49" s="6" t="s">
        <v>22</v>
      </c>
      <c r="D49" s="6" t="s">
        <v>610</v>
      </c>
      <c r="E49" s="6" t="s">
        <v>18</v>
      </c>
      <c r="F49" s="6">
        <v>3</v>
      </c>
      <c r="G49" s="6" t="s">
        <v>16</v>
      </c>
      <c r="H49" s="6" t="s">
        <v>17</v>
      </c>
      <c r="I49" s="6" t="s">
        <v>604</v>
      </c>
      <c r="J49" s="6" t="s">
        <v>592</v>
      </c>
      <c r="K49" s="6">
        <v>1</v>
      </c>
      <c r="L49" s="6" t="s">
        <v>644</v>
      </c>
      <c r="M49" s="3" t="str">
        <f>IF(B49="","","MCQ"&amp;"_"&amp;IFERROR(VLOOKUP(B49,LOOKUPS!$K$2:$L$9,2,FALSE),"UNK")&amp;"_"&amp;IFERROR(VLOOKUP(C49,LOOKUPS!$N$2:$O$10,2,FALSE),"UNK")&amp;"_"&amp;UPPER(L49))</f>
        <v>MCQ_IHT_REQ_DOMICILE</v>
      </c>
      <c r="N49" s="3">
        <f>IF(M49="","",COUNTIF($M$2:M49,M49))</f>
        <v>7</v>
      </c>
      <c r="O49" s="6" t="s">
        <v>636</v>
      </c>
      <c r="P49" s="6" t="s">
        <v>605</v>
      </c>
      <c r="Q49" s="11" t="s">
        <v>606</v>
      </c>
      <c r="R49" s="11" t="s">
        <v>607</v>
      </c>
      <c r="S49" s="6" t="s">
        <v>637</v>
      </c>
      <c r="T49" s="6"/>
      <c r="U49" s="6" t="s">
        <v>133</v>
      </c>
      <c r="V49" s="6" t="s">
        <v>638</v>
      </c>
    </row>
    <row r="50" spans="1:22" customFormat="1" ht="28.8" x14ac:dyDescent="0.3">
      <c r="A50" s="3" t="str">
        <f t="shared" si="0"/>
        <v>MCQ_IHT_REQ_DOMICILE_008</v>
      </c>
      <c r="B50" s="6" t="s">
        <v>34</v>
      </c>
      <c r="C50" s="6" t="s">
        <v>22</v>
      </c>
      <c r="D50" s="6" t="s">
        <v>610</v>
      </c>
      <c r="E50" s="6" t="s">
        <v>18</v>
      </c>
      <c r="F50" s="6">
        <v>3</v>
      </c>
      <c r="G50" s="6" t="s">
        <v>16</v>
      </c>
      <c r="H50" s="6" t="s">
        <v>17</v>
      </c>
      <c r="I50" s="6" t="s">
        <v>608</v>
      </c>
      <c r="J50" s="6" t="s">
        <v>592</v>
      </c>
      <c r="K50" s="6">
        <v>1</v>
      </c>
      <c r="L50" s="6" t="s">
        <v>644</v>
      </c>
      <c r="M50" s="3" t="str">
        <f>IF(B50="","","MCQ"&amp;"_"&amp;IFERROR(VLOOKUP(B50,LOOKUPS!$K$2:$L$9,2,FALSE),"UNK")&amp;"_"&amp;IFERROR(VLOOKUP(C50,LOOKUPS!$N$2:$O$10,2,FALSE),"UNK")&amp;"_"&amp;UPPER(L50))</f>
        <v>MCQ_IHT_REQ_DOMICILE</v>
      </c>
      <c r="N50" s="3">
        <f>IF(M50="","",COUNTIF($M$2:M50,M50))</f>
        <v>8</v>
      </c>
      <c r="O50" s="6" t="s">
        <v>837</v>
      </c>
      <c r="P50" s="6" t="s">
        <v>639</v>
      </c>
      <c r="Q50" s="6" t="s">
        <v>640</v>
      </c>
      <c r="R50" s="6" t="s">
        <v>641</v>
      </c>
      <c r="S50" s="6" t="s">
        <v>642</v>
      </c>
      <c r="T50" s="6"/>
      <c r="U50" s="6" t="s">
        <v>225</v>
      </c>
      <c r="V50" s="6" t="s">
        <v>643</v>
      </c>
    </row>
    <row r="51" spans="1:22" customFormat="1" x14ac:dyDescent="0.3">
      <c r="A51" s="3"/>
      <c r="B51" s="6"/>
      <c r="C51" s="6"/>
      <c r="D51" s="6"/>
      <c r="E51" s="6"/>
      <c r="F51" s="6"/>
      <c r="G51" s="6"/>
      <c r="H51" s="6"/>
      <c r="I51" s="6"/>
      <c r="J51" s="6"/>
      <c r="K51" s="6"/>
      <c r="L51" s="6"/>
      <c r="M51" s="3"/>
      <c r="N51" s="3"/>
      <c r="O51" s="6"/>
      <c r="P51" s="6"/>
      <c r="Q51" s="6"/>
      <c r="R51" s="6"/>
      <c r="S51" s="6"/>
      <c r="T51" s="6"/>
      <c r="U51" s="6"/>
      <c r="V51" s="6"/>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IF(B52="","","MCQ"&amp;"_"&amp;IFERROR(VLOOKUP(B52,LOOKUPS!$K$2:$L$9,2,FALSE),"UNK")&amp;"_"&amp;IFERROR(VLOOKUP(C52,LOOKUPS!$N$2:$O$10,2,FALSE),"UNK")&amp;"_"&amp;UPPER(L52))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IF(B53="","","MCQ"&amp;"_"&amp;IFERROR(VLOOKUP(B53,LOOKUPS!$K$2:$L$9,2,FALSE),"UNK")&amp;"_"&amp;IFERROR(VLOOKUP(C53,LOOKUPS!$N$2:$O$10,2,FALSE),"UNK")&amp;"_"&amp;UPPER(L53))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IF(B54="","","MCQ"&amp;"_"&amp;IFERROR(VLOOKUP(B54,LOOKUPS!$K$2:$L$9,2,FALSE),"UNK")&amp;"_"&amp;IFERROR(VLOOKUP(C54,LOOKUPS!$N$2:$O$10,2,FALSE),"UNK")&amp;"_"&amp;UPPER(L54))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IF(B55="","","MCQ"&amp;"_"&amp;IFERROR(VLOOKUP(B55,LOOKUPS!$K$2:$L$9,2,FALSE),"UNK")&amp;"_"&amp;IFERROR(VLOOKUP(C55,LOOKUPS!$N$2:$O$10,2,FALSE),"UNK")&amp;"_"&amp;UPPER(L55))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IF(B56="","","MCQ"&amp;"_"&amp;IFERROR(VLOOKUP(B56,LOOKUPS!$K$2:$L$9,2,FALSE),"UNK")&amp;"_"&amp;IFERROR(VLOOKUP(C56,LOOKUPS!$N$2:$O$10,2,FALSE),"UNK")&amp;"_"&amp;UPPER(L56))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IF(B57="","","MCQ"&amp;"_"&amp;IFERROR(VLOOKUP(B57,LOOKUPS!$K$2:$L$9,2,FALSE),"UNK")&amp;"_"&amp;IFERROR(VLOOKUP(C57,LOOKUPS!$N$2:$O$10,2,FALSE),"UNK")&amp;"_"&amp;UPPER(L57))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IF(B58="","","MCQ"&amp;"_"&amp;IFERROR(VLOOKUP(B58,LOOKUPS!$K$2:$L$9,2,FALSE),"UNK")&amp;"_"&amp;IFERROR(VLOOKUP(C58,LOOKUPS!$N$2:$O$10,2,FALSE),"UNK")&amp;"_"&amp;UPPER(L58))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IF(B59="","","MCQ"&amp;"_"&amp;IFERROR(VLOOKUP(B59,LOOKUPS!$K$2:$L$9,2,FALSE),"UNK")&amp;"_"&amp;IFERROR(VLOOKUP(C59,LOOKUPS!$N$2:$O$10,2,FALSE),"UNK")&amp;"_"&amp;UPPER(L59))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IF(B60="","","MCQ"&amp;"_"&amp;IFERROR(VLOOKUP(B60,LOOKUPS!$K$2:$L$9,2,FALSE),"UNK")&amp;"_"&amp;IFERROR(VLOOKUP(C60,LOOKUPS!$N$2:$O$10,2,FALSE),"UNK")&amp;"_"&amp;UPPER(L60))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IF(B61="","","MCQ"&amp;"_"&amp;IFERROR(VLOOKUP(B61,LOOKUPS!$K$2:$L$9,2,FALSE),"UNK")&amp;"_"&amp;IFERROR(VLOOKUP(C61,LOOKUPS!$N$2:$O$10,2,FALSE),"UNK")&amp;"_"&amp;UPPER(L61))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IF(B62="","","MCQ"&amp;"_"&amp;IFERROR(VLOOKUP(B62,LOOKUPS!$K$2:$L$9,2,FALSE),"UNK")&amp;"_"&amp;IFERROR(VLOOKUP(C62,LOOKUPS!$N$2:$O$10,2,FALSE),"UNK")&amp;"_"&amp;UPPER(L62))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IF(B63="","","MCQ"&amp;"_"&amp;IFERROR(VLOOKUP(B63,LOOKUPS!$K$2:$L$9,2,FALSE),"UNK")&amp;"_"&amp;IFERROR(VLOOKUP(C63,LOOKUPS!$N$2:$O$10,2,FALSE),"UNK")&amp;"_"&amp;UPPER(L63))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IF(B64="","","MCQ"&amp;"_"&amp;IFERROR(VLOOKUP(B64,LOOKUPS!$K$2:$L$9,2,FALSE),"UNK")&amp;"_"&amp;IFERROR(VLOOKUP(C64,LOOKUPS!$N$2:$O$10,2,FALSE),"UNK")&amp;"_"&amp;UPPER(L64))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IF(B65="","","MCQ"&amp;"_"&amp;IFERROR(VLOOKUP(B65,LOOKUPS!$K$2:$L$9,2,FALSE),"UNK")&amp;"_"&amp;IFERROR(VLOOKUP(C65,LOOKUPS!$N$2:$O$10,2,FALSE),"UNK")&amp;"_"&amp;UPPER(L65))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IF(B66="","","MCQ"&amp;"_"&amp;IFERROR(VLOOKUP(B66,LOOKUPS!$K$2:$L$9,2,FALSE),"UNK")&amp;"_"&amp;IFERROR(VLOOKUP(C66,LOOKUPS!$N$2:$O$10,2,FALSE),"UNK")&amp;"_"&amp;UPPER(L66))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IF(B67="","","MCQ"&amp;"_"&amp;IFERROR(VLOOKUP(B67,LOOKUPS!$K$2:$L$9,2,FALSE),"UNK")&amp;"_"&amp;IFERROR(VLOOKUP(C67,LOOKUPS!$N$2:$O$10,2,FALSE),"UNK")&amp;"_"&amp;UPPER(L67))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IF(B68="","","MCQ"&amp;"_"&amp;IFERROR(VLOOKUP(B68,LOOKUPS!$K$2:$L$9,2,FALSE),"UNK")&amp;"_"&amp;IFERROR(VLOOKUP(C68,LOOKUPS!$N$2:$O$10,2,FALSE),"UNK")&amp;"_"&amp;UPPER(L68))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IF(B69="","","MCQ"&amp;"_"&amp;IFERROR(VLOOKUP(B69,LOOKUPS!$K$2:$L$9,2,FALSE),"UNK")&amp;"_"&amp;IFERROR(VLOOKUP(C69,LOOKUPS!$N$2:$O$10,2,FALSE),"UNK")&amp;"_"&amp;UPPER(L69))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IF(B70="","","MCQ"&amp;"_"&amp;IFERROR(VLOOKUP(B70,LOOKUPS!$K$2:$L$9,2,FALSE),"UNK")&amp;"_"&amp;IFERROR(VLOOKUP(C70,LOOKUPS!$N$2:$O$10,2,FALSE),"UNK")&amp;"_"&amp;UPPER(L70))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IF(B71="","","MCQ"&amp;"_"&amp;IFERROR(VLOOKUP(B71,LOOKUPS!$K$2:$L$9,2,FALSE),"UNK")&amp;"_"&amp;IFERROR(VLOOKUP(C71,LOOKUPS!$N$2:$O$10,2,FALSE),"UNK")&amp;"_"&amp;UPPER(L71))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IF(B72="","","MCQ"&amp;"_"&amp;IFERROR(VLOOKUP(B72,LOOKUPS!$K$2:$L$9,2,FALSE),"UNK")&amp;"_"&amp;IFERROR(VLOOKUP(C72,LOOKUPS!$N$2:$O$10,2,FALSE),"UNK")&amp;"_"&amp;UPPER(L72))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IF(B73="","","MCQ"&amp;"_"&amp;IFERROR(VLOOKUP(B73,LOOKUPS!$K$2:$L$9,2,FALSE),"UNK")&amp;"_"&amp;IFERROR(VLOOKUP(C73,LOOKUPS!$N$2:$O$10,2,FALSE),"UNK")&amp;"_"&amp;UPPER(L73))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IF(B74="","","MCQ"&amp;"_"&amp;IFERROR(VLOOKUP(B74,LOOKUPS!$K$2:$L$9,2,FALSE),"UNK")&amp;"_"&amp;IFERROR(VLOOKUP(C74,LOOKUPS!$N$2:$O$10,2,FALSE),"UNK")&amp;"_"&amp;UPPER(L74))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IF(B75="","","MCQ"&amp;"_"&amp;IFERROR(VLOOKUP(B75,LOOKUPS!$K$2:$L$9,2,FALSE),"UNK")&amp;"_"&amp;IFERROR(VLOOKUP(C75,LOOKUPS!$N$2:$O$10,2,FALSE),"UNK")&amp;"_"&amp;UPPER(L75))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IF(B76="","","MCQ"&amp;"_"&amp;IFERROR(VLOOKUP(B76,LOOKUPS!$K$2:$L$9,2,FALSE),"UNK")&amp;"_"&amp;IFERROR(VLOOKUP(C76,LOOKUPS!$N$2:$O$10,2,FALSE),"UNK")&amp;"_"&amp;UPPER(L76))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IF(B77="","","MCQ"&amp;"_"&amp;IFERROR(VLOOKUP(B77,LOOKUPS!$K$2:$L$9,2,FALSE),"UNK")&amp;"_"&amp;IFERROR(VLOOKUP(C77,LOOKUPS!$N$2:$O$10,2,FALSE),"UNK")&amp;"_"&amp;UPPER(L77))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IF(B78="","","MCQ"&amp;"_"&amp;IFERROR(VLOOKUP(B78,LOOKUPS!$K$2:$L$9,2,FALSE),"UNK")&amp;"_"&amp;IFERROR(VLOOKUP(C78,LOOKUPS!$N$2:$O$10,2,FALSE),"UNK")&amp;"_"&amp;UPPER(L78))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IF(B79="","","MCQ"&amp;"_"&amp;IFERROR(VLOOKUP(B79,LOOKUPS!$K$2:$L$9,2,FALSE),"UNK")&amp;"_"&amp;IFERROR(VLOOKUP(C79,LOOKUPS!$N$2:$O$10,2,FALSE),"UNK")&amp;"_"&amp;UPPER(L79))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IF(B80="","","MCQ"&amp;"_"&amp;IFERROR(VLOOKUP(B80,LOOKUPS!$K$2:$L$9,2,FALSE),"UNK")&amp;"_"&amp;IFERROR(VLOOKUP(C80,LOOKUPS!$N$2:$O$10,2,FALSE),"UNK")&amp;"_"&amp;UPPER(L80))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IF(B81="","","MCQ"&amp;"_"&amp;IFERROR(VLOOKUP(B81,LOOKUPS!$K$2:$L$9,2,FALSE),"UNK")&amp;"_"&amp;IFERROR(VLOOKUP(C81,LOOKUPS!$N$2:$O$10,2,FALSE),"UNK")&amp;"_"&amp;UPPER(L81))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IF(B82="","","MCQ"&amp;"_"&amp;IFERROR(VLOOKUP(B82,LOOKUPS!$K$2:$L$9,2,FALSE),"UNK")&amp;"_"&amp;IFERROR(VLOOKUP(C82,LOOKUPS!$N$2:$O$10,2,FALSE),"UNK")&amp;"_"&amp;UPPER(L82))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IF(B83="","","MCQ"&amp;"_"&amp;IFERROR(VLOOKUP(B83,LOOKUPS!$K$2:$L$9,2,FALSE),"UNK")&amp;"_"&amp;IFERROR(VLOOKUP(C83,LOOKUPS!$N$2:$O$10,2,FALSE),"UNK")&amp;"_"&amp;UPPER(L83))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IF(B84="","","MCQ"&amp;"_"&amp;IFERROR(VLOOKUP(B84,LOOKUPS!$K$2:$L$9,2,FALSE),"UNK")&amp;"_"&amp;IFERROR(VLOOKUP(C84,LOOKUPS!$N$2:$O$10,2,FALSE),"UNK")&amp;"_"&amp;UPPER(L84))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IF(B85="","","MCQ"&amp;"_"&amp;IFERROR(VLOOKUP(B85,LOOKUPS!$K$2:$L$9,2,FALSE),"UNK")&amp;"_"&amp;IFERROR(VLOOKUP(C85,LOOKUPS!$N$2:$O$10,2,FALSE),"UNK")&amp;"_"&amp;UPPER(L85))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IF(B86="","","MCQ"&amp;"_"&amp;IFERROR(VLOOKUP(B86,LOOKUPS!$K$2:$L$9,2,FALSE),"UNK")&amp;"_"&amp;IFERROR(VLOOKUP(C86,LOOKUPS!$N$2:$O$10,2,FALSE),"UNK")&amp;"_"&amp;UPPER(L86))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IF(B87="","","MCQ"&amp;"_"&amp;IFERROR(VLOOKUP(B87,LOOKUPS!$K$2:$L$9,2,FALSE),"UNK")&amp;"_"&amp;IFERROR(VLOOKUP(C87,LOOKUPS!$N$2:$O$10,2,FALSE),"UNK")&amp;"_"&amp;UPPER(L87))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IF(B88="","","MCQ"&amp;"_"&amp;IFERROR(VLOOKUP(B88,LOOKUPS!$K$2:$L$9,2,FALSE),"UNK")&amp;"_"&amp;IFERROR(VLOOKUP(C88,LOOKUPS!$N$2:$O$10,2,FALSE),"UNK")&amp;"_"&amp;UPPER(L88))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IF(B89="","","MCQ"&amp;"_"&amp;IFERROR(VLOOKUP(B89,LOOKUPS!$K$2:$L$9,2,FALSE),"UNK")&amp;"_"&amp;IFERROR(VLOOKUP(C89,LOOKUPS!$N$2:$O$10,2,FALSE),"UNK")&amp;"_"&amp;UPPER(L89))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IF(B90="","","MCQ"&amp;"_"&amp;IFERROR(VLOOKUP(B90,LOOKUPS!$K$2:$L$9,2,FALSE),"UNK")&amp;"_"&amp;IFERROR(VLOOKUP(C90,LOOKUPS!$N$2:$O$10,2,FALSE),"UNK")&amp;"_"&amp;UPPER(L90))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IF(B91="","","MCQ"&amp;"_"&amp;IFERROR(VLOOKUP(B91,LOOKUPS!$K$2:$L$9,2,FALSE),"UNK")&amp;"_"&amp;IFERROR(VLOOKUP(C91,LOOKUPS!$N$2:$O$10,2,FALSE),"UNK")&amp;"_"&amp;UPPER(L91))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IF(B92="","","MCQ"&amp;"_"&amp;IFERROR(VLOOKUP(B92,LOOKUPS!$K$2:$L$9,2,FALSE),"UNK")&amp;"_"&amp;IFERROR(VLOOKUP(C92,LOOKUPS!$N$2:$O$10,2,FALSE),"UNK")&amp;"_"&amp;UPPER(L92))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IF(B93="","","MCQ"&amp;"_"&amp;IFERROR(VLOOKUP(B93,LOOKUPS!$K$2:$L$9,2,FALSE),"UNK")&amp;"_"&amp;IFERROR(VLOOKUP(C93,LOOKUPS!$N$2:$O$10,2,FALSE),"UNK")&amp;"_"&amp;UPPER(L93))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IF(B94="","","MCQ"&amp;"_"&amp;IFERROR(VLOOKUP(B94,LOOKUPS!$K$2:$L$9,2,FALSE),"UNK")&amp;"_"&amp;IFERROR(VLOOKUP(C94,LOOKUPS!$N$2:$O$10,2,FALSE),"UNK")&amp;"_"&amp;UPPER(L94))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IF(B95="","","MCQ"&amp;"_"&amp;IFERROR(VLOOKUP(B95,LOOKUPS!$K$2:$L$9,2,FALSE),"UNK")&amp;"_"&amp;IFERROR(VLOOKUP(C95,LOOKUPS!$N$2:$O$10,2,FALSE),"UNK")&amp;"_"&amp;UPPER(L95))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IF(B96="","","MCQ"&amp;"_"&amp;IFERROR(VLOOKUP(B96,LOOKUPS!$K$2:$L$9,2,FALSE),"UNK")&amp;"_"&amp;IFERROR(VLOOKUP(C96,LOOKUPS!$N$2:$O$10,2,FALSE),"UNK")&amp;"_"&amp;UPPER(L96))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IF(B97="","","MCQ"&amp;"_"&amp;IFERROR(VLOOKUP(B97,LOOKUPS!$K$2:$L$9,2,FALSE),"UNK")&amp;"_"&amp;IFERROR(VLOOKUP(C97,LOOKUPS!$N$2:$O$10,2,FALSE),"UNK")&amp;"_"&amp;UPPER(L97))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IF(B98="","","MCQ"&amp;"_"&amp;IFERROR(VLOOKUP(B98,LOOKUPS!$K$2:$L$9,2,FALSE),"UNK")&amp;"_"&amp;IFERROR(VLOOKUP(C98,LOOKUPS!$N$2:$O$10,2,FALSE),"UNK")&amp;"_"&amp;UPPER(L98))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IF(B99="","","MCQ"&amp;"_"&amp;IFERROR(VLOOKUP(B99,LOOKUPS!$K$2:$L$9,2,FALSE),"UNK")&amp;"_"&amp;IFERROR(VLOOKUP(C99,LOOKUPS!$N$2:$O$10,2,FALSE),"UNK")&amp;"_"&amp;UPPER(L99))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IF(B100="","","MCQ"&amp;"_"&amp;IFERROR(VLOOKUP(B100,LOOKUPS!$K$2:$L$9,2,FALSE),"UNK")&amp;"_"&amp;IFERROR(VLOOKUP(C100,LOOKUPS!$N$2:$O$10,2,FALSE),"UNK")&amp;"_"&amp;UPPER(L100))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IF(B101="","","MCQ"&amp;"_"&amp;IFERROR(VLOOKUP(B101,LOOKUPS!$K$2:$L$9,2,FALSE),"UNK")&amp;"_"&amp;IFERROR(VLOOKUP(C101,LOOKUPS!$N$2:$O$10,2,FALSE),"UNK")&amp;"_"&amp;UPPER(L101))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IF(B102="","","MCQ"&amp;"_"&amp;IFERROR(VLOOKUP(B102,LOOKUPS!$K$2:$L$9,2,FALSE),"UNK")&amp;"_"&amp;IFERROR(VLOOKUP(C102,LOOKUPS!$N$2:$O$10,2,FALSE),"UNK")&amp;"_"&amp;UPPER(L102))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IF(B103="","","MCQ"&amp;"_"&amp;IFERROR(VLOOKUP(B103,LOOKUPS!$K$2:$L$9,2,FALSE),"UNK")&amp;"_"&amp;IFERROR(VLOOKUP(C103,LOOKUPS!$N$2:$O$10,2,FALSE),"UNK")&amp;"_"&amp;UPPER(L103))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IF(B104="","","MCQ"&amp;"_"&amp;IFERROR(VLOOKUP(B104,LOOKUPS!$K$2:$L$9,2,FALSE),"UNK")&amp;"_"&amp;IFERROR(VLOOKUP(C104,LOOKUPS!$N$2:$O$10,2,FALSE),"UNK")&amp;"_"&amp;UPPER(L104))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IF(B105="","","MCQ"&amp;"_"&amp;IFERROR(VLOOKUP(B105,LOOKUPS!$K$2:$L$9,2,FALSE),"UNK")&amp;"_"&amp;IFERROR(VLOOKUP(C105,LOOKUPS!$N$2:$O$10,2,FALSE),"UNK")&amp;"_"&amp;UPPER(L105))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IF(B106="","","MCQ"&amp;"_"&amp;IFERROR(VLOOKUP(B106,LOOKUPS!$K$2:$L$9,2,FALSE),"UNK")&amp;"_"&amp;IFERROR(VLOOKUP(C106,LOOKUPS!$N$2:$O$10,2,FALSE),"UNK")&amp;"_"&amp;UPPER(L106))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IF(B107="","","MCQ"&amp;"_"&amp;IFERROR(VLOOKUP(B107,LOOKUPS!$K$2:$L$9,2,FALSE),"UNK")&amp;"_"&amp;IFERROR(VLOOKUP(C107,LOOKUPS!$N$2:$O$10,2,FALSE),"UNK")&amp;"_"&amp;UPPER(L107))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IF(B108="","","MCQ"&amp;"_"&amp;IFERROR(VLOOKUP(B108,LOOKUPS!$K$2:$L$9,2,FALSE),"UNK")&amp;"_"&amp;IFERROR(VLOOKUP(C108,LOOKUPS!$N$2:$O$10,2,FALSE),"UNK")&amp;"_"&amp;UPPER(L108))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IF(B109="","","MCQ"&amp;"_"&amp;IFERROR(VLOOKUP(B109,LOOKUPS!$K$2:$L$9,2,FALSE),"UNK")&amp;"_"&amp;IFERROR(VLOOKUP(C109,LOOKUPS!$N$2:$O$10,2,FALSE),"UNK")&amp;"_"&amp;UPPER(L109))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IF(B110="","","MCQ"&amp;"_"&amp;IFERROR(VLOOKUP(B110,LOOKUPS!$K$2:$L$9,2,FALSE),"UNK")&amp;"_"&amp;IFERROR(VLOOKUP(C110,LOOKUPS!$N$2:$O$10,2,FALSE),"UNK")&amp;"_"&amp;UPPER(L110))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IF(B111="","","MCQ"&amp;"_"&amp;IFERROR(VLOOKUP(B111,LOOKUPS!$K$2:$L$9,2,FALSE),"UNK")&amp;"_"&amp;IFERROR(VLOOKUP(C111,LOOKUPS!$N$2:$O$10,2,FALSE),"UNK")&amp;"_"&amp;UPPER(L111))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IF(B112="","","MCQ"&amp;"_"&amp;IFERROR(VLOOKUP(B112,LOOKUPS!$K$2:$L$9,2,FALSE),"UNK")&amp;"_"&amp;IFERROR(VLOOKUP(C112,LOOKUPS!$N$2:$O$10,2,FALSE),"UNK")&amp;"_"&amp;UPPER(L112))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IF(B113="","","MCQ"&amp;"_"&amp;IFERROR(VLOOKUP(B113,LOOKUPS!$K$2:$L$9,2,FALSE),"UNK")&amp;"_"&amp;IFERROR(VLOOKUP(C113,LOOKUPS!$N$2:$O$10,2,FALSE),"UNK")&amp;"_"&amp;UPPER(L113))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IF(B114="","","MCQ"&amp;"_"&amp;IFERROR(VLOOKUP(B114,LOOKUPS!$K$2:$L$9,2,FALSE),"UNK")&amp;"_"&amp;IFERROR(VLOOKUP(C114,LOOKUPS!$N$2:$O$10,2,FALSE),"UNK")&amp;"_"&amp;UPPER(L114))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IF(B115="","","MCQ"&amp;"_"&amp;IFERROR(VLOOKUP(B115,LOOKUPS!$K$2:$L$9,2,FALSE),"UNK")&amp;"_"&amp;IFERROR(VLOOKUP(C115,LOOKUPS!$N$2:$O$10,2,FALSE),"UNK")&amp;"_"&amp;UPPER(L115))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IF(B116="","","MCQ"&amp;"_"&amp;IFERROR(VLOOKUP(B116,LOOKUPS!$K$2:$L$9,2,FALSE),"UNK")&amp;"_"&amp;IFERROR(VLOOKUP(C116,LOOKUPS!$N$2:$O$10,2,FALSE),"UNK")&amp;"_"&amp;UPPER(L116))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IF(B117="","","MCQ"&amp;"_"&amp;IFERROR(VLOOKUP(B117,LOOKUPS!$K$2:$L$9,2,FALSE),"UNK")&amp;"_"&amp;IFERROR(VLOOKUP(C117,LOOKUPS!$N$2:$O$10,2,FALSE),"UNK")&amp;"_"&amp;UPPER(L117))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IF(B118="","","MCQ"&amp;"_"&amp;IFERROR(VLOOKUP(B118,LOOKUPS!$K$2:$L$9,2,FALSE),"UNK")&amp;"_"&amp;IFERROR(VLOOKUP(C118,LOOKUPS!$N$2:$O$10,2,FALSE),"UNK")&amp;"_"&amp;UPPER(L118))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IF(B119="","","MCQ"&amp;"_"&amp;IFERROR(VLOOKUP(B119,LOOKUPS!$K$2:$L$9,2,FALSE),"UNK")&amp;"_"&amp;IFERROR(VLOOKUP(C119,LOOKUPS!$N$2:$O$10,2,FALSE),"UNK")&amp;"_"&amp;UPPER(L119))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IF(B120="","","MCQ"&amp;"_"&amp;IFERROR(VLOOKUP(B120,LOOKUPS!$K$2:$L$9,2,FALSE),"UNK")&amp;"_"&amp;IFERROR(VLOOKUP(C120,LOOKUPS!$N$2:$O$10,2,FALSE),"UNK")&amp;"_"&amp;UPPER(L120))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IF(B121="","","MCQ"&amp;"_"&amp;IFERROR(VLOOKUP(B121,LOOKUPS!$K$2:$L$9,2,FALSE),"UNK")&amp;"_"&amp;IFERROR(VLOOKUP(C121,LOOKUPS!$N$2:$O$10,2,FALSE),"UNK")&amp;"_"&amp;UPPER(L121))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IF(B122="","","MCQ"&amp;"_"&amp;IFERROR(VLOOKUP(B122,LOOKUPS!$K$2:$L$9,2,FALSE),"UNK")&amp;"_"&amp;IFERROR(VLOOKUP(C122,LOOKUPS!$N$2:$O$10,2,FALSE),"UNK")&amp;"_"&amp;UPPER(L122))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IF(B123="","","MCQ"&amp;"_"&amp;IFERROR(VLOOKUP(B123,LOOKUPS!$K$2:$L$9,2,FALSE),"UNK")&amp;"_"&amp;IFERROR(VLOOKUP(C123,LOOKUPS!$N$2:$O$10,2,FALSE),"UNK")&amp;"_"&amp;UPPER(L123))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IF(B124="","","MCQ"&amp;"_"&amp;IFERROR(VLOOKUP(B124,LOOKUPS!$K$2:$L$9,2,FALSE),"UNK")&amp;"_"&amp;IFERROR(VLOOKUP(C124,LOOKUPS!$N$2:$O$10,2,FALSE),"UNK")&amp;"_"&amp;UPPER(L124))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IF(B125="","","MCQ"&amp;"_"&amp;IFERROR(VLOOKUP(B125,LOOKUPS!$K$2:$L$9,2,FALSE),"UNK")&amp;"_"&amp;IFERROR(VLOOKUP(C125,LOOKUPS!$N$2:$O$10,2,FALSE),"UNK")&amp;"_"&amp;UPPER(L125))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IF(B126="","","MCQ"&amp;"_"&amp;IFERROR(VLOOKUP(B126,LOOKUPS!$K$2:$L$9,2,FALSE),"UNK")&amp;"_"&amp;IFERROR(VLOOKUP(C126,LOOKUPS!$N$2:$O$10,2,FALSE),"UNK")&amp;"_"&amp;UPPER(L126))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IF(B127="","","MCQ"&amp;"_"&amp;IFERROR(VLOOKUP(B127,LOOKUPS!$K$2:$L$9,2,FALSE),"UNK")&amp;"_"&amp;IFERROR(VLOOKUP(C127,LOOKUPS!$N$2:$O$10,2,FALSE),"UNK")&amp;"_"&amp;UPPER(L127))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IF(B128="","","MCQ"&amp;"_"&amp;IFERROR(VLOOKUP(B128,LOOKUPS!$K$2:$L$9,2,FALSE),"UNK")&amp;"_"&amp;IFERROR(VLOOKUP(C128,LOOKUPS!$N$2:$O$10,2,FALSE),"UNK")&amp;"_"&amp;UPPER(L128))</f>
        <v/>
      </c>
      <c r="N128" s="3" t="str">
        <f>IF(M128="","",COUNTIF($M$2:M128,M128))</f>
        <v/>
      </c>
      <c r="O128" s="3"/>
      <c r="P128" s="3"/>
      <c r="Q128" s="3"/>
      <c r="R128" s="3"/>
      <c r="S128" s="3"/>
      <c r="T128" s="3"/>
      <c r="U128" s="3"/>
      <c r="V128" s="3"/>
    </row>
    <row r="129" spans="1:22" x14ac:dyDescent="0.3">
      <c r="A129" s="3" t="str">
        <f t="shared" ref="A129:A130" si="2">IF(M129="","",M129&amp;"_"&amp;TEXT(N129,"000"))</f>
        <v/>
      </c>
      <c r="B129" s="3"/>
      <c r="C129" s="3"/>
      <c r="D129" s="3"/>
      <c r="E129" s="3"/>
      <c r="F129" s="3"/>
      <c r="G129" s="3"/>
      <c r="H129" s="3"/>
      <c r="I129" s="3"/>
      <c r="J129" s="3"/>
      <c r="K129" s="3"/>
      <c r="L129" s="3"/>
      <c r="M129" s="3" t="str">
        <f>IF(B129="","","MCQ"&amp;"_"&amp;IFERROR(VLOOKUP(B129,LOOKUPS!$K$2:$L$9,2,FALSE),"UNK")&amp;"_"&amp;IFERROR(VLOOKUP(C129,LOOKUPS!$N$2:$O$10,2,FALSE),"UNK")&amp;"_"&amp;UPPER(L129))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IF(B130="","","MCQ"&amp;"_"&amp;IFERROR(VLOOKUP(B130,LOOKUPS!$K$2:$L$9,2,FALSE),"UNK")&amp;"_"&amp;IFERROR(VLOOKUP(C130,LOOKUPS!$N$2:$O$10,2,FALSE),"UNK")&amp;"_"&amp;UPPER(L130))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IF(B131="","","MCQ"&amp;"_"&amp;IFERROR(VLOOKUP(B131,LOOKUPS!$K$2:$L$9,2,FALSE),"UNK")&amp;"_"&amp;IFERROR(VLOOKUP(C131,LOOKUPS!$N$2:$O$10,2,FALSE),"UNK")&amp;"_"&amp;UPPER(L131))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IF(B132="","","MCQ"&amp;"_"&amp;IFERROR(VLOOKUP(B132,LOOKUPS!$K$2:$L$9,2,FALSE),"UNK")&amp;"_"&amp;IFERROR(VLOOKUP(C132,LOOKUPS!$N$2:$O$10,2,FALSE),"UNK")&amp;"_"&amp;UPPER(L132))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IF(B133="","","MCQ"&amp;"_"&amp;IFERROR(VLOOKUP(B133,LOOKUPS!$K$2:$L$9,2,FALSE),"UNK")&amp;"_"&amp;IFERROR(VLOOKUP(C133,LOOKUPS!$N$2:$O$10,2,FALSE),"UNK")&amp;"_"&amp;UPPER(L133))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IF(B134="","","MCQ"&amp;"_"&amp;IFERROR(VLOOKUP(B134,LOOKUPS!$K$2:$L$9,2,FALSE),"UNK")&amp;"_"&amp;IFERROR(VLOOKUP(C134,LOOKUPS!$N$2:$O$10,2,FALSE),"UNK")&amp;"_"&amp;UPPER(L134))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IF(B135="","","MCQ"&amp;"_"&amp;IFERROR(VLOOKUP(B135,LOOKUPS!$K$2:$L$9,2,FALSE),"UNK")&amp;"_"&amp;IFERROR(VLOOKUP(C135,LOOKUPS!$N$2:$O$10,2,FALSE),"UNK")&amp;"_"&amp;UPPER(L135))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IF(B136="","","MCQ"&amp;"_"&amp;IFERROR(VLOOKUP(B136,LOOKUPS!$K$2:$L$9,2,FALSE),"UNK")&amp;"_"&amp;IFERROR(VLOOKUP(C136,LOOKUPS!$N$2:$O$10,2,FALSE),"UNK")&amp;"_"&amp;UPPER(L136))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IF(B137="","","MCQ"&amp;"_"&amp;IFERROR(VLOOKUP(B137,LOOKUPS!$K$2:$L$9,2,FALSE),"UNK")&amp;"_"&amp;IFERROR(VLOOKUP(C137,LOOKUPS!$N$2:$O$10,2,FALSE),"UNK")&amp;"_"&amp;UPPER(L137))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IF(B138="","","MCQ"&amp;"_"&amp;IFERROR(VLOOKUP(B138,LOOKUPS!$K$2:$L$9,2,FALSE),"UNK")&amp;"_"&amp;IFERROR(VLOOKUP(C138,LOOKUPS!$N$2:$O$10,2,FALSE),"UNK")&amp;"_"&amp;UPPER(L138))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IF(B139="","","MCQ"&amp;"_"&amp;IFERROR(VLOOKUP(B139,LOOKUPS!$K$2:$L$9,2,FALSE),"UNK")&amp;"_"&amp;IFERROR(VLOOKUP(C139,LOOKUPS!$N$2:$O$10,2,FALSE),"UNK")&amp;"_"&amp;UPPER(L139))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IF(B140="","","MCQ"&amp;"_"&amp;IFERROR(VLOOKUP(B140,LOOKUPS!$K$2:$L$9,2,FALSE),"UNK")&amp;"_"&amp;IFERROR(VLOOKUP(C140,LOOKUPS!$N$2:$O$10,2,FALSE),"UNK")&amp;"_"&amp;UPPER(L140))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IF(B141="","","MCQ"&amp;"_"&amp;IFERROR(VLOOKUP(B141,LOOKUPS!$K$2:$L$9,2,FALSE),"UNK")&amp;"_"&amp;IFERROR(VLOOKUP(C141,LOOKUPS!$N$2:$O$10,2,FALSE),"UNK")&amp;"_"&amp;UPPER(L141))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IF(B142="","","MCQ"&amp;"_"&amp;IFERROR(VLOOKUP(B142,LOOKUPS!$K$2:$L$9,2,FALSE),"UNK")&amp;"_"&amp;IFERROR(VLOOKUP(C142,LOOKUPS!$N$2:$O$10,2,FALSE),"UNK")&amp;"_"&amp;UPPER(L142))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IF(B143="","","MCQ"&amp;"_"&amp;IFERROR(VLOOKUP(B143,LOOKUPS!$K$2:$L$9,2,FALSE),"UNK")&amp;"_"&amp;IFERROR(VLOOKUP(C143,LOOKUPS!$N$2:$O$10,2,FALSE),"UNK")&amp;"_"&amp;UPPER(L143))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IF(B144="","","MCQ"&amp;"_"&amp;IFERROR(VLOOKUP(B144,LOOKUPS!$K$2:$L$9,2,FALSE),"UNK")&amp;"_"&amp;IFERROR(VLOOKUP(C144,LOOKUPS!$N$2:$O$10,2,FALSE),"UNK")&amp;"_"&amp;UPPER(L144))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 type="list" allowBlank="1" showDropDown="1" xr:uid="{00000000-0002-0000-0200-000000000000}">
          <x14:formula1>
            <xm:f>LOOKUPS!$A$2:$A$9</xm:f>
          </x14:formula1>
          <xm:sqref>B145:B1000</xm:sqref>
        </x14:dataValidation>
        <x14:dataValidation type="list" allowBlank="1" xr:uid="{63E79027-D239-4E0A-BBFF-F2933BA25C41}">
          <x14:formula1>
            <xm:f>LOOKUPS!$A$2:$A$9</xm:f>
          </x14:formula1>
          <xm:sqref>B2:B144</xm:sqref>
        </x14:dataValidation>
        <x14:dataValidation type="list" allowBlank="1" showDropDown="1" xr:uid="{00000000-0002-0000-0200-000001000000}">
          <x14:formula1>
            <xm:f>LOOKUPS!$C$2:$C$10</xm:f>
          </x14:formula1>
          <xm:sqref>C145:C1000</xm:sqref>
        </x14:dataValidation>
        <x14:dataValidation type="list" allowBlank="1" xr:uid="{9882B6B5-9DBA-438F-A664-419CAF0177FD}">
          <x14:formula1>
            <xm:f>LOOKUPS!$C$2:$C$10</xm:f>
          </x14:formula1>
          <xm:sqref>C2:C144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Q1" workbookViewId="0">
      <pane ySplit="1" topLeftCell="A2" activePane="bottomLeft" state="frozen"/>
      <selection pane="bottomLeft" activeCell="D2" sqref="D2:D13"/>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s="6" t="s">
        <v>818</v>
      </c>
      <c r="E2" t="s">
        <v>25</v>
      </c>
      <c r="F2">
        <v>3</v>
      </c>
      <c r="G2">
        <v>0</v>
      </c>
      <c r="H2" t="s">
        <v>17</v>
      </c>
      <c r="I2" t="s">
        <v>319</v>
      </c>
      <c r="J2" t="s">
        <v>320</v>
      </c>
      <c r="K2">
        <v>1</v>
      </c>
      <c r="L2" t="s">
        <v>321</v>
      </c>
      <c r="M2" s="3" t="str">
        <f>IF(B2="","","AB"&amp;"_"&amp;IFERROR(VLOOKUP(B2,LOOKUPS!$K$2:$L$9,2,FALSE),"UNK")&amp;"_"&amp;IFERROR(VLOOKUP(C2,LOOKUPS!$N$2:$O$10,2,FALSE),"UNK")&amp;"_"&amp;UPPER(L2))</f>
        <v>AB_ITNIC_REQ_INVSCHEME</v>
      </c>
      <c r="N2" s="3">
        <f>IF(M2="","",COUNTIF($M$2:M2,M2))</f>
        <v>1</v>
      </c>
      <c r="O2" s="6" t="s">
        <v>680</v>
      </c>
      <c r="P2">
        <v>2</v>
      </c>
      <c r="Q2" t="s">
        <v>322</v>
      </c>
      <c r="R2" s="4">
        <v>1000000</v>
      </c>
      <c r="S2" t="s">
        <v>133</v>
      </c>
      <c r="T2" t="s">
        <v>17</v>
      </c>
      <c r="U2" s="5" t="s">
        <v>227</v>
      </c>
      <c r="V2" t="s">
        <v>17</v>
      </c>
      <c r="X2" s="4"/>
      <c r="AA2" s="5"/>
      <c r="AC2" t="s">
        <v>323</v>
      </c>
    </row>
    <row r="3" spans="1:29" ht="57.6" x14ac:dyDescent="0.3">
      <c r="A3" s="3" t="str">
        <f t="shared" si="0"/>
        <v>AB_ITNIC_REQ_INVSCHEME_002</v>
      </c>
      <c r="B3" t="s">
        <v>21</v>
      </c>
      <c r="C3" t="s">
        <v>22</v>
      </c>
      <c r="D3" s="6" t="s">
        <v>818</v>
      </c>
      <c r="E3" t="s">
        <v>25</v>
      </c>
      <c r="F3">
        <v>3</v>
      </c>
      <c r="G3">
        <v>0</v>
      </c>
      <c r="H3" t="s">
        <v>17</v>
      </c>
      <c r="I3" t="s">
        <v>324</v>
      </c>
      <c r="J3" t="s">
        <v>320</v>
      </c>
      <c r="K3">
        <v>1</v>
      </c>
      <c r="L3" t="s">
        <v>321</v>
      </c>
      <c r="M3" s="3" t="str">
        <f>IF(B3="","","AB"&amp;"_"&amp;IFERROR(VLOOKUP(B3,LOOKUPS!$K$2:$L$9,2,FALSE),"UNK")&amp;"_"&amp;IFERROR(VLOOKUP(C3,LOOKUPS!$N$2:$O$10,2,FALSE),"UNK")&amp;"_"&amp;UPPER(L3))</f>
        <v>AB_ITNIC_REQ_INVSCHEME</v>
      </c>
      <c r="N3" s="3">
        <f>IF(M3="","",COUNTIF($M$2:M3,M3))</f>
        <v>2</v>
      </c>
      <c r="O3" s="6" t="s">
        <v>681</v>
      </c>
      <c r="P3">
        <v>2</v>
      </c>
      <c r="Q3" s="5">
        <v>0.3</v>
      </c>
      <c r="R3" t="s">
        <v>325</v>
      </c>
      <c r="S3" t="s">
        <v>227</v>
      </c>
      <c r="T3" t="s">
        <v>17</v>
      </c>
      <c r="U3" t="s">
        <v>133</v>
      </c>
      <c r="V3" t="s">
        <v>17</v>
      </c>
      <c r="AC3" t="s">
        <v>326</v>
      </c>
    </row>
    <row r="4" spans="1:29" ht="57.6" x14ac:dyDescent="0.3">
      <c r="A4" s="3" t="str">
        <f t="shared" si="0"/>
        <v>AB_ITNIC_REQ_INVSCHEME_003</v>
      </c>
      <c r="B4" t="s">
        <v>21</v>
      </c>
      <c r="C4" t="s">
        <v>22</v>
      </c>
      <c r="D4" s="6" t="s">
        <v>818</v>
      </c>
      <c r="E4" t="s">
        <v>25</v>
      </c>
      <c r="F4">
        <v>3</v>
      </c>
      <c r="G4">
        <v>0</v>
      </c>
      <c r="H4" t="s">
        <v>17</v>
      </c>
      <c r="I4" t="s">
        <v>327</v>
      </c>
      <c r="J4" t="s">
        <v>320</v>
      </c>
      <c r="K4">
        <v>1</v>
      </c>
      <c r="L4" t="s">
        <v>321</v>
      </c>
      <c r="M4" s="3" t="str">
        <f>IF(B4="","","AB"&amp;"_"&amp;IFERROR(VLOOKUP(B4,LOOKUPS!$K$2:$L$9,2,FALSE),"UNK")&amp;"_"&amp;IFERROR(VLOOKUP(C4,LOOKUPS!$N$2:$O$10,2,FALSE),"UNK")&amp;"_"&amp;UPPER(L4))</f>
        <v>AB_ITNIC_REQ_INVSCHEME</v>
      </c>
      <c r="N4" s="3">
        <f>IF(M4="","",COUNTIF($M$2:M4,M4))</f>
        <v>3</v>
      </c>
      <c r="O4" s="6" t="s">
        <v>682</v>
      </c>
      <c r="P4">
        <v>2</v>
      </c>
      <c r="Q4" s="5">
        <v>0.3</v>
      </c>
      <c r="R4" t="s">
        <v>328</v>
      </c>
      <c r="S4" t="s">
        <v>227</v>
      </c>
      <c r="T4" t="s">
        <v>17</v>
      </c>
      <c r="U4" t="s">
        <v>133</v>
      </c>
      <c r="V4" t="s">
        <v>17</v>
      </c>
      <c r="AC4" t="s">
        <v>329</v>
      </c>
    </row>
    <row r="5" spans="1:29" ht="57.6" x14ac:dyDescent="0.3">
      <c r="A5" s="3" t="str">
        <f t="shared" si="0"/>
        <v>AB_ITNIC_REQ_INVSCHEME_004</v>
      </c>
      <c r="B5" t="s">
        <v>21</v>
      </c>
      <c r="C5" t="s">
        <v>22</v>
      </c>
      <c r="D5" s="6" t="s">
        <v>818</v>
      </c>
      <c r="E5" t="s">
        <v>25</v>
      </c>
      <c r="F5">
        <v>3</v>
      </c>
      <c r="G5">
        <v>0</v>
      </c>
      <c r="H5" t="s">
        <v>17</v>
      </c>
      <c r="I5" t="s">
        <v>330</v>
      </c>
      <c r="J5" t="s">
        <v>320</v>
      </c>
      <c r="K5">
        <v>1</v>
      </c>
      <c r="L5" t="s">
        <v>321</v>
      </c>
      <c r="M5" s="3" t="str">
        <f>IF(B5="","","AB"&amp;"_"&amp;IFERROR(VLOOKUP(B5,LOOKUPS!$K$2:$L$9,2,FALSE),"UNK")&amp;"_"&amp;IFERROR(VLOOKUP(C5,LOOKUPS!$N$2:$O$10,2,FALSE),"UNK")&amp;"_"&amp;UPPER(L5))</f>
        <v>AB_ITNIC_REQ_INVSCHEME</v>
      </c>
      <c r="N5" s="3">
        <f>IF(M5="","",COUNTIF($M$2:M5,M5))</f>
        <v>4</v>
      </c>
      <c r="O5" s="6" t="s">
        <v>683</v>
      </c>
      <c r="P5">
        <v>2</v>
      </c>
      <c r="Q5" t="s">
        <v>331</v>
      </c>
      <c r="R5" t="s">
        <v>332</v>
      </c>
      <c r="S5" t="s">
        <v>227</v>
      </c>
      <c r="T5" t="s">
        <v>17</v>
      </c>
      <c r="U5" t="s">
        <v>133</v>
      </c>
      <c r="V5" t="s">
        <v>17</v>
      </c>
      <c r="AC5" t="s">
        <v>333</v>
      </c>
    </row>
    <row r="6" spans="1:29" ht="43.2" x14ac:dyDescent="0.3">
      <c r="A6" s="3" t="str">
        <f t="shared" si="0"/>
        <v>AB_ITNIC_REQ_INVSCHEME_005</v>
      </c>
      <c r="B6" t="s">
        <v>21</v>
      </c>
      <c r="C6" t="s">
        <v>22</v>
      </c>
      <c r="D6" s="6" t="s">
        <v>818</v>
      </c>
      <c r="E6" t="s">
        <v>25</v>
      </c>
      <c r="F6">
        <v>3</v>
      </c>
      <c r="G6">
        <v>0</v>
      </c>
      <c r="H6" t="s">
        <v>17</v>
      </c>
      <c r="I6" t="s">
        <v>334</v>
      </c>
      <c r="J6" t="s">
        <v>320</v>
      </c>
      <c r="K6">
        <v>1</v>
      </c>
      <c r="L6" t="s">
        <v>321</v>
      </c>
      <c r="M6" s="3" t="str">
        <f>IF(B6="","","AB"&amp;"_"&amp;IFERROR(VLOOKUP(B6,LOOKUPS!$K$2:$L$9,2,FALSE),"UNK")&amp;"_"&amp;IFERROR(VLOOKUP(C6,LOOKUPS!$N$2:$O$10,2,FALSE),"UNK")&amp;"_"&amp;UPPER(L6))</f>
        <v>AB_ITNIC_REQ_INVSCHEME</v>
      </c>
      <c r="N6" s="3">
        <f>IF(M6="","",COUNTIF($M$2:M6,M6))</f>
        <v>5</v>
      </c>
      <c r="O6" s="6" t="s">
        <v>673</v>
      </c>
      <c r="P6">
        <v>2</v>
      </c>
      <c r="Q6" s="5">
        <v>0.5</v>
      </c>
      <c r="R6" s="4">
        <v>200000</v>
      </c>
      <c r="S6" t="s">
        <v>227</v>
      </c>
      <c r="T6" t="s">
        <v>17</v>
      </c>
      <c r="U6" t="s">
        <v>133</v>
      </c>
      <c r="V6" t="s">
        <v>17</v>
      </c>
      <c r="AC6" t="s">
        <v>674</v>
      </c>
    </row>
    <row r="7" spans="1:29" ht="57.6" x14ac:dyDescent="0.3">
      <c r="A7" s="3" t="str">
        <f t="shared" si="0"/>
        <v>AB_ITNIC_REQ_INVSCHEME_006</v>
      </c>
      <c r="B7" t="s">
        <v>21</v>
      </c>
      <c r="C7" t="s">
        <v>22</v>
      </c>
      <c r="D7" s="6" t="s">
        <v>818</v>
      </c>
      <c r="E7" t="s">
        <v>25</v>
      </c>
      <c r="F7">
        <v>3</v>
      </c>
      <c r="G7">
        <v>0</v>
      </c>
      <c r="H7" t="s">
        <v>17</v>
      </c>
      <c r="I7" t="s">
        <v>335</v>
      </c>
      <c r="J7" t="s">
        <v>320</v>
      </c>
      <c r="K7">
        <v>1</v>
      </c>
      <c r="L7" t="s">
        <v>321</v>
      </c>
      <c r="M7" s="3" t="str">
        <f>IF(B7="","","AB"&amp;"_"&amp;IFERROR(VLOOKUP(B7,LOOKUPS!$K$2:$L$9,2,FALSE),"UNK")&amp;"_"&amp;IFERROR(VLOOKUP(C7,LOOKUPS!$N$2:$O$10,2,FALSE),"UNK")&amp;"_"&amp;UPPER(L7))</f>
        <v>AB_ITNIC_REQ_INVSCHEME</v>
      </c>
      <c r="N7" s="3">
        <f>IF(M7="","",COUNTIF($M$2:M7,M7))</f>
        <v>6</v>
      </c>
      <c r="O7" s="6" t="s">
        <v>675</v>
      </c>
      <c r="P7">
        <v>2</v>
      </c>
      <c r="Q7" t="s">
        <v>336</v>
      </c>
      <c r="R7" t="s">
        <v>676</v>
      </c>
      <c r="S7" t="s">
        <v>227</v>
      </c>
      <c r="T7" t="s">
        <v>17</v>
      </c>
      <c r="U7" t="s">
        <v>133</v>
      </c>
      <c r="V7" t="s">
        <v>17</v>
      </c>
      <c r="AC7" t="s">
        <v>337</v>
      </c>
    </row>
    <row r="8" spans="1:29" ht="57.6" x14ac:dyDescent="0.3">
      <c r="A8" s="3" t="str">
        <f t="shared" si="0"/>
        <v>AB_ITNIC_REQ_INVSCHEME_007</v>
      </c>
      <c r="B8" t="s">
        <v>21</v>
      </c>
      <c r="C8" t="s">
        <v>22</v>
      </c>
      <c r="D8" s="6" t="s">
        <v>818</v>
      </c>
      <c r="E8" t="s">
        <v>25</v>
      </c>
      <c r="F8">
        <v>3</v>
      </c>
      <c r="G8">
        <v>0</v>
      </c>
      <c r="H8" t="s">
        <v>17</v>
      </c>
      <c r="I8" t="s">
        <v>338</v>
      </c>
      <c r="J8" t="s">
        <v>320</v>
      </c>
      <c r="K8">
        <v>1</v>
      </c>
      <c r="L8" t="s">
        <v>321</v>
      </c>
      <c r="M8" s="3" t="str">
        <f>IF(B8="","","AB"&amp;"_"&amp;IFERROR(VLOOKUP(B8,LOOKUPS!$K$2:$L$9,2,FALSE),"UNK")&amp;"_"&amp;IFERROR(VLOOKUP(C8,LOOKUPS!$N$2:$O$10,2,FALSE),"UNK")&amp;"_"&amp;UPPER(L8))</f>
        <v>AB_ITNIC_REQ_INVSCHEME</v>
      </c>
      <c r="N8" s="3">
        <f>IF(M8="","",COUNTIF($M$2:M8,M8))</f>
        <v>7</v>
      </c>
      <c r="O8" s="6" t="s">
        <v>687</v>
      </c>
      <c r="P8">
        <v>2</v>
      </c>
      <c r="Q8">
        <v>30</v>
      </c>
      <c r="R8">
        <v>200000</v>
      </c>
      <c r="S8" t="s">
        <v>227</v>
      </c>
      <c r="T8" t="s">
        <v>17</v>
      </c>
      <c r="U8" t="s">
        <v>133</v>
      </c>
      <c r="V8" t="s">
        <v>17</v>
      </c>
      <c r="AC8" t="s">
        <v>688</v>
      </c>
    </row>
    <row r="9" spans="1:29" ht="43.2" x14ac:dyDescent="0.3">
      <c r="A9" s="3" t="str">
        <f t="shared" si="0"/>
        <v>AB_ITNIC_REQ_INVSCHEME_008</v>
      </c>
      <c r="B9" t="s">
        <v>21</v>
      </c>
      <c r="C9" t="s">
        <v>22</v>
      </c>
      <c r="D9" s="6" t="s">
        <v>818</v>
      </c>
      <c r="E9" t="s">
        <v>25</v>
      </c>
      <c r="F9">
        <v>3</v>
      </c>
      <c r="G9">
        <v>0</v>
      </c>
      <c r="H9" t="s">
        <v>17</v>
      </c>
      <c r="I9" t="s">
        <v>339</v>
      </c>
      <c r="J9" t="s">
        <v>320</v>
      </c>
      <c r="K9">
        <v>1</v>
      </c>
      <c r="L9" t="s">
        <v>321</v>
      </c>
      <c r="M9" s="3" t="str">
        <f>IF(B9="","","AB"&amp;"_"&amp;IFERROR(VLOOKUP(B9,LOOKUPS!$K$2:$L$9,2,FALSE),"UNK")&amp;"_"&amp;IFERROR(VLOOKUP(C9,LOOKUPS!$N$2:$O$10,2,FALSE),"UNK")&amp;"_"&amp;UPPER(L9))</f>
        <v>AB_ITNIC_REQ_INVSCHEME</v>
      </c>
      <c r="N9" s="3">
        <f>IF(M9="","",COUNTIF($M$2:M9,M9))</f>
        <v>8</v>
      </c>
      <c r="O9" s="6" t="s">
        <v>689</v>
      </c>
      <c r="P9">
        <v>2</v>
      </c>
      <c r="Q9" t="s">
        <v>183</v>
      </c>
      <c r="R9" t="s">
        <v>340</v>
      </c>
      <c r="S9" t="s">
        <v>227</v>
      </c>
      <c r="T9" t="s">
        <v>17</v>
      </c>
      <c r="U9" t="s">
        <v>133</v>
      </c>
      <c r="V9" t="s">
        <v>17</v>
      </c>
      <c r="AC9" t="s">
        <v>341</v>
      </c>
    </row>
    <row r="10" spans="1:29" ht="57.6" x14ac:dyDescent="0.3">
      <c r="A10" s="3" t="str">
        <f t="shared" si="0"/>
        <v>AB_ITNIC_REQ_INVSCHEME_009</v>
      </c>
      <c r="B10" t="s">
        <v>21</v>
      </c>
      <c r="C10" t="s">
        <v>22</v>
      </c>
      <c r="D10" s="6" t="s">
        <v>818</v>
      </c>
      <c r="E10" t="s">
        <v>25</v>
      </c>
      <c r="F10">
        <v>3</v>
      </c>
      <c r="G10">
        <v>0</v>
      </c>
      <c r="H10" t="s">
        <v>17</v>
      </c>
      <c r="I10" t="s">
        <v>342</v>
      </c>
      <c r="J10" t="s">
        <v>320</v>
      </c>
      <c r="K10">
        <v>1</v>
      </c>
      <c r="L10" t="s">
        <v>321</v>
      </c>
      <c r="M10" s="3" t="str">
        <f>IF(B10="","","AB"&amp;"_"&amp;IFERROR(VLOOKUP(B10,LOOKUPS!$K$2:$L$9,2,FALSE),"UNK")&amp;"_"&amp;IFERROR(VLOOKUP(C10,LOOKUPS!$N$2:$O$10,2,FALSE),"UNK")&amp;"_"&amp;UPPER(L10))</f>
        <v>AB_ITNIC_REQ_INVSCHEME</v>
      </c>
      <c r="N10" s="3">
        <f>IF(M10="","",COUNTIF($M$2:M10,M10))</f>
        <v>9</v>
      </c>
      <c r="O10" s="6" t="s">
        <v>684</v>
      </c>
      <c r="P10">
        <v>2</v>
      </c>
      <c r="Q10" t="s">
        <v>672</v>
      </c>
      <c r="R10" t="s">
        <v>343</v>
      </c>
      <c r="S10" t="s">
        <v>227</v>
      </c>
      <c r="T10" t="s">
        <v>17</v>
      </c>
      <c r="U10" t="s">
        <v>133</v>
      </c>
      <c r="V10" t="s">
        <v>17</v>
      </c>
      <c r="AC10" t="s">
        <v>344</v>
      </c>
    </row>
    <row r="11" spans="1:29" ht="43.2" x14ac:dyDescent="0.3">
      <c r="A11" s="3" t="str">
        <f t="shared" si="0"/>
        <v>AB_ITNIC_REQ_INVSCHEME_010</v>
      </c>
      <c r="B11" t="s">
        <v>21</v>
      </c>
      <c r="C11" t="s">
        <v>22</v>
      </c>
      <c r="D11" s="6" t="s">
        <v>818</v>
      </c>
      <c r="E11" t="s">
        <v>25</v>
      </c>
      <c r="F11">
        <v>3</v>
      </c>
      <c r="G11">
        <v>0</v>
      </c>
      <c r="H11" t="s">
        <v>17</v>
      </c>
      <c r="I11" t="s">
        <v>345</v>
      </c>
      <c r="J11" t="s">
        <v>320</v>
      </c>
      <c r="K11">
        <v>1</v>
      </c>
      <c r="L11" t="s">
        <v>321</v>
      </c>
      <c r="M11" s="3" t="str">
        <f>IF(B11="","","AB"&amp;"_"&amp;IFERROR(VLOOKUP(B11,LOOKUPS!$K$2:$L$9,2,FALSE),"UNK")&amp;"_"&amp;IFERROR(VLOOKUP(C11,LOOKUPS!$N$2:$O$10,2,FALSE),"UNK")&amp;"_"&amp;UPPER(L11))</f>
        <v>AB_ITNIC_REQ_INVSCHEME</v>
      </c>
      <c r="N11" s="3">
        <f>IF(M11="","",COUNTIF($M$2:M11,M11))</f>
        <v>10</v>
      </c>
      <c r="O11" s="6" t="s">
        <v>685</v>
      </c>
      <c r="P11">
        <v>2</v>
      </c>
      <c r="Q11" t="s">
        <v>346</v>
      </c>
      <c r="R11" t="s">
        <v>347</v>
      </c>
      <c r="S11" t="s">
        <v>227</v>
      </c>
      <c r="T11" t="s">
        <v>17</v>
      </c>
      <c r="U11" t="s">
        <v>133</v>
      </c>
      <c r="V11" t="s">
        <v>17</v>
      </c>
      <c r="AC11" t="s">
        <v>348</v>
      </c>
    </row>
    <row r="12" spans="1:29" ht="86.4" x14ac:dyDescent="0.3">
      <c r="A12" s="3" t="str">
        <f t="shared" si="0"/>
        <v>AB_ITNIC_REQ_INVSCHEME_011</v>
      </c>
      <c r="B12" t="s">
        <v>21</v>
      </c>
      <c r="C12" t="s">
        <v>22</v>
      </c>
      <c r="D12" s="6" t="s">
        <v>818</v>
      </c>
      <c r="E12" t="s">
        <v>25</v>
      </c>
      <c r="F12">
        <v>3</v>
      </c>
      <c r="G12">
        <v>0</v>
      </c>
      <c r="H12" t="s">
        <v>17</v>
      </c>
      <c r="I12" t="s">
        <v>349</v>
      </c>
      <c r="J12" t="s">
        <v>320</v>
      </c>
      <c r="K12">
        <v>1</v>
      </c>
      <c r="L12" t="s">
        <v>321</v>
      </c>
      <c r="M12" s="3" t="str">
        <f>IF(B12="","","AB"&amp;"_"&amp;IFERROR(VLOOKUP(B12,LOOKUPS!$K$2:$L$9,2,FALSE),"UNK")&amp;"_"&amp;IFERROR(VLOOKUP(C12,LOOKUPS!$N$2:$O$10,2,FALSE),"UNK")&amp;"_"&amp;UPPER(L12))</f>
        <v>AB_ITNIC_REQ_INVSCHEME</v>
      </c>
      <c r="N12" s="3">
        <f>IF(M12="","",COUNTIF($M$2:M12,M12))</f>
        <v>11</v>
      </c>
      <c r="O12" s="6" t="s">
        <v>677</v>
      </c>
      <c r="P12">
        <v>2</v>
      </c>
      <c r="Q12" t="s">
        <v>350</v>
      </c>
      <c r="R12" t="s">
        <v>346</v>
      </c>
      <c r="S12" t="s">
        <v>133</v>
      </c>
      <c r="T12" t="s">
        <v>17</v>
      </c>
      <c r="U12" t="s">
        <v>227</v>
      </c>
      <c r="V12" t="s">
        <v>17</v>
      </c>
      <c r="AC12" t="s">
        <v>351</v>
      </c>
    </row>
    <row r="13" spans="1:29" ht="57.6" x14ac:dyDescent="0.3">
      <c r="A13" s="3" t="str">
        <f t="shared" si="0"/>
        <v>AB_ITNIC_REQ_INVSCHEME_012</v>
      </c>
      <c r="B13" t="s">
        <v>21</v>
      </c>
      <c r="C13" t="s">
        <v>22</v>
      </c>
      <c r="D13" s="6" t="s">
        <v>818</v>
      </c>
      <c r="E13" t="s">
        <v>25</v>
      </c>
      <c r="F13">
        <v>3</v>
      </c>
      <c r="G13">
        <v>0</v>
      </c>
      <c r="H13" t="s">
        <v>17</v>
      </c>
      <c r="I13" t="s">
        <v>352</v>
      </c>
      <c r="J13" t="s">
        <v>320</v>
      </c>
      <c r="K13">
        <v>1</v>
      </c>
      <c r="L13" t="s">
        <v>321</v>
      </c>
      <c r="M13" s="3" t="str">
        <f>IF(B13="","","AB"&amp;"_"&amp;IFERROR(VLOOKUP(B13,LOOKUPS!$K$2:$L$9,2,FALSE),"UNK")&amp;"_"&amp;IFERROR(VLOOKUP(C13,LOOKUPS!$N$2:$O$10,2,FALSE),"UNK")&amp;"_"&amp;UPPER(L13))</f>
        <v>AB_ITNIC_REQ_INVSCHEME</v>
      </c>
      <c r="N13" s="3">
        <f>IF(M13="","",COUNTIF($M$2:M13,M13))</f>
        <v>12</v>
      </c>
      <c r="O13" s="6" t="s">
        <v>686</v>
      </c>
      <c r="P13">
        <v>2</v>
      </c>
      <c r="Q13" t="s">
        <v>332</v>
      </c>
      <c r="R13" s="8">
        <v>47879</v>
      </c>
      <c r="S13" t="s">
        <v>227</v>
      </c>
      <c r="T13" t="s">
        <v>17</v>
      </c>
      <c r="U13" t="s">
        <v>133</v>
      </c>
      <c r="V13" t="s">
        <v>17</v>
      </c>
      <c r="AC13" t="s">
        <v>353</v>
      </c>
    </row>
    <row r="14" spans="1:29" ht="28.8" x14ac:dyDescent="0.3">
      <c r="A14" s="3" t="str">
        <f t="shared" si="0"/>
        <v>AB_ITNIC_REQ_EMPSHARESCHEME_001</v>
      </c>
      <c r="B14" s="3" t="s">
        <v>21</v>
      </c>
      <c r="C14" t="s">
        <v>22</v>
      </c>
      <c r="D14" s="3" t="s">
        <v>354</v>
      </c>
      <c r="E14" s="3" t="s">
        <v>25</v>
      </c>
      <c r="F14" s="3">
        <v>3</v>
      </c>
      <c r="G14" s="3">
        <v>0</v>
      </c>
      <c r="H14" s="3" t="s">
        <v>17</v>
      </c>
      <c r="I14" s="3" t="s">
        <v>355</v>
      </c>
      <c r="J14" s="3" t="s">
        <v>320</v>
      </c>
      <c r="K14" s="3">
        <v>1</v>
      </c>
      <c r="L14" s="3" t="s">
        <v>429</v>
      </c>
      <c r="M14" s="3" t="str">
        <f>IF(B14="","","AB"&amp;"_"&amp;IFERROR(VLOOKUP(B14,LOOKUPS!$K$2:$L$9,2,FALSE),"UNK")&amp;"_"&amp;IFERROR(VLOOKUP(C14,LOOKUPS!$N$2:$O$10,2,FALSE),"UNK")&amp;"_"&amp;UPPER(L14))</f>
        <v>AB_ITNIC_REQ_EMPSHARESCHEME</v>
      </c>
      <c r="N14" s="3">
        <f>IF(M14="","",COUNTIF($M$2:M14,M14))</f>
        <v>1</v>
      </c>
      <c r="O14" s="3" t="s">
        <v>722</v>
      </c>
      <c r="P14" s="3">
        <v>2</v>
      </c>
      <c r="Q14" s="3">
        <v>5</v>
      </c>
      <c r="R14" s="3">
        <v>500</v>
      </c>
      <c r="S14" s="3" t="s">
        <v>133</v>
      </c>
      <c r="T14" t="s">
        <v>17</v>
      </c>
      <c r="U14" s="3" t="s">
        <v>227</v>
      </c>
      <c r="V14" t="s">
        <v>17</v>
      </c>
      <c r="W14" s="3"/>
      <c r="X14" s="3"/>
      <c r="Y14" s="3"/>
      <c r="Z14" s="3"/>
      <c r="AA14" s="3"/>
      <c r="AB14" s="3"/>
      <c r="AC14" s="3" t="s">
        <v>728</v>
      </c>
    </row>
    <row r="15" spans="1:29" ht="28.8" x14ac:dyDescent="0.3">
      <c r="A15" s="3" t="str">
        <f t="shared" si="0"/>
        <v>AB_ITNIC_REQ_EMPSHARESCHEME_002</v>
      </c>
      <c r="B15" s="3" t="s">
        <v>21</v>
      </c>
      <c r="C15" t="s">
        <v>22</v>
      </c>
      <c r="D15" s="3" t="s">
        <v>354</v>
      </c>
      <c r="E15" s="3" t="s">
        <v>25</v>
      </c>
      <c r="F15" s="3">
        <v>3</v>
      </c>
      <c r="G15" s="3">
        <v>0</v>
      </c>
      <c r="H15" s="3" t="s">
        <v>17</v>
      </c>
      <c r="I15" s="3" t="s">
        <v>356</v>
      </c>
      <c r="J15" s="3" t="s">
        <v>320</v>
      </c>
      <c r="K15" s="3">
        <v>1</v>
      </c>
      <c r="L15" s="3" t="s">
        <v>429</v>
      </c>
      <c r="M15" s="3" t="str">
        <f>IF(B15="","","AB"&amp;"_"&amp;IFERROR(VLOOKUP(B15,LOOKUPS!$K$2:$L$9,2,FALSE),"UNK")&amp;"_"&amp;IFERROR(VLOOKUP(C15,LOOKUPS!$N$2:$O$10,2,FALSE),"UNK")&amp;"_"&amp;UPPER(L15))</f>
        <v>AB_ITNIC_REQ_EMPSHARESCHEME</v>
      </c>
      <c r="N15" s="3">
        <f>IF(M15="","",COUNTIF($M$2:M15,M15))</f>
        <v>2</v>
      </c>
      <c r="O15" s="3" t="s">
        <v>723</v>
      </c>
      <c r="P15" s="3">
        <v>2</v>
      </c>
      <c r="Q15" s="3">
        <v>3</v>
      </c>
      <c r="R15" s="3">
        <v>5</v>
      </c>
      <c r="S15" s="3" t="s">
        <v>133</v>
      </c>
      <c r="T15" t="s">
        <v>17</v>
      </c>
      <c r="U15" s="3" t="s">
        <v>227</v>
      </c>
      <c r="V15" t="s">
        <v>17</v>
      </c>
      <c r="W15" s="3"/>
      <c r="X15" s="3"/>
      <c r="Y15" s="3"/>
      <c r="Z15" s="3"/>
      <c r="AA15" s="3"/>
      <c r="AB15" s="3"/>
      <c r="AC15" s="3" t="s">
        <v>729</v>
      </c>
    </row>
    <row r="16" spans="1:29" ht="28.8" x14ac:dyDescent="0.3">
      <c r="A16" s="3" t="str">
        <f t="shared" si="0"/>
        <v>AB_ITNIC_REQ_EMPSHARESCHEME_003</v>
      </c>
      <c r="B16" s="3" t="s">
        <v>21</v>
      </c>
      <c r="C16" t="s">
        <v>22</v>
      </c>
      <c r="D16" s="3" t="s">
        <v>354</v>
      </c>
      <c r="E16" s="3" t="s">
        <v>25</v>
      </c>
      <c r="F16" s="3">
        <v>3</v>
      </c>
      <c r="G16" s="3">
        <v>0</v>
      </c>
      <c r="H16" s="3" t="s">
        <v>17</v>
      </c>
      <c r="I16" s="3" t="s">
        <v>357</v>
      </c>
      <c r="J16" s="3" t="s">
        <v>320</v>
      </c>
      <c r="K16" s="3">
        <v>1</v>
      </c>
      <c r="L16" s="3" t="s">
        <v>429</v>
      </c>
      <c r="M16" s="3" t="str">
        <f>IF(B16="","","AB"&amp;"_"&amp;IFERROR(VLOOKUP(B16,LOOKUPS!$K$2:$L$9,2,FALSE),"UNK")&amp;"_"&amp;IFERROR(VLOOKUP(C16,LOOKUPS!$N$2:$O$10,2,FALSE),"UNK")&amp;"_"&amp;UPPER(L16))</f>
        <v>AB_ITNIC_REQ_EMPSHARESCHEME</v>
      </c>
      <c r="N16" s="3">
        <f>IF(M16="","",COUNTIF($M$2:M16,M16))</f>
        <v>3</v>
      </c>
      <c r="O16" s="3" t="s">
        <v>724</v>
      </c>
      <c r="P16" s="3">
        <v>2</v>
      </c>
      <c r="Q16" s="3" t="s">
        <v>358</v>
      </c>
      <c r="R16" s="3" t="s">
        <v>359</v>
      </c>
      <c r="S16" s="3" t="s">
        <v>133</v>
      </c>
      <c r="T16" t="s">
        <v>17</v>
      </c>
      <c r="U16" s="3" t="s">
        <v>227</v>
      </c>
      <c r="V16" t="s">
        <v>17</v>
      </c>
      <c r="W16" s="3"/>
      <c r="X16" s="3"/>
      <c r="Y16" s="3"/>
      <c r="Z16" s="3"/>
      <c r="AA16" s="3"/>
      <c r="AB16" s="3"/>
      <c r="AC16" s="3" t="s">
        <v>730</v>
      </c>
    </row>
    <row r="17" spans="1:29" ht="43.2" x14ac:dyDescent="0.3">
      <c r="A17" s="3" t="str">
        <f t="shared" si="0"/>
        <v>AB_ITNIC_REQ_EMPSHARESCHEME_004</v>
      </c>
      <c r="B17" s="3" t="s">
        <v>21</v>
      </c>
      <c r="C17" t="s">
        <v>22</v>
      </c>
      <c r="D17" s="3" t="s">
        <v>354</v>
      </c>
      <c r="E17" s="3" t="s">
        <v>25</v>
      </c>
      <c r="F17" s="3">
        <v>3</v>
      </c>
      <c r="G17" s="3">
        <v>0</v>
      </c>
      <c r="H17" s="3" t="s">
        <v>17</v>
      </c>
      <c r="I17" s="3" t="s">
        <v>360</v>
      </c>
      <c r="J17" s="3" t="s">
        <v>320</v>
      </c>
      <c r="K17" s="3">
        <v>1</v>
      </c>
      <c r="L17" s="3" t="s">
        <v>429</v>
      </c>
      <c r="M17" s="3" t="str">
        <f>IF(B17="","","AB"&amp;"_"&amp;IFERROR(VLOOKUP(B17,LOOKUPS!$K$2:$L$9,2,FALSE),"UNK")&amp;"_"&amp;IFERROR(VLOOKUP(C17,LOOKUPS!$N$2:$O$10,2,FALSE),"UNK")&amp;"_"&amp;UPPER(L17))</f>
        <v>AB_ITNIC_REQ_EMPSHARESCHEME</v>
      </c>
      <c r="N17" s="3">
        <f>IF(M17="","",COUNTIF($M$2:M17,M17))</f>
        <v>4</v>
      </c>
      <c r="O17" s="3" t="s">
        <v>725</v>
      </c>
      <c r="P17" s="3">
        <v>2</v>
      </c>
      <c r="Q17" s="3" t="s">
        <v>361</v>
      </c>
      <c r="R17" s="3" t="s">
        <v>325</v>
      </c>
      <c r="S17" s="3" t="s">
        <v>227</v>
      </c>
      <c r="T17" t="s">
        <v>17</v>
      </c>
      <c r="U17" s="3" t="s">
        <v>133</v>
      </c>
      <c r="V17" t="s">
        <v>17</v>
      </c>
      <c r="W17" s="3"/>
      <c r="X17" s="3"/>
      <c r="Y17" s="3"/>
      <c r="Z17" s="3"/>
      <c r="AA17" s="3"/>
      <c r="AB17" s="3"/>
      <c r="AC17" s="3" t="s">
        <v>362</v>
      </c>
    </row>
    <row r="18" spans="1:29" ht="28.8" x14ac:dyDescent="0.3">
      <c r="A18" s="3" t="str">
        <f t="shared" si="0"/>
        <v>AB_ITNIC_REQ_EMPSHARESCHEME_005</v>
      </c>
      <c r="B18" s="3" t="s">
        <v>21</v>
      </c>
      <c r="C18" t="s">
        <v>22</v>
      </c>
      <c r="D18" s="3" t="s">
        <v>354</v>
      </c>
      <c r="E18" s="3" t="s">
        <v>25</v>
      </c>
      <c r="F18" s="3">
        <v>3</v>
      </c>
      <c r="G18" s="3">
        <v>0</v>
      </c>
      <c r="H18" s="3" t="s">
        <v>17</v>
      </c>
      <c r="I18" s="3" t="s">
        <v>363</v>
      </c>
      <c r="J18" s="3" t="s">
        <v>320</v>
      </c>
      <c r="K18" s="3">
        <v>1</v>
      </c>
      <c r="L18" s="3" t="s">
        <v>429</v>
      </c>
      <c r="M18" s="3" t="str">
        <f>IF(B18="","","AB"&amp;"_"&amp;IFERROR(VLOOKUP(B18,LOOKUPS!$K$2:$L$9,2,FALSE),"UNK")&amp;"_"&amp;IFERROR(VLOOKUP(C18,LOOKUPS!$N$2:$O$10,2,FALSE),"UNK")&amp;"_"&amp;UPPER(L18))</f>
        <v>AB_ITNIC_REQ_EMPSHARESCHEME</v>
      </c>
      <c r="N18" s="3">
        <f>IF(M18="","",COUNTIF($M$2:M18,M18))</f>
        <v>5</v>
      </c>
      <c r="O18" s="3" t="s">
        <v>726</v>
      </c>
      <c r="P18" s="3">
        <v>2</v>
      </c>
      <c r="Q18" s="3" t="s">
        <v>32</v>
      </c>
      <c r="R18" s="3" t="s">
        <v>364</v>
      </c>
      <c r="S18" s="3" t="s">
        <v>133</v>
      </c>
      <c r="T18" t="s">
        <v>17</v>
      </c>
      <c r="U18" s="3" t="s">
        <v>227</v>
      </c>
      <c r="V18" t="s">
        <v>17</v>
      </c>
      <c r="W18" s="3"/>
      <c r="X18" s="3"/>
      <c r="Y18" s="3"/>
      <c r="Z18" s="3"/>
      <c r="AA18" s="3"/>
      <c r="AB18" s="3"/>
      <c r="AC18" s="3" t="s">
        <v>731</v>
      </c>
    </row>
    <row r="19" spans="1:29" ht="43.2" x14ac:dyDescent="0.3">
      <c r="A19" s="3" t="str">
        <f t="shared" si="0"/>
        <v>AB_ITNIC_REQ_EMPSHARESCHEME_006</v>
      </c>
      <c r="B19" s="3" t="s">
        <v>21</v>
      </c>
      <c r="C19" t="s">
        <v>22</v>
      </c>
      <c r="D19" s="3" t="s">
        <v>354</v>
      </c>
      <c r="E19" s="3" t="s">
        <v>25</v>
      </c>
      <c r="F19" s="3">
        <v>3</v>
      </c>
      <c r="G19" s="3">
        <v>0</v>
      </c>
      <c r="H19" s="3" t="s">
        <v>17</v>
      </c>
      <c r="I19" s="3" t="s">
        <v>365</v>
      </c>
      <c r="J19" s="3" t="s">
        <v>320</v>
      </c>
      <c r="K19" s="3">
        <v>1</v>
      </c>
      <c r="L19" s="3" t="s">
        <v>429</v>
      </c>
      <c r="M19" s="3" t="str">
        <f>IF(B19="","","AB"&amp;"_"&amp;IFERROR(VLOOKUP(B19,LOOKUPS!$K$2:$L$9,2,FALSE),"UNK")&amp;"_"&amp;IFERROR(VLOOKUP(C19,LOOKUPS!$N$2:$O$10,2,FALSE),"UNK")&amp;"_"&amp;UPPER(L19))</f>
        <v>AB_ITNIC_REQ_EMPSHARESCHEME</v>
      </c>
      <c r="N19" s="3">
        <f>IF(M19="","",COUNTIF($M$2:M19,M19))</f>
        <v>6</v>
      </c>
      <c r="O19" s="3" t="s">
        <v>739</v>
      </c>
      <c r="P19" s="3">
        <v>2</v>
      </c>
      <c r="Q19" s="3" t="s">
        <v>222</v>
      </c>
      <c r="R19" s="3" t="s">
        <v>366</v>
      </c>
      <c r="S19" s="3" t="s">
        <v>227</v>
      </c>
      <c r="T19" t="s">
        <v>17</v>
      </c>
      <c r="U19" s="3" t="s">
        <v>133</v>
      </c>
      <c r="V19" t="s">
        <v>17</v>
      </c>
      <c r="W19" s="3"/>
      <c r="X19" s="3"/>
      <c r="Y19" s="3"/>
      <c r="Z19" s="3"/>
      <c r="AA19" s="3"/>
      <c r="AB19" s="3"/>
      <c r="AC19" s="3" t="s">
        <v>746</v>
      </c>
    </row>
    <row r="20" spans="1:29" ht="43.2" x14ac:dyDescent="0.3">
      <c r="A20" s="3" t="str">
        <f t="shared" si="0"/>
        <v>AB_ITNIC_REQ_EMPSHARESCHEME_007</v>
      </c>
      <c r="B20" s="3" t="s">
        <v>21</v>
      </c>
      <c r="C20" t="s">
        <v>22</v>
      </c>
      <c r="D20" s="3" t="s">
        <v>354</v>
      </c>
      <c r="E20" s="3" t="s">
        <v>25</v>
      </c>
      <c r="F20" s="3">
        <v>3</v>
      </c>
      <c r="G20" s="3">
        <v>0</v>
      </c>
      <c r="H20" s="3" t="s">
        <v>17</v>
      </c>
      <c r="I20" s="3" t="s">
        <v>367</v>
      </c>
      <c r="J20" s="3" t="s">
        <v>320</v>
      </c>
      <c r="K20" s="3">
        <v>1</v>
      </c>
      <c r="L20" s="3" t="s">
        <v>429</v>
      </c>
      <c r="M20" s="3" t="str">
        <f>IF(B20="","","AB"&amp;"_"&amp;IFERROR(VLOOKUP(B20,LOOKUPS!$K$2:$L$9,2,FALSE),"UNK")&amp;"_"&amp;IFERROR(VLOOKUP(C20,LOOKUPS!$N$2:$O$10,2,FALSE),"UNK")&amp;"_"&amp;UPPER(L20))</f>
        <v>AB_ITNIC_REQ_EMPSHARESCHEME</v>
      </c>
      <c r="N20" s="3">
        <f>IF(M20="","",COUNTIF($M$2:M20,M20))</f>
        <v>7</v>
      </c>
      <c r="O20" s="3" t="s">
        <v>740</v>
      </c>
      <c r="P20" s="3">
        <v>2</v>
      </c>
      <c r="Q20" s="3" t="s">
        <v>368</v>
      </c>
      <c r="R20" s="9">
        <v>0.3</v>
      </c>
      <c r="S20" s="3" t="s">
        <v>133</v>
      </c>
      <c r="T20" t="s">
        <v>17</v>
      </c>
      <c r="U20" s="3" t="s">
        <v>227</v>
      </c>
      <c r="V20" t="s">
        <v>17</v>
      </c>
      <c r="W20" s="3"/>
      <c r="X20" s="3"/>
      <c r="Y20" s="3"/>
      <c r="Z20" s="3"/>
      <c r="AA20" s="3"/>
      <c r="AB20" s="3"/>
      <c r="AC20" s="3" t="s">
        <v>747</v>
      </c>
    </row>
    <row r="21" spans="1:29" ht="43.2" x14ac:dyDescent="0.3">
      <c r="A21" s="3" t="str">
        <f t="shared" si="0"/>
        <v>AB_ITNIC_REQ_EMPSHARESCHEME_008</v>
      </c>
      <c r="B21" s="3" t="s">
        <v>21</v>
      </c>
      <c r="C21" t="s">
        <v>22</v>
      </c>
      <c r="D21" s="3" t="s">
        <v>354</v>
      </c>
      <c r="E21" s="3" t="s">
        <v>25</v>
      </c>
      <c r="F21" s="3">
        <v>3</v>
      </c>
      <c r="G21" s="3">
        <v>0</v>
      </c>
      <c r="H21" s="3" t="s">
        <v>17</v>
      </c>
      <c r="I21" s="3" t="s">
        <v>369</v>
      </c>
      <c r="J21" s="3" t="s">
        <v>320</v>
      </c>
      <c r="K21" s="3">
        <v>1</v>
      </c>
      <c r="L21" s="3" t="s">
        <v>429</v>
      </c>
      <c r="M21" s="3" t="str">
        <f>IF(B21="","","AB"&amp;"_"&amp;IFERROR(VLOOKUP(B21,LOOKUPS!$K$2:$L$9,2,FALSE),"UNK")&amp;"_"&amp;IFERROR(VLOOKUP(C21,LOOKUPS!$N$2:$O$10,2,FALSE),"UNK")&amp;"_"&amp;UPPER(L21))</f>
        <v>AB_ITNIC_REQ_EMPSHARESCHEME</v>
      </c>
      <c r="N21" s="3">
        <f>IF(M21="","",COUNTIF($M$2:M21,M21))</f>
        <v>8</v>
      </c>
      <c r="O21" s="3" t="s">
        <v>741</v>
      </c>
      <c r="P21" s="3">
        <v>2</v>
      </c>
      <c r="Q21" s="3">
        <v>3</v>
      </c>
      <c r="R21" s="3" t="s">
        <v>370</v>
      </c>
      <c r="S21" s="3" t="s">
        <v>227</v>
      </c>
      <c r="T21" t="s">
        <v>17</v>
      </c>
      <c r="U21" s="3" t="s">
        <v>133</v>
      </c>
      <c r="V21" t="s">
        <v>17</v>
      </c>
      <c r="W21" s="3"/>
      <c r="X21" s="3"/>
      <c r="Y21" s="3"/>
      <c r="Z21" s="3"/>
      <c r="AA21" s="3"/>
      <c r="AB21" s="3"/>
      <c r="AC21" s="3" t="s">
        <v>748</v>
      </c>
    </row>
    <row r="22" spans="1:29" ht="28.8" x14ac:dyDescent="0.3">
      <c r="A22" s="3" t="str">
        <f t="shared" si="0"/>
        <v>AB_ITNIC_REQ_EMPSHARESCHEME_009</v>
      </c>
      <c r="B22" s="3" t="s">
        <v>21</v>
      </c>
      <c r="C22" t="s">
        <v>22</v>
      </c>
      <c r="D22" s="3" t="s">
        <v>354</v>
      </c>
      <c r="E22" s="3" t="s">
        <v>25</v>
      </c>
      <c r="F22" s="3">
        <v>3</v>
      </c>
      <c r="G22" s="3">
        <v>0</v>
      </c>
      <c r="H22" s="3" t="s">
        <v>17</v>
      </c>
      <c r="I22" s="3" t="s">
        <v>371</v>
      </c>
      <c r="J22" s="3" t="s">
        <v>320</v>
      </c>
      <c r="K22" s="3">
        <v>1</v>
      </c>
      <c r="L22" s="3" t="s">
        <v>429</v>
      </c>
      <c r="M22" s="3" t="str">
        <f>IF(B22="","","AB"&amp;"_"&amp;IFERROR(VLOOKUP(B22,LOOKUPS!$K$2:$L$9,2,FALSE),"UNK")&amp;"_"&amp;IFERROR(VLOOKUP(C22,LOOKUPS!$N$2:$O$10,2,FALSE),"UNK")&amp;"_"&amp;UPPER(L22))</f>
        <v>AB_ITNIC_REQ_EMPSHARESCHEME</v>
      </c>
      <c r="N22" s="3">
        <f>IF(M22="","",COUNTIF($M$2:M22,M22))</f>
        <v>9</v>
      </c>
      <c r="O22" s="3" t="s">
        <v>742</v>
      </c>
      <c r="P22" s="3">
        <v>2</v>
      </c>
      <c r="Q22" s="3">
        <v>10</v>
      </c>
      <c r="R22" s="3">
        <v>3</v>
      </c>
      <c r="S22" s="3" t="s">
        <v>227</v>
      </c>
      <c r="T22" t="s">
        <v>17</v>
      </c>
      <c r="U22" s="3" t="s">
        <v>133</v>
      </c>
      <c r="V22" t="s">
        <v>17</v>
      </c>
      <c r="W22" s="3"/>
      <c r="X22" s="3"/>
      <c r="Y22" s="3"/>
      <c r="Z22" s="3"/>
      <c r="AA22" s="3"/>
      <c r="AB22" s="3"/>
      <c r="AC22" s="3" t="s">
        <v>749</v>
      </c>
    </row>
    <row r="23" spans="1:29" ht="43.2" x14ac:dyDescent="0.3">
      <c r="A23" s="3" t="str">
        <f t="shared" si="0"/>
        <v>AB_ITNIC_REQ_EMPSHARESCHEME_010</v>
      </c>
      <c r="B23" s="3" t="s">
        <v>21</v>
      </c>
      <c r="C23" t="s">
        <v>22</v>
      </c>
      <c r="D23" s="3" t="s">
        <v>354</v>
      </c>
      <c r="E23" s="3" t="s">
        <v>25</v>
      </c>
      <c r="F23" s="3">
        <v>3</v>
      </c>
      <c r="G23" s="3">
        <v>0</v>
      </c>
      <c r="H23" s="3" t="s">
        <v>17</v>
      </c>
      <c r="I23" s="3" t="s">
        <v>372</v>
      </c>
      <c r="J23" s="3" t="s">
        <v>320</v>
      </c>
      <c r="K23" s="3">
        <v>1</v>
      </c>
      <c r="L23" s="3" t="s">
        <v>429</v>
      </c>
      <c r="M23" s="3" t="str">
        <f>IF(B23="","","AB"&amp;"_"&amp;IFERROR(VLOOKUP(B23,LOOKUPS!$K$2:$L$9,2,FALSE),"UNK")&amp;"_"&amp;IFERROR(VLOOKUP(C23,LOOKUPS!$N$2:$O$10,2,FALSE),"UNK")&amp;"_"&amp;UPPER(L23))</f>
        <v>AB_ITNIC_REQ_EMPSHARESCHEME</v>
      </c>
      <c r="N23" s="3">
        <f>IF(M23="","",COUNTIF($M$2:M23,M23))</f>
        <v>10</v>
      </c>
      <c r="O23" s="3" t="s">
        <v>743</v>
      </c>
      <c r="P23" s="3">
        <v>2</v>
      </c>
      <c r="Q23" s="3" t="s">
        <v>373</v>
      </c>
      <c r="R23" s="3">
        <v>60000</v>
      </c>
      <c r="S23" s="3" t="s">
        <v>227</v>
      </c>
      <c r="T23" t="s">
        <v>17</v>
      </c>
      <c r="U23" s="3" t="s">
        <v>133</v>
      </c>
      <c r="V23" t="s">
        <v>17</v>
      </c>
      <c r="W23" s="3"/>
      <c r="X23" s="3"/>
      <c r="Y23" s="3"/>
      <c r="Z23" s="3"/>
      <c r="AA23" s="3"/>
      <c r="AB23" s="3"/>
      <c r="AC23" s="3" t="s">
        <v>750</v>
      </c>
    </row>
    <row r="24" spans="1:29" ht="43.2" x14ac:dyDescent="0.3">
      <c r="A24" s="3" t="str">
        <f t="shared" si="0"/>
        <v>AB_ITNIC_REQ_EMPSHARESCHEME_011</v>
      </c>
      <c r="B24" s="3" t="s">
        <v>21</v>
      </c>
      <c r="C24" t="s">
        <v>22</v>
      </c>
      <c r="D24" s="3" t="s">
        <v>354</v>
      </c>
      <c r="E24" s="3" t="s">
        <v>25</v>
      </c>
      <c r="F24" s="3">
        <v>3</v>
      </c>
      <c r="G24" s="3">
        <v>0</v>
      </c>
      <c r="H24" s="3" t="s">
        <v>17</v>
      </c>
      <c r="I24" s="3" t="s">
        <v>374</v>
      </c>
      <c r="J24" s="3" t="s">
        <v>320</v>
      </c>
      <c r="K24" s="3">
        <v>1</v>
      </c>
      <c r="L24" s="3" t="s">
        <v>429</v>
      </c>
      <c r="M24" s="3" t="str">
        <f>IF(B24="","","AB"&amp;"_"&amp;IFERROR(VLOOKUP(B24,LOOKUPS!$K$2:$L$9,2,FALSE),"UNK")&amp;"_"&amp;IFERROR(VLOOKUP(C24,LOOKUPS!$N$2:$O$10,2,FALSE),"UNK")&amp;"_"&amp;UPPER(L24))</f>
        <v>AB_ITNIC_REQ_EMPSHARESCHEME</v>
      </c>
      <c r="N24" s="3">
        <f>IF(M24="","",COUNTIF($M$2:M24,M24))</f>
        <v>11</v>
      </c>
      <c r="O24" s="3" t="s">
        <v>744</v>
      </c>
      <c r="P24" s="3">
        <v>2</v>
      </c>
      <c r="Q24" s="3" t="s">
        <v>32</v>
      </c>
      <c r="R24" s="3" t="s">
        <v>375</v>
      </c>
      <c r="S24" s="3" t="s">
        <v>133</v>
      </c>
      <c r="T24" t="s">
        <v>17</v>
      </c>
      <c r="U24" s="3" t="s">
        <v>227</v>
      </c>
      <c r="V24" t="s">
        <v>17</v>
      </c>
      <c r="W24" s="3"/>
      <c r="X24" s="3"/>
      <c r="Y24" s="3"/>
      <c r="Z24" s="3"/>
      <c r="AA24" s="3"/>
      <c r="AB24" s="3"/>
      <c r="AC24" s="3" t="s">
        <v>751</v>
      </c>
    </row>
    <row r="25" spans="1:29" ht="43.2" x14ac:dyDescent="0.3">
      <c r="A25" s="3" t="str">
        <f t="shared" si="0"/>
        <v>AB_ITNIC_REQ_EMPSHARESCHEME_012</v>
      </c>
      <c r="B25" s="3" t="s">
        <v>21</v>
      </c>
      <c r="C25" t="s">
        <v>22</v>
      </c>
      <c r="D25" s="3" t="s">
        <v>354</v>
      </c>
      <c r="E25" s="3" t="s">
        <v>25</v>
      </c>
      <c r="F25" s="3">
        <v>3</v>
      </c>
      <c r="G25" s="3">
        <v>0</v>
      </c>
      <c r="H25" s="3" t="s">
        <v>17</v>
      </c>
      <c r="I25" s="3" t="s">
        <v>376</v>
      </c>
      <c r="J25" s="3" t="s">
        <v>320</v>
      </c>
      <c r="K25" s="3">
        <v>1</v>
      </c>
      <c r="L25" s="3" t="s">
        <v>429</v>
      </c>
      <c r="M25" s="3" t="str">
        <f>IF(B25="","","AB"&amp;"_"&amp;IFERROR(VLOOKUP(B25,LOOKUPS!$K$2:$L$9,2,FALSE),"UNK")&amp;"_"&amp;IFERROR(VLOOKUP(C25,LOOKUPS!$N$2:$O$10,2,FALSE),"UNK")&amp;"_"&amp;UPPER(L25))</f>
        <v>AB_ITNIC_REQ_EMPSHARESCHEME</v>
      </c>
      <c r="N25" s="3">
        <f>IF(M25="","",COUNTIF($M$2:M25,M25))</f>
        <v>12</v>
      </c>
      <c r="O25" s="3" t="s">
        <v>704</v>
      </c>
      <c r="P25" s="3">
        <v>2</v>
      </c>
      <c r="Q25" s="3" t="s">
        <v>377</v>
      </c>
      <c r="R25" s="3" t="s">
        <v>378</v>
      </c>
      <c r="S25" s="3" t="s">
        <v>227</v>
      </c>
      <c r="T25" t="s">
        <v>17</v>
      </c>
      <c r="U25" s="3" t="s">
        <v>133</v>
      </c>
      <c r="V25" t="s">
        <v>17</v>
      </c>
      <c r="W25" s="3"/>
      <c r="X25" s="3"/>
      <c r="Y25" s="3"/>
      <c r="Z25" s="3"/>
      <c r="AA25" s="3"/>
      <c r="AB25" s="3"/>
      <c r="AC25" s="3" t="s">
        <v>705</v>
      </c>
    </row>
    <row r="26" spans="1:29" ht="43.2" x14ac:dyDescent="0.3">
      <c r="A26" s="3" t="str">
        <f t="shared" si="0"/>
        <v>AB_ITNIC_REQ_EMPSHARESCHEME_013</v>
      </c>
      <c r="B26" s="3" t="s">
        <v>21</v>
      </c>
      <c r="C26" t="s">
        <v>22</v>
      </c>
      <c r="D26" s="3" t="s">
        <v>354</v>
      </c>
      <c r="E26" s="3" t="s">
        <v>25</v>
      </c>
      <c r="F26" s="3">
        <v>3</v>
      </c>
      <c r="G26" s="3">
        <v>0</v>
      </c>
      <c r="H26" s="3" t="s">
        <v>17</v>
      </c>
      <c r="I26" s="3" t="s">
        <v>379</v>
      </c>
      <c r="J26" s="3" t="s">
        <v>320</v>
      </c>
      <c r="K26" s="3">
        <v>1</v>
      </c>
      <c r="L26" s="3" t="s">
        <v>429</v>
      </c>
      <c r="M26" s="3" t="str">
        <f>IF(B26="","","AB"&amp;"_"&amp;IFERROR(VLOOKUP(B26,LOOKUPS!$K$2:$L$9,2,FALSE),"UNK")&amp;"_"&amp;IFERROR(VLOOKUP(C26,LOOKUPS!$N$2:$O$10,2,FALSE),"UNK")&amp;"_"&amp;UPPER(L26))</f>
        <v>AB_ITNIC_REQ_EMPSHARESCHEME</v>
      </c>
      <c r="N26" s="3">
        <f>IF(M26="","",COUNTIF($M$2:M26,M26))</f>
        <v>13</v>
      </c>
      <c r="O26" s="3" t="s">
        <v>706</v>
      </c>
      <c r="P26" s="3">
        <v>2</v>
      </c>
      <c r="Q26" s="3" t="s">
        <v>380</v>
      </c>
      <c r="R26" s="3">
        <v>250</v>
      </c>
      <c r="S26" s="3" t="s">
        <v>133</v>
      </c>
      <c r="T26" t="s">
        <v>17</v>
      </c>
      <c r="U26" s="3" t="s">
        <v>227</v>
      </c>
      <c r="V26" t="s">
        <v>17</v>
      </c>
      <c r="W26" s="3"/>
      <c r="X26" s="3"/>
      <c r="Y26" s="3"/>
      <c r="Z26" s="3"/>
      <c r="AA26" s="3"/>
      <c r="AB26" s="3"/>
      <c r="AC26" s="3" t="s">
        <v>707</v>
      </c>
    </row>
    <row r="27" spans="1:29" ht="57.6" x14ac:dyDescent="0.3">
      <c r="A27" s="3" t="str">
        <f t="shared" si="0"/>
        <v>AB_ITNIC_REQ_EMPSHARESCHEME_014</v>
      </c>
      <c r="B27" s="3" t="s">
        <v>21</v>
      </c>
      <c r="C27" t="s">
        <v>22</v>
      </c>
      <c r="D27" s="3" t="s">
        <v>354</v>
      </c>
      <c r="E27" s="3" t="s">
        <v>25</v>
      </c>
      <c r="F27" s="3">
        <v>3</v>
      </c>
      <c r="G27" s="3">
        <v>0</v>
      </c>
      <c r="H27" s="3" t="s">
        <v>17</v>
      </c>
      <c r="I27" s="3" t="s">
        <v>381</v>
      </c>
      <c r="J27" s="3" t="s">
        <v>320</v>
      </c>
      <c r="K27" s="3">
        <v>1</v>
      </c>
      <c r="L27" s="3" t="s">
        <v>429</v>
      </c>
      <c r="M27" s="3" t="str">
        <f>IF(B27="","","AB"&amp;"_"&amp;IFERROR(VLOOKUP(B27,LOOKUPS!$K$2:$L$9,2,FALSE),"UNK")&amp;"_"&amp;IFERROR(VLOOKUP(C27,LOOKUPS!$N$2:$O$10,2,FALSE),"UNK")&amp;"_"&amp;UPPER(L27))</f>
        <v>AB_ITNIC_REQ_EMPSHARESCHEME</v>
      </c>
      <c r="N27" s="3">
        <f>IF(M27="","",COUNTIF($M$2:M27,M27))</f>
        <v>14</v>
      </c>
      <c r="O27" s="3" t="s">
        <v>708</v>
      </c>
      <c r="P27" s="3">
        <v>2</v>
      </c>
      <c r="Q27" s="3" t="s">
        <v>382</v>
      </c>
      <c r="R27" s="3" t="s">
        <v>383</v>
      </c>
      <c r="S27" s="3" t="s">
        <v>227</v>
      </c>
      <c r="T27" t="s">
        <v>17</v>
      </c>
      <c r="U27" s="3" t="s">
        <v>133</v>
      </c>
      <c r="V27" t="s">
        <v>17</v>
      </c>
      <c r="W27" s="3"/>
      <c r="X27" s="3"/>
      <c r="Y27" s="3"/>
      <c r="Z27" s="3"/>
      <c r="AA27" s="3"/>
      <c r="AB27" s="3"/>
      <c r="AC27" s="3" t="s">
        <v>709</v>
      </c>
    </row>
    <row r="28" spans="1:29" ht="43.2" x14ac:dyDescent="0.3">
      <c r="A28" s="3" t="str">
        <f t="shared" si="0"/>
        <v>AB_ITNIC_REQ_EMPSHARESCHEME_015</v>
      </c>
      <c r="B28" s="3" t="s">
        <v>21</v>
      </c>
      <c r="C28" t="s">
        <v>22</v>
      </c>
      <c r="D28" s="3" t="s">
        <v>354</v>
      </c>
      <c r="E28" s="3" t="s">
        <v>25</v>
      </c>
      <c r="F28" s="3">
        <v>3</v>
      </c>
      <c r="G28" s="3">
        <v>0</v>
      </c>
      <c r="H28" s="3" t="s">
        <v>17</v>
      </c>
      <c r="I28" s="3" t="s">
        <v>384</v>
      </c>
      <c r="J28" s="3" t="s">
        <v>320</v>
      </c>
      <c r="K28" s="3">
        <v>1</v>
      </c>
      <c r="L28" s="3" t="s">
        <v>429</v>
      </c>
      <c r="M28" s="3" t="str">
        <f>IF(B28="","","AB"&amp;"_"&amp;IFERROR(VLOOKUP(B28,LOOKUPS!$K$2:$L$9,2,FALSE),"UNK")&amp;"_"&amp;IFERROR(VLOOKUP(C28,LOOKUPS!$N$2:$O$10,2,FALSE),"UNK")&amp;"_"&amp;UPPER(L28))</f>
        <v>AB_ITNIC_REQ_EMPSHARESCHEME</v>
      </c>
      <c r="N28" s="3">
        <f>IF(M28="","",COUNTIF($M$2:M28,M28))</f>
        <v>15</v>
      </c>
      <c r="O28" s="3" t="s">
        <v>710</v>
      </c>
      <c r="P28" s="3">
        <v>2</v>
      </c>
      <c r="Q28" s="3">
        <v>25</v>
      </c>
      <c r="R28" s="9">
        <v>0.75</v>
      </c>
      <c r="S28" s="3" t="s">
        <v>133</v>
      </c>
      <c r="T28" t="s">
        <v>17</v>
      </c>
      <c r="U28" s="3" t="s">
        <v>227</v>
      </c>
      <c r="V28" t="s">
        <v>17</v>
      </c>
      <c r="W28" s="3"/>
      <c r="X28" s="3"/>
      <c r="Y28" s="3"/>
      <c r="Z28" s="3"/>
      <c r="AA28" s="3"/>
      <c r="AB28" s="3"/>
      <c r="AC28" s="3" t="s">
        <v>711</v>
      </c>
    </row>
    <row r="29" spans="1:29" ht="43.2" x14ac:dyDescent="0.3">
      <c r="A29" s="3" t="str">
        <f t="shared" si="0"/>
        <v>AB_ITNIC_REQ_EMPSHARESCHEME_016</v>
      </c>
      <c r="B29" s="3" t="s">
        <v>21</v>
      </c>
      <c r="C29" t="s">
        <v>22</v>
      </c>
      <c r="D29" s="3" t="s">
        <v>354</v>
      </c>
      <c r="E29" s="3" t="s">
        <v>25</v>
      </c>
      <c r="F29" s="3">
        <v>3</v>
      </c>
      <c r="G29" s="3">
        <v>0</v>
      </c>
      <c r="H29" s="3" t="s">
        <v>17</v>
      </c>
      <c r="I29" s="3" t="s">
        <v>385</v>
      </c>
      <c r="J29" s="3" t="s">
        <v>320</v>
      </c>
      <c r="K29" s="3">
        <v>1</v>
      </c>
      <c r="L29" s="3" t="s">
        <v>429</v>
      </c>
      <c r="M29" s="3" t="str">
        <f>IF(B29="","","AB"&amp;"_"&amp;IFERROR(VLOOKUP(B29,LOOKUPS!$K$2:$L$9,2,FALSE),"UNK")&amp;"_"&amp;IFERROR(VLOOKUP(C29,LOOKUPS!$N$2:$O$10,2,FALSE),"UNK")&amp;"_"&amp;UPPER(L29))</f>
        <v>AB_ITNIC_REQ_EMPSHARESCHEME</v>
      </c>
      <c r="N29" s="3">
        <f>IF(M29="","",COUNTIF($M$2:M29,M29))</f>
        <v>16</v>
      </c>
      <c r="O29" s="3" t="s">
        <v>712</v>
      </c>
      <c r="P29" s="3">
        <v>2</v>
      </c>
      <c r="Q29" s="3" t="s">
        <v>386</v>
      </c>
      <c r="R29" s="9">
        <v>0.3</v>
      </c>
      <c r="S29" s="3" t="s">
        <v>227</v>
      </c>
      <c r="T29" t="s">
        <v>17</v>
      </c>
      <c r="U29" s="3" t="s">
        <v>133</v>
      </c>
      <c r="V29" t="s">
        <v>17</v>
      </c>
      <c r="W29" s="3"/>
      <c r="X29" s="3"/>
      <c r="Y29" s="3"/>
      <c r="Z29" s="3"/>
      <c r="AA29" s="3"/>
      <c r="AB29" s="3"/>
      <c r="AC29" s="3" t="s">
        <v>713</v>
      </c>
    </row>
    <row r="30" spans="1:29" ht="57.6" x14ac:dyDescent="0.3">
      <c r="A30" s="3" t="str">
        <f t="shared" si="0"/>
        <v>AB_ITNIC_REQ_EMPSHARESCHEME_017</v>
      </c>
      <c r="B30" s="3" t="s">
        <v>21</v>
      </c>
      <c r="C30" t="s">
        <v>22</v>
      </c>
      <c r="D30" s="3" t="s">
        <v>354</v>
      </c>
      <c r="E30" s="3" t="s">
        <v>25</v>
      </c>
      <c r="F30" s="3">
        <v>3</v>
      </c>
      <c r="G30" s="3">
        <v>0</v>
      </c>
      <c r="H30" s="3" t="s">
        <v>17</v>
      </c>
      <c r="I30" s="3" t="s">
        <v>387</v>
      </c>
      <c r="J30" s="3" t="s">
        <v>320</v>
      </c>
      <c r="K30" s="3">
        <v>1</v>
      </c>
      <c r="L30" s="3" t="s">
        <v>429</v>
      </c>
      <c r="M30" s="3" t="str">
        <f>IF(B30="","","AB"&amp;"_"&amp;IFERROR(VLOOKUP(B30,LOOKUPS!$K$2:$L$9,2,FALSE),"UNK")&amp;"_"&amp;IFERROR(VLOOKUP(C30,LOOKUPS!$N$2:$O$10,2,FALSE),"UNK")&amp;"_"&amp;UPPER(L30))</f>
        <v>AB_ITNIC_REQ_EMPSHARESCHEME</v>
      </c>
      <c r="N30" s="3">
        <f>IF(M30="","",COUNTIF($M$2:M30,M30))</f>
        <v>17</v>
      </c>
      <c r="O30" s="3" t="s">
        <v>714</v>
      </c>
      <c r="P30" s="3">
        <v>2</v>
      </c>
      <c r="Q30" s="3" t="s">
        <v>366</v>
      </c>
      <c r="R30" s="3" t="s">
        <v>388</v>
      </c>
      <c r="S30" s="3" t="s">
        <v>133</v>
      </c>
      <c r="T30" t="s">
        <v>17</v>
      </c>
      <c r="U30" s="3" t="s">
        <v>227</v>
      </c>
      <c r="V30" t="s">
        <v>17</v>
      </c>
      <c r="W30" s="3"/>
      <c r="X30" s="3"/>
      <c r="Y30" s="3"/>
      <c r="Z30" s="3"/>
      <c r="AA30" s="3"/>
      <c r="AB30" s="3"/>
      <c r="AC30" s="3" t="s">
        <v>389</v>
      </c>
    </row>
    <row r="31" spans="1:29" ht="57.6" x14ac:dyDescent="0.3">
      <c r="A31" s="3" t="str">
        <f t="shared" si="0"/>
        <v>AB_ITNIC_REQ_EMPSHARESCHEME_018</v>
      </c>
      <c r="B31" s="3" t="s">
        <v>21</v>
      </c>
      <c r="C31" t="s">
        <v>22</v>
      </c>
      <c r="D31" s="3" t="s">
        <v>354</v>
      </c>
      <c r="E31" s="3" t="s">
        <v>25</v>
      </c>
      <c r="F31" s="3">
        <v>3</v>
      </c>
      <c r="G31" s="3">
        <v>0</v>
      </c>
      <c r="H31" s="3" t="s">
        <v>17</v>
      </c>
      <c r="I31" s="3" t="s">
        <v>390</v>
      </c>
      <c r="J31" s="3" t="s">
        <v>320</v>
      </c>
      <c r="K31" s="3">
        <v>1</v>
      </c>
      <c r="L31" s="3" t="s">
        <v>429</v>
      </c>
      <c r="M31" s="3" t="str">
        <f>IF(B31="","","AB"&amp;"_"&amp;IFERROR(VLOOKUP(B31,LOOKUPS!$K$2:$L$9,2,FALSE),"UNK")&amp;"_"&amp;IFERROR(VLOOKUP(C31,LOOKUPS!$N$2:$O$10,2,FALSE),"UNK")&amp;"_"&amp;UPPER(L31))</f>
        <v>AB_ITNIC_REQ_EMPSHARESCHEME</v>
      </c>
      <c r="N31" s="3">
        <f>IF(M31="","",COUNTIF($M$2:M31,M31))</f>
        <v>18</v>
      </c>
      <c r="O31" s="3" t="s">
        <v>715</v>
      </c>
      <c r="P31" s="3">
        <v>2</v>
      </c>
      <c r="Q31" s="3" t="s">
        <v>391</v>
      </c>
      <c r="R31" s="3">
        <v>250000</v>
      </c>
      <c r="S31" s="3" t="s">
        <v>227</v>
      </c>
      <c r="T31" t="s">
        <v>17</v>
      </c>
      <c r="U31" s="3" t="s">
        <v>133</v>
      </c>
      <c r="V31" t="s">
        <v>17</v>
      </c>
      <c r="W31" s="3"/>
      <c r="X31" s="3"/>
      <c r="Y31" s="3"/>
      <c r="Z31" s="3"/>
      <c r="AA31" s="3"/>
      <c r="AB31" s="3"/>
      <c r="AC31" s="3" t="s">
        <v>716</v>
      </c>
    </row>
    <row r="32" spans="1:29" ht="86.4" x14ac:dyDescent="0.3">
      <c r="A32" s="3" t="str">
        <f t="shared" si="0"/>
        <v>AB_ITNIC_REQ_EMPSHARESCHEME_019</v>
      </c>
      <c r="B32" s="3" t="s">
        <v>21</v>
      </c>
      <c r="C32" t="s">
        <v>22</v>
      </c>
      <c r="D32" s="3" t="s">
        <v>354</v>
      </c>
      <c r="E32" s="3" t="s">
        <v>25</v>
      </c>
      <c r="F32" s="3">
        <v>3</v>
      </c>
      <c r="G32" s="3">
        <v>0</v>
      </c>
      <c r="H32" s="3" t="s">
        <v>17</v>
      </c>
      <c r="I32" s="3" t="s">
        <v>392</v>
      </c>
      <c r="J32" s="3" t="s">
        <v>320</v>
      </c>
      <c r="K32" s="3">
        <v>1</v>
      </c>
      <c r="L32" s="3" t="s">
        <v>429</v>
      </c>
      <c r="M32" s="3" t="str">
        <f>IF(B32="","","AB"&amp;"_"&amp;IFERROR(VLOOKUP(B32,LOOKUPS!$K$2:$L$9,2,FALSE),"UNK")&amp;"_"&amp;IFERROR(VLOOKUP(C32,LOOKUPS!$N$2:$O$10,2,FALSE),"UNK")&amp;"_"&amp;UPPER(L32))</f>
        <v>AB_ITNIC_REQ_EMPSHARESCHEME</v>
      </c>
      <c r="N32" s="3">
        <f>IF(M32="","",COUNTIF($M$2:M32,M32))</f>
        <v>19</v>
      </c>
      <c r="O32" s="3" t="s">
        <v>727</v>
      </c>
      <c r="P32" s="3">
        <v>2</v>
      </c>
      <c r="Q32" s="3" t="s">
        <v>346</v>
      </c>
      <c r="R32" s="3" t="s">
        <v>745</v>
      </c>
      <c r="S32" s="3" t="s">
        <v>133</v>
      </c>
      <c r="T32" t="s">
        <v>17</v>
      </c>
      <c r="U32" s="3" t="s">
        <v>227</v>
      </c>
      <c r="V32" t="s">
        <v>17</v>
      </c>
      <c r="W32" s="3"/>
      <c r="X32" s="3"/>
      <c r="Y32" s="3"/>
      <c r="Z32" s="3"/>
      <c r="AA32" s="3"/>
      <c r="AB32" s="3"/>
      <c r="AC32" s="3" t="s">
        <v>752</v>
      </c>
    </row>
    <row r="33" spans="1:29" ht="43.2" x14ac:dyDescent="0.3">
      <c r="A33" s="3" t="str">
        <f t="shared" si="0"/>
        <v>AB_ITNIC_REQ_EMPSHARESCHEME_020</v>
      </c>
      <c r="B33" s="3" t="s">
        <v>21</v>
      </c>
      <c r="C33" t="s">
        <v>22</v>
      </c>
      <c r="D33" s="3" t="s">
        <v>354</v>
      </c>
      <c r="E33" s="3" t="s">
        <v>25</v>
      </c>
      <c r="F33" s="3">
        <v>3</v>
      </c>
      <c r="G33" s="3">
        <v>0</v>
      </c>
      <c r="H33" s="3" t="s">
        <v>17</v>
      </c>
      <c r="I33" s="3" t="s">
        <v>393</v>
      </c>
      <c r="J33" s="3" t="s">
        <v>320</v>
      </c>
      <c r="K33" s="3">
        <v>1</v>
      </c>
      <c r="L33" s="3" t="s">
        <v>429</v>
      </c>
      <c r="M33" s="3" t="str">
        <f>IF(B33="","","AB"&amp;"_"&amp;IFERROR(VLOOKUP(B33,LOOKUPS!$K$2:$L$9,2,FALSE),"UNK")&amp;"_"&amp;IFERROR(VLOOKUP(C33,LOOKUPS!$N$2:$O$10,2,FALSE),"UNK")&amp;"_"&amp;UPPER(L33))</f>
        <v>AB_ITNIC_REQ_EMPSHARESCHEME</v>
      </c>
      <c r="N33" s="3">
        <f>IF(M33="","",COUNTIF($M$2:M33,M33))</f>
        <v>20</v>
      </c>
      <c r="O33" s="3" t="s">
        <v>717</v>
      </c>
      <c r="P33" s="3">
        <v>2</v>
      </c>
      <c r="Q33" s="3" t="s">
        <v>394</v>
      </c>
      <c r="R33" s="3" t="s">
        <v>395</v>
      </c>
      <c r="S33" s="3" t="s">
        <v>227</v>
      </c>
      <c r="T33" t="s">
        <v>17</v>
      </c>
      <c r="U33" s="3" t="s">
        <v>133</v>
      </c>
      <c r="V33" t="s">
        <v>17</v>
      </c>
      <c r="W33" s="3"/>
      <c r="X33" s="3"/>
      <c r="Y33" s="3"/>
      <c r="Z33" s="3"/>
      <c r="AA33" s="3"/>
      <c r="AB33" s="3"/>
      <c r="AC33" s="3" t="s">
        <v>718</v>
      </c>
    </row>
    <row r="34" spans="1:29" ht="72" x14ac:dyDescent="0.3">
      <c r="A34" s="3" t="str">
        <f t="shared" si="0"/>
        <v>AB_ITNIC_REQ_EMPSHARESCHEME_021</v>
      </c>
      <c r="B34" s="3" t="s">
        <v>21</v>
      </c>
      <c r="C34" t="s">
        <v>22</v>
      </c>
      <c r="D34" s="3" t="s">
        <v>354</v>
      </c>
      <c r="E34" s="3" t="s">
        <v>25</v>
      </c>
      <c r="F34" s="3">
        <v>3</v>
      </c>
      <c r="G34" s="3">
        <v>0</v>
      </c>
      <c r="H34" s="3" t="s">
        <v>17</v>
      </c>
      <c r="I34" s="3" t="s">
        <v>396</v>
      </c>
      <c r="J34" s="3" t="s">
        <v>320</v>
      </c>
      <c r="K34" s="3">
        <v>1</v>
      </c>
      <c r="L34" s="3" t="s">
        <v>429</v>
      </c>
      <c r="M34" s="3" t="str">
        <f>IF(B34="","","AB"&amp;"_"&amp;IFERROR(VLOOKUP(B34,LOOKUPS!$K$2:$L$9,2,FALSE),"UNK")&amp;"_"&amp;IFERROR(VLOOKUP(C34,LOOKUPS!$N$2:$O$10,2,FALSE),"UNK")&amp;"_"&amp;UPPER(L34))</f>
        <v>AB_ITNIC_REQ_EMPSHARESCHEME</v>
      </c>
      <c r="N34" s="3">
        <f>IF(M34="","",COUNTIF($M$2:M34,M34))</f>
        <v>21</v>
      </c>
      <c r="O34" s="3" t="s">
        <v>719</v>
      </c>
      <c r="P34" s="3">
        <v>2</v>
      </c>
      <c r="Q34" s="3" t="s">
        <v>397</v>
      </c>
      <c r="R34" s="3" t="s">
        <v>394</v>
      </c>
      <c r="S34" s="3" t="s">
        <v>133</v>
      </c>
      <c r="T34" t="s">
        <v>17</v>
      </c>
      <c r="U34" s="3" t="s">
        <v>227</v>
      </c>
      <c r="V34" t="s">
        <v>17</v>
      </c>
      <c r="W34" s="3"/>
      <c r="X34" s="3"/>
      <c r="Y34" s="3"/>
      <c r="Z34" s="3"/>
      <c r="AA34" s="3"/>
      <c r="AB34" s="3"/>
      <c r="AC34" s="3" t="s">
        <v>398</v>
      </c>
    </row>
    <row r="35" spans="1:29" ht="57.6" x14ac:dyDescent="0.3">
      <c r="A35" s="3" t="str">
        <f t="shared" si="0"/>
        <v>AB_ITNIC_REQ_EMPSHARESCHEME_022</v>
      </c>
      <c r="B35" s="3" t="s">
        <v>21</v>
      </c>
      <c r="C35" t="s">
        <v>22</v>
      </c>
      <c r="D35" s="3" t="s">
        <v>354</v>
      </c>
      <c r="E35" s="3" t="s">
        <v>25</v>
      </c>
      <c r="F35" s="3">
        <v>3</v>
      </c>
      <c r="G35" s="3">
        <v>0</v>
      </c>
      <c r="H35" s="3" t="s">
        <v>17</v>
      </c>
      <c r="I35" s="3" t="s">
        <v>399</v>
      </c>
      <c r="J35" s="3" t="s">
        <v>320</v>
      </c>
      <c r="K35" s="3">
        <v>1</v>
      </c>
      <c r="L35" s="3" t="s">
        <v>429</v>
      </c>
      <c r="M35" s="3" t="str">
        <f>IF(B35="","","AB"&amp;"_"&amp;IFERROR(VLOOKUP(B35,LOOKUPS!$K$2:$L$9,2,FALSE),"UNK")&amp;"_"&amp;IFERROR(VLOOKUP(C35,LOOKUPS!$N$2:$O$10,2,FALSE),"UNK")&amp;"_"&amp;UPPER(L35))</f>
        <v>AB_ITNIC_REQ_EMPSHARESCHEME</v>
      </c>
      <c r="N35" s="3">
        <f>IF(M35="","",COUNTIF($M$2:M35,M35))</f>
        <v>22</v>
      </c>
      <c r="O35" s="3" t="s">
        <v>720</v>
      </c>
      <c r="P35" s="3">
        <v>2</v>
      </c>
      <c r="Q35" s="3" t="s">
        <v>32</v>
      </c>
      <c r="R35" s="3" t="s">
        <v>400</v>
      </c>
      <c r="S35" s="3" t="s">
        <v>227</v>
      </c>
      <c r="T35" t="s">
        <v>17</v>
      </c>
      <c r="U35" s="3" t="s">
        <v>133</v>
      </c>
      <c r="V35" t="s">
        <v>17</v>
      </c>
      <c r="W35" s="3"/>
      <c r="X35" s="3"/>
      <c r="Y35" s="3"/>
      <c r="Z35" s="3"/>
      <c r="AA35" s="3"/>
      <c r="AB35" s="3"/>
      <c r="AC35" s="3" t="s">
        <v>401</v>
      </c>
    </row>
    <row r="36" spans="1:29" ht="57.6" x14ac:dyDescent="0.3">
      <c r="A36" s="3" t="str">
        <f t="shared" si="0"/>
        <v>AB_ITNIC_REQ_EMPSHARESCHEME_023</v>
      </c>
      <c r="B36" s="3" t="s">
        <v>21</v>
      </c>
      <c r="C36" t="s">
        <v>22</v>
      </c>
      <c r="D36" s="3" t="s">
        <v>354</v>
      </c>
      <c r="E36" s="3" t="s">
        <v>25</v>
      </c>
      <c r="F36" s="3">
        <v>3</v>
      </c>
      <c r="G36" s="3">
        <v>0</v>
      </c>
      <c r="H36" s="3" t="s">
        <v>17</v>
      </c>
      <c r="I36" s="3" t="s">
        <v>402</v>
      </c>
      <c r="J36" s="3" t="s">
        <v>320</v>
      </c>
      <c r="K36" s="3">
        <v>1</v>
      </c>
      <c r="L36" s="3" t="s">
        <v>429</v>
      </c>
      <c r="M36" s="3" t="str">
        <f>IF(B36="","","AB"&amp;"_"&amp;IFERROR(VLOOKUP(B36,LOOKUPS!$K$2:$L$9,2,FALSE),"UNK")&amp;"_"&amp;IFERROR(VLOOKUP(C36,LOOKUPS!$N$2:$O$10,2,FALSE),"UNK")&amp;"_"&amp;UPPER(L36))</f>
        <v>AB_ITNIC_REQ_EMPSHARESCHEME</v>
      </c>
      <c r="N36" s="3">
        <f>IF(M36="","",COUNTIF($M$2:M36,M36))</f>
        <v>23</v>
      </c>
      <c r="O36" s="3" t="s">
        <v>721</v>
      </c>
      <c r="P36" s="3">
        <v>2</v>
      </c>
      <c r="Q36" s="3" t="s">
        <v>403</v>
      </c>
      <c r="R36" s="3" t="s">
        <v>395</v>
      </c>
      <c r="S36" s="3" t="s">
        <v>133</v>
      </c>
      <c r="T36" t="s">
        <v>17</v>
      </c>
      <c r="U36" s="3" t="s">
        <v>227</v>
      </c>
      <c r="V36" t="s">
        <v>17</v>
      </c>
      <c r="W36" s="3"/>
      <c r="X36" s="3"/>
      <c r="Y36" s="3"/>
      <c r="Z36" s="3"/>
      <c r="AA36" s="3"/>
      <c r="AB36" s="3"/>
      <c r="AC36" s="3" t="s">
        <v>404</v>
      </c>
    </row>
    <row r="37" spans="1:29" ht="57.6" x14ac:dyDescent="0.3">
      <c r="A37" s="3" t="str">
        <f t="shared" si="0"/>
        <v>AB_ITNIC_REQ_EMPSHARESCHEME_024</v>
      </c>
      <c r="B37" s="3" t="s">
        <v>21</v>
      </c>
      <c r="C37" t="s">
        <v>22</v>
      </c>
      <c r="D37" s="3" t="s">
        <v>354</v>
      </c>
      <c r="E37" s="3" t="s">
        <v>25</v>
      </c>
      <c r="F37" s="3">
        <v>3</v>
      </c>
      <c r="G37" s="3">
        <v>0</v>
      </c>
      <c r="H37" s="3" t="s">
        <v>17</v>
      </c>
      <c r="I37" s="3" t="s">
        <v>405</v>
      </c>
      <c r="J37" s="3" t="s">
        <v>320</v>
      </c>
      <c r="K37" s="3">
        <v>1</v>
      </c>
      <c r="L37" s="3" t="s">
        <v>429</v>
      </c>
      <c r="M37" s="3" t="str">
        <f>IF(B37="","","AB"&amp;"_"&amp;IFERROR(VLOOKUP(B37,LOOKUPS!$K$2:$L$9,2,FALSE),"UNK")&amp;"_"&amp;IFERROR(VLOOKUP(C37,LOOKUPS!$N$2:$O$10,2,FALSE),"UNK")&amp;"_"&amp;UPPER(L37))</f>
        <v>AB_ITNIC_REQ_EMPSHARESCHEME</v>
      </c>
      <c r="N37" s="3">
        <f>IF(M37="","",COUNTIF($M$2:M37,M37))</f>
        <v>24</v>
      </c>
      <c r="O37" s="3" t="s">
        <v>755</v>
      </c>
      <c r="P37" s="3">
        <v>2</v>
      </c>
      <c r="Q37" s="3" t="s">
        <v>406</v>
      </c>
      <c r="R37" s="3" t="s">
        <v>407</v>
      </c>
      <c r="S37" s="3" t="s">
        <v>227</v>
      </c>
      <c r="T37" t="s">
        <v>17</v>
      </c>
      <c r="U37" s="3" t="s">
        <v>133</v>
      </c>
      <c r="V37" t="s">
        <v>17</v>
      </c>
      <c r="W37" s="3"/>
      <c r="X37" s="3"/>
      <c r="Y37" s="3"/>
      <c r="Z37" s="3"/>
      <c r="AA37" s="3"/>
      <c r="AB37" s="3"/>
      <c r="AC37" s="3" t="s">
        <v>766</v>
      </c>
    </row>
    <row r="38" spans="1:29" ht="43.2" x14ac:dyDescent="0.3">
      <c r="A38" s="3" t="str">
        <f t="shared" si="0"/>
        <v>AB_ITNIC_REQ_EMPSHARESCHEME_025</v>
      </c>
      <c r="B38" s="3" t="s">
        <v>21</v>
      </c>
      <c r="C38" t="s">
        <v>22</v>
      </c>
      <c r="D38" s="3" t="s">
        <v>354</v>
      </c>
      <c r="E38" s="3" t="s">
        <v>25</v>
      </c>
      <c r="F38" s="3">
        <v>3</v>
      </c>
      <c r="G38" s="3">
        <v>0</v>
      </c>
      <c r="H38" s="3" t="s">
        <v>17</v>
      </c>
      <c r="I38" s="3" t="s">
        <v>408</v>
      </c>
      <c r="J38" s="3" t="s">
        <v>320</v>
      </c>
      <c r="K38" s="3">
        <v>1</v>
      </c>
      <c r="L38" s="3" t="s">
        <v>429</v>
      </c>
      <c r="M38" s="3" t="str">
        <f>IF(B38="","","AB"&amp;"_"&amp;IFERROR(VLOOKUP(B38,LOOKUPS!$K$2:$L$9,2,FALSE),"UNK")&amp;"_"&amp;IFERROR(VLOOKUP(C38,LOOKUPS!$N$2:$O$10,2,FALSE),"UNK")&amp;"_"&amp;UPPER(L38))</f>
        <v>AB_ITNIC_REQ_EMPSHARESCHEME</v>
      </c>
      <c r="N38" s="3">
        <f>IF(M38="","",COUNTIF($M$2:M38,M38))</f>
        <v>25</v>
      </c>
      <c r="O38" s="3" t="s">
        <v>756</v>
      </c>
      <c r="P38" s="3">
        <v>2</v>
      </c>
      <c r="Q38" s="3" t="s">
        <v>409</v>
      </c>
      <c r="R38" s="3" t="s">
        <v>410</v>
      </c>
      <c r="S38" s="3" t="s">
        <v>133</v>
      </c>
      <c r="T38" t="s">
        <v>17</v>
      </c>
      <c r="U38" s="3" t="s">
        <v>227</v>
      </c>
      <c r="V38" t="s">
        <v>17</v>
      </c>
      <c r="W38" s="3"/>
      <c r="X38" s="3"/>
      <c r="Y38" s="3"/>
      <c r="Z38" s="3"/>
      <c r="AA38" s="3"/>
      <c r="AB38" s="3"/>
      <c r="AC38" s="3" t="s">
        <v>767</v>
      </c>
    </row>
    <row r="39" spans="1:29" ht="57.6" x14ac:dyDescent="0.3">
      <c r="A39" s="3" t="str">
        <f t="shared" si="0"/>
        <v>AB_ITNIC_REQ_EMPSHARESCHEME_026</v>
      </c>
      <c r="B39" s="3" t="s">
        <v>21</v>
      </c>
      <c r="C39" t="s">
        <v>22</v>
      </c>
      <c r="D39" s="3" t="s">
        <v>354</v>
      </c>
      <c r="E39" s="3" t="s">
        <v>25</v>
      </c>
      <c r="F39" s="3">
        <v>3</v>
      </c>
      <c r="G39" s="3">
        <v>0</v>
      </c>
      <c r="H39" s="3" t="s">
        <v>17</v>
      </c>
      <c r="I39" s="3" t="s">
        <v>411</v>
      </c>
      <c r="J39" s="3" t="s">
        <v>320</v>
      </c>
      <c r="K39" s="3">
        <v>1</v>
      </c>
      <c r="L39" s="3" t="s">
        <v>429</v>
      </c>
      <c r="M39" s="3" t="str">
        <f>IF(B39="","","AB"&amp;"_"&amp;IFERROR(VLOOKUP(B39,LOOKUPS!$K$2:$L$9,2,FALSE),"UNK")&amp;"_"&amp;IFERROR(VLOOKUP(C39,LOOKUPS!$N$2:$O$10,2,FALSE),"UNK")&amp;"_"&amp;UPPER(L39))</f>
        <v>AB_ITNIC_REQ_EMPSHARESCHEME</v>
      </c>
      <c r="N39" s="3">
        <f>IF(M39="","",COUNTIF($M$2:M39,M39))</f>
        <v>26</v>
      </c>
      <c r="O39" s="3" t="s">
        <v>757</v>
      </c>
      <c r="P39" s="3">
        <v>2</v>
      </c>
      <c r="Q39" s="3" t="s">
        <v>412</v>
      </c>
      <c r="R39" s="3" t="s">
        <v>413</v>
      </c>
      <c r="S39" s="3" t="s">
        <v>227</v>
      </c>
      <c r="T39" t="s">
        <v>17</v>
      </c>
      <c r="U39" s="3" t="s">
        <v>133</v>
      </c>
      <c r="V39" t="s">
        <v>17</v>
      </c>
      <c r="W39" s="3"/>
      <c r="X39" s="3"/>
      <c r="Y39" s="3"/>
      <c r="Z39" s="3"/>
      <c r="AA39" s="3"/>
      <c r="AB39" s="3"/>
      <c r="AC39" s="3" t="s">
        <v>768</v>
      </c>
    </row>
    <row r="40" spans="1:29" ht="43.2" x14ac:dyDescent="0.3">
      <c r="A40" s="3" t="str">
        <f t="shared" si="0"/>
        <v>AB_ITNIC_REQ_EMPSHARESCHEME_027</v>
      </c>
      <c r="B40" s="3" t="s">
        <v>21</v>
      </c>
      <c r="C40" t="s">
        <v>22</v>
      </c>
      <c r="D40" s="3" t="s">
        <v>354</v>
      </c>
      <c r="E40" s="3" t="s">
        <v>25</v>
      </c>
      <c r="F40" s="3">
        <v>3</v>
      </c>
      <c r="G40" s="3">
        <v>0</v>
      </c>
      <c r="H40" s="3" t="s">
        <v>17</v>
      </c>
      <c r="I40" s="3" t="s">
        <v>414</v>
      </c>
      <c r="J40" s="3" t="s">
        <v>320</v>
      </c>
      <c r="K40" s="3">
        <v>1</v>
      </c>
      <c r="L40" s="3" t="s">
        <v>429</v>
      </c>
      <c r="M40" s="3" t="str">
        <f>IF(B40="","","AB"&amp;"_"&amp;IFERROR(VLOOKUP(B40,LOOKUPS!$K$2:$L$9,2,FALSE),"UNK")&amp;"_"&amp;IFERROR(VLOOKUP(C40,LOOKUPS!$N$2:$O$10,2,FALSE),"UNK")&amp;"_"&amp;UPPER(L40))</f>
        <v>AB_ITNIC_REQ_EMPSHARESCHEME</v>
      </c>
      <c r="N40" s="3">
        <f>IF(M40="","",COUNTIF($M$2:M40,M40))</f>
        <v>27</v>
      </c>
      <c r="O40" s="3" t="s">
        <v>758</v>
      </c>
      <c r="P40" s="3">
        <v>2</v>
      </c>
      <c r="Q40" s="3">
        <v>3600</v>
      </c>
      <c r="R40" s="3" t="s">
        <v>415</v>
      </c>
      <c r="S40" s="3" t="s">
        <v>133</v>
      </c>
      <c r="T40" t="s">
        <v>17</v>
      </c>
      <c r="U40" s="3" t="s">
        <v>227</v>
      </c>
      <c r="V40" t="s">
        <v>17</v>
      </c>
      <c r="W40" s="3"/>
      <c r="X40" s="3"/>
      <c r="Y40" s="3"/>
      <c r="Z40" s="3"/>
      <c r="AA40" s="3"/>
      <c r="AB40" s="3"/>
      <c r="AC40" s="3" t="s">
        <v>769</v>
      </c>
    </row>
    <row r="41" spans="1:29" ht="43.2" x14ac:dyDescent="0.3">
      <c r="A41" s="3" t="str">
        <f t="shared" si="0"/>
        <v>AB_ITNIC_REQ_EMPSHARESCHEME_028</v>
      </c>
      <c r="B41" s="3" t="s">
        <v>21</v>
      </c>
      <c r="C41" t="s">
        <v>22</v>
      </c>
      <c r="D41" s="3" t="s">
        <v>354</v>
      </c>
      <c r="E41" s="3" t="s">
        <v>25</v>
      </c>
      <c r="F41" s="3">
        <v>3</v>
      </c>
      <c r="G41" s="3">
        <v>0</v>
      </c>
      <c r="H41" s="3" t="s">
        <v>17</v>
      </c>
      <c r="I41" s="3" t="s">
        <v>416</v>
      </c>
      <c r="J41" s="3" t="s">
        <v>320</v>
      </c>
      <c r="K41" s="3">
        <v>1</v>
      </c>
      <c r="L41" s="3" t="s">
        <v>429</v>
      </c>
      <c r="M41" s="3" t="str">
        <f>IF(B41="","","AB"&amp;"_"&amp;IFERROR(VLOOKUP(B41,LOOKUPS!$K$2:$L$9,2,FALSE),"UNK")&amp;"_"&amp;IFERROR(VLOOKUP(C41,LOOKUPS!$N$2:$O$10,2,FALSE),"UNK")&amp;"_"&amp;UPPER(L41))</f>
        <v>AB_ITNIC_REQ_EMPSHARESCHEME</v>
      </c>
      <c r="N41" s="3">
        <f>IF(M41="","",COUNTIF($M$2:M41,M41))</f>
        <v>28</v>
      </c>
      <c r="O41" s="3" t="s">
        <v>759</v>
      </c>
      <c r="P41" s="3">
        <v>2</v>
      </c>
      <c r="Q41" s="3">
        <v>0.1</v>
      </c>
      <c r="R41" s="3">
        <v>1800</v>
      </c>
      <c r="S41" s="3" t="s">
        <v>227</v>
      </c>
      <c r="T41" t="s">
        <v>17</v>
      </c>
      <c r="U41" s="3" t="s">
        <v>133</v>
      </c>
      <c r="V41" t="s">
        <v>17</v>
      </c>
      <c r="W41" s="3"/>
      <c r="X41" s="3"/>
      <c r="Y41" s="3"/>
      <c r="Z41" s="3"/>
      <c r="AA41" s="3"/>
      <c r="AB41" s="3"/>
      <c r="AC41" s="3" t="s">
        <v>417</v>
      </c>
    </row>
    <row r="42" spans="1:29" ht="28.8" x14ac:dyDescent="0.3">
      <c r="A42" s="3" t="str">
        <f t="shared" si="0"/>
        <v>AB_ITNIC_REQ_EMPSHARESCHEME_029</v>
      </c>
      <c r="B42" s="3" t="s">
        <v>21</v>
      </c>
      <c r="C42" t="s">
        <v>22</v>
      </c>
      <c r="D42" s="3" t="s">
        <v>354</v>
      </c>
      <c r="E42" s="3" t="s">
        <v>25</v>
      </c>
      <c r="F42" s="3">
        <v>3</v>
      </c>
      <c r="G42" s="3">
        <v>0</v>
      </c>
      <c r="H42" s="3" t="s">
        <v>17</v>
      </c>
      <c r="I42" s="3" t="s">
        <v>418</v>
      </c>
      <c r="J42" s="3" t="s">
        <v>320</v>
      </c>
      <c r="K42" s="3">
        <v>1</v>
      </c>
      <c r="L42" s="3" t="s">
        <v>429</v>
      </c>
      <c r="M42" s="3" t="str">
        <f>IF(B42="","","AB"&amp;"_"&amp;IFERROR(VLOOKUP(B42,LOOKUPS!$K$2:$L$9,2,FALSE),"UNK")&amp;"_"&amp;IFERROR(VLOOKUP(C42,LOOKUPS!$N$2:$O$10,2,FALSE),"UNK")&amp;"_"&amp;UPPER(L42))</f>
        <v>AB_ITNIC_REQ_EMPSHARESCHEME</v>
      </c>
      <c r="N42" s="3">
        <f>IF(M42="","",COUNTIF($M$2:M42,M42))</f>
        <v>29</v>
      </c>
      <c r="O42" s="3" t="s">
        <v>760</v>
      </c>
      <c r="P42" s="3">
        <v>2</v>
      </c>
      <c r="Q42" s="3">
        <v>2</v>
      </c>
      <c r="R42" s="3">
        <v>1</v>
      </c>
      <c r="S42" s="3" t="s">
        <v>133</v>
      </c>
      <c r="T42" t="s">
        <v>17</v>
      </c>
      <c r="U42" s="3" t="s">
        <v>227</v>
      </c>
      <c r="V42" t="s">
        <v>17</v>
      </c>
      <c r="W42" s="3"/>
      <c r="X42" s="3"/>
      <c r="Y42" s="3"/>
      <c r="Z42" s="3"/>
      <c r="AA42" s="3"/>
      <c r="AB42" s="3"/>
      <c r="AC42" s="3" t="s">
        <v>770</v>
      </c>
    </row>
    <row r="43" spans="1:29" ht="28.8" x14ac:dyDescent="0.3">
      <c r="A43" s="3" t="str">
        <f t="shared" si="0"/>
        <v>AB_ITNIC_REQ_EMPSHARESCHEME_030</v>
      </c>
      <c r="B43" s="3" t="s">
        <v>21</v>
      </c>
      <c r="C43" t="s">
        <v>22</v>
      </c>
      <c r="D43" s="3" t="s">
        <v>354</v>
      </c>
      <c r="E43" s="3" t="s">
        <v>25</v>
      </c>
      <c r="F43" s="3">
        <v>3</v>
      </c>
      <c r="G43" s="3">
        <v>0</v>
      </c>
      <c r="H43" s="3" t="s">
        <v>17</v>
      </c>
      <c r="I43" s="3" t="s">
        <v>419</v>
      </c>
      <c r="J43" s="3" t="s">
        <v>320</v>
      </c>
      <c r="K43" s="3">
        <v>1</v>
      </c>
      <c r="L43" s="3" t="s">
        <v>429</v>
      </c>
      <c r="M43" s="3" t="str">
        <f>IF(B43="","","AB"&amp;"_"&amp;IFERROR(VLOOKUP(B43,LOOKUPS!$K$2:$L$9,2,FALSE),"UNK")&amp;"_"&amp;IFERROR(VLOOKUP(C43,LOOKUPS!$N$2:$O$10,2,FALSE),"UNK")&amp;"_"&amp;UPPER(L43))</f>
        <v>AB_ITNIC_REQ_EMPSHARESCHEME</v>
      </c>
      <c r="N43" s="3">
        <f>IF(M43="","",COUNTIF($M$2:M43,M43))</f>
        <v>30</v>
      </c>
      <c r="O43" s="3" t="s">
        <v>761</v>
      </c>
      <c r="P43" s="3">
        <v>2</v>
      </c>
      <c r="Q43" s="3" t="s">
        <v>361</v>
      </c>
      <c r="R43" s="3" t="s">
        <v>420</v>
      </c>
      <c r="S43" s="3" t="s">
        <v>227</v>
      </c>
      <c r="T43" t="s">
        <v>17</v>
      </c>
      <c r="U43" s="3" t="s">
        <v>133</v>
      </c>
      <c r="V43" t="s">
        <v>17</v>
      </c>
      <c r="W43" s="3"/>
      <c r="X43" s="3"/>
      <c r="Y43" s="3"/>
      <c r="Z43" s="3"/>
      <c r="AA43" s="3"/>
      <c r="AB43" s="3"/>
      <c r="AC43" s="3" t="s">
        <v>771</v>
      </c>
    </row>
    <row r="44" spans="1:29" ht="43.2" x14ac:dyDescent="0.3">
      <c r="A44" s="3" t="str">
        <f t="shared" si="0"/>
        <v>AB_ITNIC_REQ_EMPSHARESCHEME_031</v>
      </c>
      <c r="B44" s="3" t="s">
        <v>21</v>
      </c>
      <c r="C44" t="s">
        <v>22</v>
      </c>
      <c r="D44" s="3" t="s">
        <v>354</v>
      </c>
      <c r="E44" s="3" t="s">
        <v>25</v>
      </c>
      <c r="F44" s="3">
        <v>3</v>
      </c>
      <c r="G44" s="3">
        <v>0</v>
      </c>
      <c r="H44" s="3" t="s">
        <v>17</v>
      </c>
      <c r="I44" s="3" t="s">
        <v>421</v>
      </c>
      <c r="J44" s="3" t="s">
        <v>320</v>
      </c>
      <c r="K44" s="3">
        <v>1</v>
      </c>
      <c r="L44" s="3" t="s">
        <v>429</v>
      </c>
      <c r="M44" s="3" t="str">
        <f>IF(B44="","","AB"&amp;"_"&amp;IFERROR(VLOOKUP(B44,LOOKUPS!$K$2:$L$9,2,FALSE),"UNK")&amp;"_"&amp;IFERROR(VLOOKUP(C44,LOOKUPS!$N$2:$O$10,2,FALSE),"UNK")&amp;"_"&amp;UPPER(L44))</f>
        <v>AB_ITNIC_REQ_EMPSHARESCHEME</v>
      </c>
      <c r="N44" s="3">
        <f>IF(M44="","",COUNTIF($M$2:M44,M44))</f>
        <v>31</v>
      </c>
      <c r="O44" s="3" t="s">
        <v>762</v>
      </c>
      <c r="P44" s="3">
        <v>2</v>
      </c>
      <c r="Q44" s="3">
        <v>5</v>
      </c>
      <c r="R44" s="3" t="s">
        <v>403</v>
      </c>
      <c r="S44" s="3" t="s">
        <v>133</v>
      </c>
      <c r="T44" t="s">
        <v>17</v>
      </c>
      <c r="U44" s="3" t="s">
        <v>227</v>
      </c>
      <c r="V44" t="s">
        <v>17</v>
      </c>
      <c r="W44" s="3"/>
      <c r="X44" s="3"/>
      <c r="Y44" s="3"/>
      <c r="Z44" s="3"/>
      <c r="AA44" s="3"/>
      <c r="AB44" s="3"/>
      <c r="AC44" s="3" t="s">
        <v>772</v>
      </c>
    </row>
    <row r="45" spans="1:29" ht="28.8" x14ac:dyDescent="0.3">
      <c r="A45" s="3" t="str">
        <f t="shared" si="0"/>
        <v>AB_ITNIC_REQ_EMPSHARESCHEME_032</v>
      </c>
      <c r="B45" s="3" t="s">
        <v>21</v>
      </c>
      <c r="C45" t="s">
        <v>22</v>
      </c>
      <c r="D45" s="3" t="s">
        <v>354</v>
      </c>
      <c r="E45" s="3" t="s">
        <v>25</v>
      </c>
      <c r="F45" s="3">
        <v>3</v>
      </c>
      <c r="G45" s="3">
        <v>0</v>
      </c>
      <c r="H45" s="3" t="s">
        <v>17</v>
      </c>
      <c r="I45" s="3" t="s">
        <v>422</v>
      </c>
      <c r="J45" s="3" t="s">
        <v>320</v>
      </c>
      <c r="K45" s="3">
        <v>1</v>
      </c>
      <c r="L45" s="3" t="s">
        <v>429</v>
      </c>
      <c r="M45" s="3" t="str">
        <f>IF(B45="","","AB"&amp;"_"&amp;IFERROR(VLOOKUP(B45,LOOKUPS!$K$2:$L$9,2,FALSE),"UNK")&amp;"_"&amp;IFERROR(VLOOKUP(C45,LOOKUPS!$N$2:$O$10,2,FALSE),"UNK")&amp;"_"&amp;UPPER(L45))</f>
        <v>AB_ITNIC_REQ_EMPSHARESCHEME</v>
      </c>
      <c r="N45" s="3">
        <f>IF(M45="","",COUNTIF($M$2:M45,M45))</f>
        <v>32</v>
      </c>
      <c r="O45" s="3" t="s">
        <v>763</v>
      </c>
      <c r="P45" s="3">
        <v>2</v>
      </c>
      <c r="Q45" s="3" t="s">
        <v>423</v>
      </c>
      <c r="R45" s="3">
        <v>3</v>
      </c>
      <c r="S45" s="3" t="s">
        <v>227</v>
      </c>
      <c r="T45" t="s">
        <v>17</v>
      </c>
      <c r="U45" s="3" t="s">
        <v>133</v>
      </c>
      <c r="V45" t="s">
        <v>17</v>
      </c>
      <c r="W45" s="3"/>
      <c r="X45" s="3"/>
      <c r="Y45" s="3"/>
      <c r="Z45" s="3"/>
      <c r="AA45" s="3"/>
      <c r="AB45" s="3"/>
      <c r="AC45" s="3" t="s">
        <v>773</v>
      </c>
    </row>
    <row r="46" spans="1:29" ht="43.2" x14ac:dyDescent="0.3">
      <c r="A46" s="3" t="str">
        <f t="shared" si="0"/>
        <v>AB_ITNIC_REQ_EMPSHARESCHEME_033</v>
      </c>
      <c r="B46" s="3" t="s">
        <v>21</v>
      </c>
      <c r="C46" t="s">
        <v>22</v>
      </c>
      <c r="D46" s="3" t="s">
        <v>354</v>
      </c>
      <c r="E46" s="3" t="s">
        <v>25</v>
      </c>
      <c r="F46" s="3">
        <v>3</v>
      </c>
      <c r="G46" s="3">
        <v>0</v>
      </c>
      <c r="H46" s="3" t="s">
        <v>17</v>
      </c>
      <c r="I46" s="3" t="s">
        <v>424</v>
      </c>
      <c r="J46" s="3" t="s">
        <v>320</v>
      </c>
      <c r="K46" s="3">
        <v>1</v>
      </c>
      <c r="L46" s="3" t="s">
        <v>429</v>
      </c>
      <c r="M46" s="3" t="str">
        <f>IF(B46="","","AB"&amp;"_"&amp;IFERROR(VLOOKUP(B46,LOOKUPS!$K$2:$L$9,2,FALSE),"UNK")&amp;"_"&amp;IFERROR(VLOOKUP(C46,LOOKUPS!$N$2:$O$10,2,FALSE),"UNK")&amp;"_"&amp;UPPER(L46))</f>
        <v>AB_ITNIC_REQ_EMPSHARESCHEME</v>
      </c>
      <c r="N46" s="3">
        <f>IF(M46="","",COUNTIF($M$2:M46,M46))</f>
        <v>33</v>
      </c>
      <c r="O46" s="3" t="s">
        <v>764</v>
      </c>
      <c r="P46" s="3">
        <v>2</v>
      </c>
      <c r="Q46" s="3" t="s">
        <v>425</v>
      </c>
      <c r="R46" s="3" t="s">
        <v>423</v>
      </c>
      <c r="S46" s="3" t="s">
        <v>133</v>
      </c>
      <c r="T46" t="s">
        <v>17</v>
      </c>
      <c r="U46" s="3" t="s">
        <v>227</v>
      </c>
      <c r="V46" t="s">
        <v>17</v>
      </c>
      <c r="W46" s="3"/>
      <c r="X46" s="3"/>
      <c r="Y46" s="3"/>
      <c r="Z46" s="3"/>
      <c r="AA46" s="3"/>
      <c r="AB46" s="3"/>
      <c r="AC46" s="3" t="s">
        <v>426</v>
      </c>
    </row>
    <row r="47" spans="1:29" ht="100.8" x14ac:dyDescent="0.3">
      <c r="A47" s="3" t="str">
        <f t="shared" si="0"/>
        <v>AB_ITNIC_REQ_EMPSHARESCHEME_034</v>
      </c>
      <c r="B47" s="3" t="s">
        <v>21</v>
      </c>
      <c r="C47" t="s">
        <v>22</v>
      </c>
      <c r="D47" s="3" t="s">
        <v>354</v>
      </c>
      <c r="E47" s="3" t="s">
        <v>25</v>
      </c>
      <c r="F47" s="3">
        <v>3</v>
      </c>
      <c r="G47" s="3">
        <v>0</v>
      </c>
      <c r="H47" s="3" t="s">
        <v>17</v>
      </c>
      <c r="I47" s="3" t="s">
        <v>427</v>
      </c>
      <c r="J47" s="3" t="s">
        <v>320</v>
      </c>
      <c r="K47" s="3">
        <v>1</v>
      </c>
      <c r="L47" s="3" t="s">
        <v>429</v>
      </c>
      <c r="M47" s="3" t="str">
        <f>IF(B47="","","AB"&amp;"_"&amp;IFERROR(VLOOKUP(B47,LOOKUPS!$K$2:$L$9,2,FALSE),"UNK")&amp;"_"&amp;IFERROR(VLOOKUP(C47,LOOKUPS!$N$2:$O$10,2,FALSE),"UNK")&amp;"_"&amp;UPPER(L47))</f>
        <v>AB_ITNIC_REQ_EMPSHARESCHEME</v>
      </c>
      <c r="N47" s="3">
        <f>IF(M47="","",COUNTIF($M$2:M47,M47))</f>
        <v>34</v>
      </c>
      <c r="O47" s="3" t="s">
        <v>765</v>
      </c>
      <c r="P47" s="3">
        <v>2</v>
      </c>
      <c r="Q47" s="3" t="s">
        <v>359</v>
      </c>
      <c r="R47" s="3" t="s">
        <v>358</v>
      </c>
      <c r="S47" s="3" t="s">
        <v>227</v>
      </c>
      <c r="T47" t="s">
        <v>17</v>
      </c>
      <c r="U47" s="3" t="s">
        <v>133</v>
      </c>
      <c r="V47" t="s">
        <v>17</v>
      </c>
      <c r="W47" s="3"/>
      <c r="X47" s="3"/>
      <c r="Y47" s="3"/>
      <c r="Z47" s="3"/>
      <c r="AA47" s="3"/>
      <c r="AB47" s="3"/>
      <c r="AC47" s="3" t="s">
        <v>428</v>
      </c>
    </row>
    <row r="48" spans="1:29" x14ac:dyDescent="0.3">
      <c r="A48" s="3" t="str">
        <f t="shared" si="0"/>
        <v/>
      </c>
      <c r="B48" s="3"/>
      <c r="D48" s="3"/>
      <c r="E48" s="3"/>
      <c r="F48" s="3"/>
      <c r="G48" s="3"/>
      <c r="H48" s="3"/>
      <c r="I48" s="3"/>
      <c r="J48" s="3"/>
      <c r="K48" s="3"/>
      <c r="L48" s="3"/>
      <c r="M48" s="3" t="str">
        <f>IF(B48="","","AB"&amp;"_"&amp;IFERROR(VLOOKUP(B48,LOOKUPS!$K$2:$L$9,2,FALSE),"UNK")&amp;"_"&amp;IFERROR(VLOOKUP(C48,LOOKUPS!$N$2:$O$10,2,FALSE),"UNK")&amp;"_"&amp;UPPER(L48))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IF(B49="","","AB"&amp;"_"&amp;IFERROR(VLOOKUP(B49,LOOKUPS!$K$2:$L$9,2,FALSE),"UNK")&amp;"_"&amp;IFERROR(VLOOKUP(C49,LOOKUPS!$N$2:$O$10,2,FALSE),"UNK")&amp;"_"&amp;UPPER(L49))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IF(B50="","","AB"&amp;"_"&amp;IFERROR(VLOOKUP(B50,LOOKUPS!$K$2:$L$9,2,FALSE),"UNK")&amp;"_"&amp;IFERROR(VLOOKUP(C50,LOOKUPS!$N$2:$O$10,2,FALSE),"UNK")&amp;"_"&amp;UPPER(L50))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IF(B51="","","AB"&amp;"_"&amp;IFERROR(VLOOKUP(B51,LOOKUPS!$K$2:$L$9,2,FALSE),"UNK")&amp;"_"&amp;IFERROR(VLOOKUP(C51,LOOKUPS!$N$2:$O$10,2,FALSE),"UNK")&amp;"_"&amp;UPPER(L51))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 type="list" allowBlank="1" showDropDown="1" xr:uid="{00000000-0002-0000-0300-000000000000}">
          <x14:formula1>
            <xm:f>LOOKUPS!$A$2:$A$9</xm:f>
          </x14:formula1>
          <xm:sqref>B170:B1000</xm:sqref>
        </x14:dataValidation>
        <x14:dataValidation type="list" allowBlank="1" xr:uid="{4434F220-3CBF-48CB-B993-6A17BED391F4}">
          <x14:formula1>
            <xm:f>LOOKUPS!$A$2:$A$9</xm:f>
          </x14:formula1>
          <xm:sqref>B2:B169</xm:sqref>
        </x14:dataValidation>
        <x14:dataValidation type="list" allowBlank="1" showDropDown="1" xr:uid="{00000000-0002-0000-0300-000001000000}">
          <x14:formula1>
            <xm:f>LOOKUPS!$C$2:$C$10</xm:f>
          </x14:formula1>
          <xm:sqref>C170:C1000</xm:sqref>
        </x14:dataValidation>
        <x14:dataValidation type="list" allowBlank="1" xr:uid="{884C0F39-2BFC-401B-A2BE-C29392A44013}">
          <x14:formula1>
            <xm:f>LOOKUPS!$C$2:$C$10</xm:f>
          </x14:formula1>
          <xm:sqref>C2:C169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abSelected="1" topLeftCell="O1" workbookViewId="0">
      <pane ySplit="1" topLeftCell="A23" activePane="bottomLeft" state="frozen"/>
      <selection pane="bottomLeft" activeCell="R27" sqref="R27"/>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5" style="6" customWidth="1"/>
    <col min="16" max="16" width="11.88671875" style="6" customWidth="1"/>
    <col min="17" max="17" width="28" style="6" customWidth="1"/>
    <col min="18" max="18" width="18" style="6" customWidth="1"/>
    <col min="19" max="19" width="18.88671875" style="6" customWidth="1"/>
    <col min="20" max="20" width="28" style="6" customWidth="1"/>
    <col min="21" max="21" width="18" style="6" customWidth="1"/>
    <col min="22" max="22" width="18.88671875" style="6" customWidth="1"/>
    <col min="23" max="23" width="28" style="6" customWidth="1"/>
    <col min="24" max="24" width="18" style="6" customWidth="1"/>
    <col min="25" max="25" width="18.88671875" style="6" customWidth="1"/>
    <col min="26" max="26" width="28" style="6" customWidth="1"/>
    <col min="27" max="27" width="18" style="6" customWidth="1"/>
    <col min="28" max="28" width="18.88671875" style="6" customWidth="1"/>
    <col min="29" max="29" width="28" style="6" customWidth="1"/>
    <col min="30" max="30" width="18" style="6" customWidth="1"/>
    <col min="31" max="31" width="18.88671875" style="6" customWidth="1"/>
    <col min="32" max="32" width="27.33203125" style="6" customWidth="1"/>
    <col min="33" max="33" width="45" style="6" customWidth="1"/>
    <col min="34" max="16384" width="8.88671875" style="6"/>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125</v>
      </c>
      <c r="J2" s="3" t="s">
        <v>126</v>
      </c>
      <c r="K2" s="3">
        <v>1</v>
      </c>
      <c r="L2" s="3" t="s">
        <v>127</v>
      </c>
      <c r="M2" s="3" t="str">
        <f>IF(B2="","","LIST"&amp;"_"&amp;IFERROR(VLOOKUP(B2,LOOKUPS!$K$2:$L$9,2,FALSE),"UNK")&amp;"_"&amp;IFERROR(VLOOKUP(C2,LOOKUPS!$N$2:$O$10,2,FALSE),"UNK")&amp;"_"&amp;UPPER(L2))</f>
        <v>LIST_ITNIC_REQ_EIS</v>
      </c>
      <c r="N2" s="3">
        <f>IF(M2="","",COUNTIF($M$2:M2,M2))</f>
        <v>1</v>
      </c>
      <c r="O2" s="3" t="s">
        <v>142</v>
      </c>
      <c r="P2" s="3">
        <v>4</v>
      </c>
      <c r="Q2" s="3" t="s">
        <v>143</v>
      </c>
      <c r="R2" s="3">
        <v>1000000</v>
      </c>
      <c r="S2" s="3" t="s">
        <v>17</v>
      </c>
      <c r="T2" s="3" t="s">
        <v>144</v>
      </c>
      <c r="U2" s="9">
        <v>0.3</v>
      </c>
      <c r="V2" s="3" t="s">
        <v>17</v>
      </c>
      <c r="W2" s="3" t="s">
        <v>145</v>
      </c>
      <c r="X2" s="3">
        <v>200000</v>
      </c>
      <c r="Y2" s="3" t="s">
        <v>17</v>
      </c>
      <c r="Z2" s="3" t="s">
        <v>146</v>
      </c>
      <c r="AA2" s="3">
        <v>0.5</v>
      </c>
      <c r="AB2" s="3" t="s">
        <v>17</v>
      </c>
      <c r="AC2" s="3"/>
      <c r="AD2" s="3"/>
      <c r="AE2" s="3"/>
      <c r="AF2" s="3" t="s">
        <v>17</v>
      </c>
      <c r="AG2" s="3" t="s">
        <v>147</v>
      </c>
    </row>
    <row r="3" spans="1:33" ht="86.4" x14ac:dyDescent="0.3">
      <c r="A3" s="3" t="str">
        <f t="shared" si="0"/>
        <v>LIST_ITNIC_REQ_EIS_002</v>
      </c>
      <c r="B3" s="3" t="s">
        <v>21</v>
      </c>
      <c r="C3" s="3" t="s">
        <v>22</v>
      </c>
      <c r="D3" s="3" t="s">
        <v>118</v>
      </c>
      <c r="E3" s="3" t="s">
        <v>31</v>
      </c>
      <c r="F3" s="3">
        <v>3</v>
      </c>
      <c r="G3" s="3" t="s">
        <v>16</v>
      </c>
      <c r="H3" s="3" t="s">
        <v>17</v>
      </c>
      <c r="I3" s="3" t="s">
        <v>125</v>
      </c>
      <c r="J3" s="3" t="s">
        <v>126</v>
      </c>
      <c r="K3" s="3">
        <v>1</v>
      </c>
      <c r="L3" s="3" t="s">
        <v>127</v>
      </c>
      <c r="M3" s="3" t="str">
        <f>IF(B3="","","LIST"&amp;"_"&amp;IFERROR(VLOOKUP(B3,LOOKUPS!$K$2:$L$9,2,FALSE),"UNK")&amp;"_"&amp;IFERROR(VLOOKUP(C3,LOOKUPS!$N$2:$O$10,2,FALSE),"UNK")&amp;"_"&amp;UPPER(L3))</f>
        <v>LIST_ITNIC_REQ_EIS</v>
      </c>
      <c r="N3" s="3">
        <f>IF(M3="","",COUNTIF($M$2:M3,M3))</f>
        <v>2</v>
      </c>
      <c r="O3" s="3" t="s">
        <v>148</v>
      </c>
      <c r="P3" s="3">
        <v>3</v>
      </c>
      <c r="Q3" s="3" t="s">
        <v>149</v>
      </c>
      <c r="R3" s="3">
        <v>1</v>
      </c>
      <c r="S3" s="3" t="s">
        <v>17</v>
      </c>
      <c r="T3" s="3" t="s">
        <v>150</v>
      </c>
      <c r="U3" s="3">
        <v>3</v>
      </c>
      <c r="V3" s="3" t="s">
        <v>17</v>
      </c>
      <c r="W3" s="3" t="s">
        <v>151</v>
      </c>
      <c r="X3" s="3" t="s">
        <v>152</v>
      </c>
      <c r="Y3" s="3" t="s">
        <v>17</v>
      </c>
      <c r="Z3" s="3"/>
      <c r="AA3" s="3"/>
      <c r="AB3" s="3"/>
      <c r="AC3" s="3"/>
      <c r="AD3" s="3"/>
      <c r="AE3" s="3"/>
      <c r="AF3" s="3" t="s">
        <v>17</v>
      </c>
      <c r="AG3" s="3" t="s">
        <v>802</v>
      </c>
    </row>
    <row r="4" spans="1:33" ht="72" x14ac:dyDescent="0.3">
      <c r="A4" s="3" t="str">
        <f t="shared" si="0"/>
        <v>LIST_ITNIC_REQ_PSC_001</v>
      </c>
      <c r="B4" s="3" t="s">
        <v>21</v>
      </c>
      <c r="C4" s="3" t="s">
        <v>22</v>
      </c>
      <c r="D4" s="3" t="s">
        <v>157</v>
      </c>
      <c r="E4" s="3" t="s">
        <v>31</v>
      </c>
      <c r="F4" s="3">
        <v>3</v>
      </c>
      <c r="G4" s="3" t="s">
        <v>16</v>
      </c>
      <c r="H4" s="3" t="s">
        <v>17</v>
      </c>
      <c r="I4" s="3" t="s">
        <v>167</v>
      </c>
      <c r="J4" s="3" t="s">
        <v>126</v>
      </c>
      <c r="K4" s="3">
        <v>1</v>
      </c>
      <c r="L4" s="3" t="s">
        <v>159</v>
      </c>
      <c r="M4" s="3" t="str">
        <f>IF(B4="","","LIST"&amp;"_"&amp;IFERROR(VLOOKUP(B4,LOOKUPS!$K$2:$L$9,2,FALSE),"UNK")&amp;"_"&amp;IFERROR(VLOOKUP(C4,LOOKUPS!$N$2:$O$10,2,FALSE),"UNK")&amp;"_"&amp;UPPER(L4))</f>
        <v>LIST_ITNIC_REQ_PSC</v>
      </c>
      <c r="N4" s="3">
        <f>IF(M4="","",COUNTIF($M$2:M4,M4))</f>
        <v>1</v>
      </c>
      <c r="O4" s="3" t="s">
        <v>175</v>
      </c>
      <c r="P4" s="3">
        <v>5</v>
      </c>
      <c r="Q4" s="3" t="s">
        <v>176</v>
      </c>
      <c r="R4" s="3" t="s">
        <v>177</v>
      </c>
      <c r="S4" s="3" t="s">
        <v>17</v>
      </c>
      <c r="T4" s="3" t="s">
        <v>178</v>
      </c>
      <c r="U4" s="3" t="s">
        <v>179</v>
      </c>
      <c r="V4" s="3" t="s">
        <v>17</v>
      </c>
      <c r="W4" s="3" t="s">
        <v>180</v>
      </c>
      <c r="X4" s="3" t="s">
        <v>181</v>
      </c>
      <c r="Y4" s="3" t="s">
        <v>17</v>
      </c>
      <c r="Z4" s="3" t="s">
        <v>182</v>
      </c>
      <c r="AA4" s="3" t="s">
        <v>183</v>
      </c>
      <c r="AB4" s="3" t="s">
        <v>17</v>
      </c>
      <c r="AC4" s="3" t="s">
        <v>184</v>
      </c>
      <c r="AD4" s="3" t="s">
        <v>185</v>
      </c>
      <c r="AE4" s="3" t="s">
        <v>17</v>
      </c>
      <c r="AF4" s="3" t="s">
        <v>17</v>
      </c>
      <c r="AG4" s="3" t="s">
        <v>803</v>
      </c>
    </row>
    <row r="5" spans="1:33" ht="100.8" x14ac:dyDescent="0.3">
      <c r="A5" s="3" t="str">
        <f t="shared" si="0"/>
        <v>LIST_ITNIC_REQ_PSC_002</v>
      </c>
      <c r="B5" s="3" t="s">
        <v>21</v>
      </c>
      <c r="C5" s="3" t="s">
        <v>22</v>
      </c>
      <c r="D5" s="3" t="s">
        <v>157</v>
      </c>
      <c r="E5" s="3" t="s">
        <v>31</v>
      </c>
      <c r="F5" s="3">
        <v>3</v>
      </c>
      <c r="G5" s="3" t="s">
        <v>16</v>
      </c>
      <c r="H5" s="3" t="s">
        <v>17</v>
      </c>
      <c r="I5" s="3" t="s">
        <v>186</v>
      </c>
      <c r="J5" s="3" t="s">
        <v>126</v>
      </c>
      <c r="K5" s="3">
        <v>1</v>
      </c>
      <c r="L5" s="3" t="s">
        <v>159</v>
      </c>
      <c r="M5" s="3" t="str">
        <f>IF(B5="","","LIST"&amp;"_"&amp;IFERROR(VLOOKUP(B5,LOOKUPS!$K$2:$L$9,2,FALSE),"UNK")&amp;"_"&amp;IFERROR(VLOOKUP(C5,LOOKUPS!$N$2:$O$10,2,FALSE),"UNK")&amp;"_"&amp;UPPER(L5))</f>
        <v>LIST_ITNIC_REQ_PSC</v>
      </c>
      <c r="N5" s="3">
        <f>IF(M5="","",COUNTIF($M$2:M5,M5))</f>
        <v>2</v>
      </c>
      <c r="O5" s="3" t="s">
        <v>187</v>
      </c>
      <c r="P5" s="3">
        <v>4</v>
      </c>
      <c r="Q5" s="3" t="s">
        <v>188</v>
      </c>
      <c r="R5" s="3" t="s">
        <v>189</v>
      </c>
      <c r="S5" s="3" t="s">
        <v>17</v>
      </c>
      <c r="T5" s="3" t="s">
        <v>190</v>
      </c>
      <c r="U5" s="3" t="s">
        <v>191</v>
      </c>
      <c r="V5" s="3" t="s">
        <v>17</v>
      </c>
      <c r="W5" s="3" t="s">
        <v>192</v>
      </c>
      <c r="X5" s="3">
        <v>45</v>
      </c>
      <c r="Y5" s="3" t="s">
        <v>17</v>
      </c>
      <c r="Z5" s="3" t="s">
        <v>193</v>
      </c>
      <c r="AA5" s="3" t="s">
        <v>194</v>
      </c>
      <c r="AB5" s="3" t="s">
        <v>17</v>
      </c>
      <c r="AC5" s="3"/>
      <c r="AD5" s="3"/>
      <c r="AE5" s="3"/>
      <c r="AF5" s="3" t="s">
        <v>17</v>
      </c>
      <c r="AG5" s="3" t="s">
        <v>804</v>
      </c>
    </row>
    <row r="6" spans="1:33" ht="57.6" x14ac:dyDescent="0.3">
      <c r="A6" s="3" t="str">
        <f t="shared" si="0"/>
        <v>LIST_ITNIC_REQ_SHS_001</v>
      </c>
      <c r="B6" s="6" t="s">
        <v>21</v>
      </c>
      <c r="C6" s="6" t="s">
        <v>22</v>
      </c>
      <c r="D6" s="6" t="s">
        <v>354</v>
      </c>
      <c r="E6" s="6" t="s">
        <v>31</v>
      </c>
      <c r="F6" s="6">
        <v>3</v>
      </c>
      <c r="G6" s="6" t="s">
        <v>16</v>
      </c>
      <c r="H6" s="6" t="s">
        <v>17</v>
      </c>
      <c r="I6" s="6" t="s">
        <v>244</v>
      </c>
      <c r="J6" s="6" t="s">
        <v>126</v>
      </c>
      <c r="K6" s="6">
        <v>1</v>
      </c>
      <c r="L6" s="6" t="s">
        <v>201</v>
      </c>
      <c r="M6" s="3" t="str">
        <f>IF(B6="","","LIST"&amp;"_"&amp;IFERROR(VLOOKUP(B6,LOOKUPS!$K$2:$L$9,2,FALSE),"UNK")&amp;"_"&amp;IFERROR(VLOOKUP(C6,LOOKUPS!$N$2:$O$10,2,FALSE),"UNK")&amp;"_"&amp;UPPER(L6))</f>
        <v>LIST_ITNIC_REQ_SHS</v>
      </c>
      <c r="N6" s="3">
        <f>IF(M6="","",COUNTIF($M$2:M6,M6))</f>
        <v>1</v>
      </c>
      <c r="O6" s="6" t="s">
        <v>245</v>
      </c>
      <c r="P6" s="6">
        <v>3</v>
      </c>
      <c r="Q6" s="6" t="s">
        <v>246</v>
      </c>
      <c r="R6" s="6" t="s">
        <v>247</v>
      </c>
      <c r="S6" s="3" t="s">
        <v>17</v>
      </c>
      <c r="T6" s="6" t="s">
        <v>248</v>
      </c>
      <c r="U6" s="6" t="s">
        <v>249</v>
      </c>
      <c r="V6" s="3" t="s">
        <v>17</v>
      </c>
      <c r="W6" s="6" t="s">
        <v>250</v>
      </c>
      <c r="X6" s="6" t="s">
        <v>251</v>
      </c>
      <c r="Y6" s="3" t="s">
        <v>17</v>
      </c>
      <c r="AF6" s="6" t="s">
        <v>17</v>
      </c>
      <c r="AG6" s="6" t="s">
        <v>252</v>
      </c>
    </row>
    <row r="7" spans="1:33" ht="100.8" x14ac:dyDescent="0.3">
      <c r="A7" s="3" t="str">
        <f t="shared" si="0"/>
        <v>LIST_ITNIC_REQ_SHS_002</v>
      </c>
      <c r="B7" s="3" t="s">
        <v>21</v>
      </c>
      <c r="C7" s="3" t="s">
        <v>22</v>
      </c>
      <c r="D7" s="6" t="s">
        <v>354</v>
      </c>
      <c r="E7" s="3" t="s">
        <v>31</v>
      </c>
      <c r="F7" s="3">
        <v>3</v>
      </c>
      <c r="G7" s="3" t="s">
        <v>16</v>
      </c>
      <c r="H7" s="3" t="s">
        <v>17</v>
      </c>
      <c r="I7" s="3" t="s">
        <v>212</v>
      </c>
      <c r="J7" s="3" t="s">
        <v>126</v>
      </c>
      <c r="K7" s="3">
        <v>1</v>
      </c>
      <c r="L7" s="3" t="s">
        <v>201</v>
      </c>
      <c r="M7" s="3" t="str">
        <f>IF(B7="","","LIST"&amp;"_"&amp;IFERROR(VLOOKUP(B7,LOOKUPS!$K$2:$L$9,2,FALSE),"UNK")&amp;"_"&amp;IFERROR(VLOOKUP(C7,LOOKUPS!$N$2:$O$10,2,FALSE),"UNK")&amp;"_"&amp;UPPER(L7))</f>
        <v>LIST_ITNIC_REQ_SHS</v>
      </c>
      <c r="N7" s="3">
        <f>IF(M7="","",COUNTIF($M$2:M7,M7))</f>
        <v>2</v>
      </c>
      <c r="O7" s="3" t="s">
        <v>753</v>
      </c>
      <c r="P7" s="3">
        <v>5</v>
      </c>
      <c r="Q7" s="3" t="s">
        <v>213</v>
      </c>
      <c r="R7" s="3">
        <v>60000</v>
      </c>
      <c r="S7" s="3" t="s">
        <v>17</v>
      </c>
      <c r="T7" s="3" t="s">
        <v>214</v>
      </c>
      <c r="U7" s="3">
        <v>3</v>
      </c>
      <c r="V7" s="3" t="s">
        <v>17</v>
      </c>
      <c r="W7" s="3" t="s">
        <v>215</v>
      </c>
      <c r="X7" s="3">
        <v>10</v>
      </c>
      <c r="Y7" s="3" t="s">
        <v>17</v>
      </c>
      <c r="Z7" s="3" t="s">
        <v>216</v>
      </c>
      <c r="AA7" s="3">
        <v>250000</v>
      </c>
      <c r="AB7" s="3" t="s">
        <v>17</v>
      </c>
      <c r="AC7" s="3" t="s">
        <v>217</v>
      </c>
      <c r="AD7" s="3">
        <v>3000000</v>
      </c>
      <c r="AE7" s="3" t="s">
        <v>17</v>
      </c>
      <c r="AF7" s="3" t="s">
        <v>17</v>
      </c>
      <c r="AG7" s="3" t="s">
        <v>805</v>
      </c>
    </row>
    <row r="8" spans="1:33" ht="115.2" x14ac:dyDescent="0.3">
      <c r="A8" s="3" t="str">
        <f t="shared" si="0"/>
        <v>LIST_ITNIC_REQ_SHS_003</v>
      </c>
      <c r="B8" s="3" t="s">
        <v>21</v>
      </c>
      <c r="C8" s="3" t="s">
        <v>22</v>
      </c>
      <c r="D8" s="6" t="s">
        <v>354</v>
      </c>
      <c r="E8" s="3" t="s">
        <v>31</v>
      </c>
      <c r="F8" s="3">
        <v>3</v>
      </c>
      <c r="G8" s="3" t="s">
        <v>16</v>
      </c>
      <c r="H8" s="3" t="s">
        <v>17</v>
      </c>
      <c r="I8" s="3" t="s">
        <v>218</v>
      </c>
      <c r="J8" s="3" t="s">
        <v>126</v>
      </c>
      <c r="K8" s="3">
        <v>1</v>
      </c>
      <c r="L8" s="3" t="s">
        <v>201</v>
      </c>
      <c r="M8" s="3" t="str">
        <f>IF(B8="","","LIST"&amp;"_"&amp;IFERROR(VLOOKUP(B8,LOOKUPS!$K$2:$L$9,2,FALSE),"UNK")&amp;"_"&amp;IFERROR(VLOOKUP(C8,LOOKUPS!$N$2:$O$10,2,FALSE),"UNK")&amp;"_"&amp;UPPER(L8))</f>
        <v>LIST_ITNIC_REQ_SHS</v>
      </c>
      <c r="N8" s="3">
        <f>IF(M8="","",COUNTIF($M$2:M8,M8))</f>
        <v>3</v>
      </c>
      <c r="O8" s="3" t="s">
        <v>774</v>
      </c>
      <c r="P8" s="3">
        <v>5</v>
      </c>
      <c r="Q8" s="3" t="s">
        <v>219</v>
      </c>
      <c r="R8" s="3">
        <v>5</v>
      </c>
      <c r="S8" s="3" t="s">
        <v>17</v>
      </c>
      <c r="T8" s="3" t="s">
        <v>220</v>
      </c>
      <c r="U8" s="3">
        <v>3</v>
      </c>
      <c r="V8" s="3" t="s">
        <v>17</v>
      </c>
      <c r="W8" s="3" t="s">
        <v>221</v>
      </c>
      <c r="X8" s="3" t="s">
        <v>222</v>
      </c>
      <c r="Y8" s="3" t="s">
        <v>17</v>
      </c>
      <c r="Z8" s="3" t="s">
        <v>223</v>
      </c>
      <c r="AA8" s="3">
        <v>3</v>
      </c>
      <c r="AB8" s="3" t="s">
        <v>17</v>
      </c>
      <c r="AC8" s="3" t="s">
        <v>224</v>
      </c>
      <c r="AD8" s="3">
        <v>5</v>
      </c>
      <c r="AE8" s="3" t="s">
        <v>17</v>
      </c>
      <c r="AF8" s="3" t="s">
        <v>17</v>
      </c>
      <c r="AG8" s="3" t="s">
        <v>806</v>
      </c>
    </row>
    <row r="9" spans="1:33" ht="43.2" x14ac:dyDescent="0.3">
      <c r="A9" s="3" t="str">
        <f t="shared" si="0"/>
        <v>LIST_CGT_REQ_SPLITYR_001</v>
      </c>
      <c r="B9" s="6" t="s">
        <v>28</v>
      </c>
      <c r="C9" s="6" t="s">
        <v>22</v>
      </c>
      <c r="D9" s="6" t="s">
        <v>430</v>
      </c>
      <c r="E9" s="6" t="s">
        <v>31</v>
      </c>
      <c r="F9" s="6">
        <v>3</v>
      </c>
      <c r="G9" s="6" t="s">
        <v>16</v>
      </c>
      <c r="H9" s="6" t="s">
        <v>17</v>
      </c>
      <c r="I9" s="6" t="s">
        <v>431</v>
      </c>
      <c r="J9" s="6" t="s">
        <v>432</v>
      </c>
      <c r="K9" s="6">
        <v>1</v>
      </c>
      <c r="L9" s="6" t="s">
        <v>433</v>
      </c>
      <c r="M9" s="3" t="str">
        <f>IF(B9="","","LIST"&amp;"_"&amp;IFERROR(VLOOKUP(B9,LOOKUPS!$K$2:$L$9,2,FALSE),"UNK")&amp;"_"&amp;IFERROR(VLOOKUP(C9,LOOKUPS!$N$2:$O$10,2,FALSE),"UNK")&amp;"_"&amp;UPPER(L9))</f>
        <v>LIST_CGT_REQ_SPLITYR</v>
      </c>
      <c r="N9" s="3">
        <f>IF(M9="","",COUNTIF($M$2:M9,M9))</f>
        <v>1</v>
      </c>
      <c r="O9" s="6" t="s">
        <v>434</v>
      </c>
      <c r="P9" s="6">
        <v>2</v>
      </c>
      <c r="Q9" s="6" t="s">
        <v>435</v>
      </c>
      <c r="R9" s="6" t="s">
        <v>436</v>
      </c>
      <c r="S9" s="3" t="s">
        <v>17</v>
      </c>
      <c r="T9" s="6" t="s">
        <v>437</v>
      </c>
      <c r="U9" s="6" t="s">
        <v>438</v>
      </c>
      <c r="V9" s="3" t="s">
        <v>17</v>
      </c>
      <c r="AF9" s="6" t="s">
        <v>17</v>
      </c>
      <c r="AG9" s="6" t="s">
        <v>439</v>
      </c>
    </row>
    <row r="10" spans="1:33" ht="43.2" x14ac:dyDescent="0.3">
      <c r="A10" s="3" t="str">
        <f t="shared" si="0"/>
        <v>LIST_CGT_REQ_SPLITYR_002</v>
      </c>
      <c r="B10" s="6" t="s">
        <v>28</v>
      </c>
      <c r="C10" s="6" t="s">
        <v>22</v>
      </c>
      <c r="D10" s="6" t="s">
        <v>430</v>
      </c>
      <c r="E10" s="6" t="s">
        <v>31</v>
      </c>
      <c r="F10" s="6">
        <v>3</v>
      </c>
      <c r="G10" s="6" t="s">
        <v>16</v>
      </c>
      <c r="H10" s="6" t="s">
        <v>17</v>
      </c>
      <c r="I10" s="6" t="s">
        <v>440</v>
      </c>
      <c r="J10" s="6" t="s">
        <v>432</v>
      </c>
      <c r="K10" s="6">
        <v>1</v>
      </c>
      <c r="L10" s="6" t="s">
        <v>433</v>
      </c>
      <c r="M10" s="3" t="str">
        <f>IF(B10="","","LIST"&amp;"_"&amp;IFERROR(VLOOKUP(B10,LOOKUPS!$K$2:$L$9,2,FALSE),"UNK")&amp;"_"&amp;IFERROR(VLOOKUP(C10,LOOKUPS!$N$2:$O$10,2,FALSE),"UNK")&amp;"_"&amp;UPPER(L10))</f>
        <v>LIST_CGT_REQ_SPLITYR</v>
      </c>
      <c r="N10" s="3">
        <f>IF(M10="","",COUNTIF($M$2:M10,M10))</f>
        <v>2</v>
      </c>
      <c r="O10" s="6" t="s">
        <v>441</v>
      </c>
      <c r="P10" s="6">
        <v>2</v>
      </c>
      <c r="Q10" s="6" t="s">
        <v>442</v>
      </c>
      <c r="R10" s="6" t="s">
        <v>443</v>
      </c>
      <c r="S10" s="3" t="s">
        <v>17</v>
      </c>
      <c r="T10" s="6" t="s">
        <v>444</v>
      </c>
      <c r="U10" s="6" t="s">
        <v>445</v>
      </c>
      <c r="V10" s="3" t="s">
        <v>17</v>
      </c>
      <c r="AF10" s="6" t="s">
        <v>17</v>
      </c>
      <c r="AG10" s="6" t="s">
        <v>446</v>
      </c>
    </row>
    <row r="11" spans="1:33" ht="57.6" x14ac:dyDescent="0.3">
      <c r="A11" s="3" t="str">
        <f t="shared" si="0"/>
        <v>LIST_CGT_REQ_SPLITYR_003</v>
      </c>
      <c r="B11" s="6" t="s">
        <v>28</v>
      </c>
      <c r="C11" s="6" t="s">
        <v>22</v>
      </c>
      <c r="D11" s="6" t="s">
        <v>430</v>
      </c>
      <c r="E11" s="6" t="s">
        <v>31</v>
      </c>
      <c r="F11" s="6">
        <v>3</v>
      </c>
      <c r="G11" s="6" t="s">
        <v>16</v>
      </c>
      <c r="H11" s="6" t="s">
        <v>17</v>
      </c>
      <c r="I11" s="6" t="s">
        <v>447</v>
      </c>
      <c r="J11" s="6" t="s">
        <v>432</v>
      </c>
      <c r="K11" s="6">
        <v>1</v>
      </c>
      <c r="L11" s="6" t="s">
        <v>433</v>
      </c>
      <c r="M11" s="3" t="str">
        <f>IF(B11="","","LIST"&amp;"_"&amp;IFERROR(VLOOKUP(B11,LOOKUPS!$K$2:$L$9,2,FALSE),"UNK")&amp;"_"&amp;IFERROR(VLOOKUP(C11,LOOKUPS!$N$2:$O$10,2,FALSE),"UNK")&amp;"_"&amp;UPPER(L11))</f>
        <v>LIST_CGT_REQ_SPLITYR</v>
      </c>
      <c r="N11" s="3">
        <f>IF(M11="","",COUNTIF($M$2:M11,M11))</f>
        <v>3</v>
      </c>
      <c r="O11" s="6" t="s">
        <v>808</v>
      </c>
      <c r="P11" s="6">
        <v>3</v>
      </c>
      <c r="Q11" s="6" t="s">
        <v>448</v>
      </c>
      <c r="R11" s="6" t="s">
        <v>383</v>
      </c>
      <c r="S11" s="3" t="s">
        <v>17</v>
      </c>
      <c r="T11" s="6" t="s">
        <v>449</v>
      </c>
      <c r="U11" s="6" t="s">
        <v>450</v>
      </c>
      <c r="V11" s="3" t="s">
        <v>17</v>
      </c>
      <c r="W11" s="6" t="s">
        <v>451</v>
      </c>
      <c r="X11" s="6" t="s">
        <v>452</v>
      </c>
      <c r="Y11" s="6" t="s">
        <v>17</v>
      </c>
      <c r="AF11" s="6" t="s">
        <v>17</v>
      </c>
      <c r="AG11" s="6" t="s">
        <v>453</v>
      </c>
    </row>
    <row r="12" spans="1:33" ht="57.6" x14ac:dyDescent="0.3">
      <c r="A12" s="3" t="str">
        <f t="shared" si="0"/>
        <v>LIST_CGT_REQ_SPLITYR_004</v>
      </c>
      <c r="B12" s="6" t="s">
        <v>28</v>
      </c>
      <c r="C12" s="6" t="s">
        <v>22</v>
      </c>
      <c r="D12" s="6" t="s">
        <v>430</v>
      </c>
      <c r="E12" s="6" t="s">
        <v>31</v>
      </c>
      <c r="F12" s="6">
        <v>3</v>
      </c>
      <c r="G12" s="6" t="s">
        <v>16</v>
      </c>
      <c r="H12" s="6" t="s">
        <v>17</v>
      </c>
      <c r="I12" s="6" t="s">
        <v>454</v>
      </c>
      <c r="J12" s="6" t="s">
        <v>432</v>
      </c>
      <c r="K12" s="6">
        <v>1</v>
      </c>
      <c r="L12" s="6" t="s">
        <v>433</v>
      </c>
      <c r="M12" s="3" t="str">
        <f>IF(B12="","","LIST"&amp;"_"&amp;IFERROR(VLOOKUP(B12,LOOKUPS!$K$2:$L$9,2,FALSE),"UNK")&amp;"_"&amp;IFERROR(VLOOKUP(C12,LOOKUPS!$N$2:$O$10,2,FALSE),"UNK")&amp;"_"&amp;UPPER(L12))</f>
        <v>LIST_CGT_REQ_SPLITYR</v>
      </c>
      <c r="N12" s="3">
        <f>IF(M12="","",COUNTIF($M$2:M12,M12))</f>
        <v>4</v>
      </c>
      <c r="O12" s="6" t="s">
        <v>455</v>
      </c>
      <c r="P12" s="6">
        <v>2</v>
      </c>
      <c r="Q12" s="6" t="s">
        <v>456</v>
      </c>
      <c r="R12" s="6" t="s">
        <v>457</v>
      </c>
      <c r="S12" s="3" t="s">
        <v>17</v>
      </c>
      <c r="T12" s="6" t="s">
        <v>458</v>
      </c>
      <c r="U12" s="6" t="s">
        <v>459</v>
      </c>
      <c r="V12" s="3" t="s">
        <v>17</v>
      </c>
      <c r="AF12" s="6" t="s">
        <v>17</v>
      </c>
      <c r="AG12" s="6" t="s">
        <v>460</v>
      </c>
    </row>
    <row r="13" spans="1:33" ht="43.2" x14ac:dyDescent="0.3">
      <c r="A13" s="3" t="str">
        <f t="shared" si="0"/>
        <v>LIST_CGT_REQ_SPLITYR_005</v>
      </c>
      <c r="B13" s="6" t="s">
        <v>28</v>
      </c>
      <c r="C13" s="6" t="s">
        <v>22</v>
      </c>
      <c r="D13" s="6" t="s">
        <v>430</v>
      </c>
      <c r="E13" s="6" t="s">
        <v>31</v>
      </c>
      <c r="F13" s="6">
        <v>3</v>
      </c>
      <c r="G13" s="6" t="s">
        <v>16</v>
      </c>
      <c r="H13" s="6" t="s">
        <v>17</v>
      </c>
      <c r="I13" s="6" t="s">
        <v>461</v>
      </c>
      <c r="J13" s="6" t="s">
        <v>432</v>
      </c>
      <c r="K13" s="6">
        <v>1</v>
      </c>
      <c r="L13" s="6" t="s">
        <v>433</v>
      </c>
      <c r="M13" s="3" t="str">
        <f>IF(B13="","","LIST"&amp;"_"&amp;IFERROR(VLOOKUP(B13,LOOKUPS!$K$2:$L$9,2,FALSE),"UNK")&amp;"_"&amp;IFERROR(VLOOKUP(C13,LOOKUPS!$N$2:$O$10,2,FALSE),"UNK")&amp;"_"&amp;UPPER(L13))</f>
        <v>LIST_CGT_REQ_SPLITYR</v>
      </c>
      <c r="N13" s="3">
        <f>IF(M13="","",COUNTIF($M$2:M13,M13))</f>
        <v>5</v>
      </c>
      <c r="O13" s="6" t="s">
        <v>462</v>
      </c>
      <c r="P13" s="6">
        <v>2</v>
      </c>
      <c r="Q13" s="6" t="s">
        <v>463</v>
      </c>
      <c r="R13" s="6" t="s">
        <v>443</v>
      </c>
      <c r="S13" s="3" t="s">
        <v>17</v>
      </c>
      <c r="T13" s="6" t="s">
        <v>464</v>
      </c>
      <c r="U13" s="6" t="s">
        <v>465</v>
      </c>
      <c r="V13" s="3" t="s">
        <v>17</v>
      </c>
      <c r="AF13" s="6" t="s">
        <v>17</v>
      </c>
      <c r="AG13" s="6" t="s">
        <v>466</v>
      </c>
    </row>
    <row r="14" spans="1:33" ht="43.2" x14ac:dyDescent="0.3">
      <c r="A14" s="3" t="str">
        <f t="shared" si="0"/>
        <v>LIST_CGT_REQ_SPLITYR_006</v>
      </c>
      <c r="B14" s="6" t="s">
        <v>28</v>
      </c>
      <c r="C14" s="6" t="s">
        <v>22</v>
      </c>
      <c r="D14" s="6" t="s">
        <v>430</v>
      </c>
      <c r="E14" s="6" t="s">
        <v>31</v>
      </c>
      <c r="F14" s="6">
        <v>3</v>
      </c>
      <c r="G14" s="6" t="s">
        <v>16</v>
      </c>
      <c r="H14" s="6" t="s">
        <v>17</v>
      </c>
      <c r="I14" s="6" t="s">
        <v>467</v>
      </c>
      <c r="J14" s="6" t="s">
        <v>432</v>
      </c>
      <c r="K14" s="6">
        <v>1</v>
      </c>
      <c r="L14" s="6" t="s">
        <v>433</v>
      </c>
      <c r="M14" s="3" t="str">
        <f>IF(B14="","","LIST"&amp;"_"&amp;IFERROR(VLOOKUP(B14,LOOKUPS!$K$2:$L$9,2,FALSE),"UNK")&amp;"_"&amp;IFERROR(VLOOKUP(C14,LOOKUPS!$N$2:$O$10,2,FALSE),"UNK")&amp;"_"&amp;UPPER(L14))</f>
        <v>LIST_CGT_REQ_SPLITYR</v>
      </c>
      <c r="N14" s="3">
        <f>IF(M14="","",COUNTIF($M$2:M14,M14))</f>
        <v>6</v>
      </c>
      <c r="O14" s="6" t="s">
        <v>468</v>
      </c>
      <c r="P14" s="6">
        <v>2</v>
      </c>
      <c r="Q14" s="6" t="s">
        <v>469</v>
      </c>
      <c r="R14" s="6" t="s">
        <v>470</v>
      </c>
      <c r="S14" s="3" t="s">
        <v>17</v>
      </c>
      <c r="T14" s="6" t="s">
        <v>471</v>
      </c>
      <c r="U14" s="6" t="s">
        <v>443</v>
      </c>
      <c r="V14" s="3" t="s">
        <v>17</v>
      </c>
      <c r="AF14" s="6" t="s">
        <v>17</v>
      </c>
      <c r="AG14" s="6" t="s">
        <v>472</v>
      </c>
    </row>
    <row r="15" spans="1:33" ht="43.2" x14ac:dyDescent="0.3">
      <c r="A15" s="3" t="str">
        <f t="shared" si="0"/>
        <v>LIST_CGT_REQ_RESDOM_001</v>
      </c>
      <c r="B15" s="6" t="s">
        <v>28</v>
      </c>
      <c r="C15" s="6" t="s">
        <v>22</v>
      </c>
      <c r="D15" s="6" t="s">
        <v>473</v>
      </c>
      <c r="E15" s="6" t="s">
        <v>31</v>
      </c>
      <c r="F15" s="6">
        <v>3</v>
      </c>
      <c r="G15" s="6" t="s">
        <v>16</v>
      </c>
      <c r="H15" s="6" t="s">
        <v>17</v>
      </c>
      <c r="I15" s="6" t="s">
        <v>474</v>
      </c>
      <c r="J15" s="6" t="s">
        <v>432</v>
      </c>
      <c r="K15" s="6">
        <v>1</v>
      </c>
      <c r="L15" s="6" t="s">
        <v>475</v>
      </c>
      <c r="M15" s="3" t="str">
        <f>IF(B15="","","LIST"&amp;"_"&amp;IFERROR(VLOOKUP(B15,LOOKUPS!$K$2:$L$9,2,FALSE),"UNK")&amp;"_"&amp;IFERROR(VLOOKUP(C15,LOOKUPS!$N$2:$O$10,2,FALSE),"UNK")&amp;"_"&amp;UPPER(L15))</f>
        <v>LIST_CGT_REQ_RESDOM</v>
      </c>
      <c r="N15" s="3">
        <f>IF(M15="","",COUNTIF($M$2:M15,M15))</f>
        <v>1</v>
      </c>
      <c r="O15" s="6" t="s">
        <v>476</v>
      </c>
      <c r="P15" s="6">
        <v>2</v>
      </c>
      <c r="Q15" s="6" t="s">
        <v>477</v>
      </c>
      <c r="R15" s="6">
        <v>16</v>
      </c>
      <c r="S15" s="3" t="s">
        <v>17</v>
      </c>
      <c r="T15" s="6" t="s">
        <v>478</v>
      </c>
      <c r="U15" s="6">
        <v>3</v>
      </c>
      <c r="V15" s="3" t="s">
        <v>17</v>
      </c>
      <c r="AF15" s="6" t="s">
        <v>17</v>
      </c>
      <c r="AG15" s="6" t="s">
        <v>479</v>
      </c>
    </row>
    <row r="16" spans="1:33" ht="43.2" x14ac:dyDescent="0.3">
      <c r="A16" s="3" t="str">
        <f t="shared" si="0"/>
        <v>LIST_CGT_REQ_RESDOM_002</v>
      </c>
      <c r="B16" s="6" t="s">
        <v>28</v>
      </c>
      <c r="C16" s="6" t="s">
        <v>22</v>
      </c>
      <c r="D16" s="6" t="s">
        <v>473</v>
      </c>
      <c r="E16" s="6" t="s">
        <v>31</v>
      </c>
      <c r="F16" s="6">
        <v>3</v>
      </c>
      <c r="G16" s="6" t="s">
        <v>16</v>
      </c>
      <c r="H16" s="6" t="s">
        <v>17</v>
      </c>
      <c r="I16" s="6" t="s">
        <v>474</v>
      </c>
      <c r="J16" s="6" t="s">
        <v>432</v>
      </c>
      <c r="K16" s="6">
        <v>1</v>
      </c>
      <c r="L16" s="6" t="s">
        <v>475</v>
      </c>
      <c r="M16" s="3" t="str">
        <f>IF(B16="","","LIST"&amp;"_"&amp;IFERROR(VLOOKUP(B16,LOOKUPS!$K$2:$L$9,2,FALSE),"UNK")&amp;"_"&amp;IFERROR(VLOOKUP(C16,LOOKUPS!$N$2:$O$10,2,FALSE),"UNK")&amp;"_"&amp;UPPER(L16))</f>
        <v>LIST_CGT_REQ_RESDOM</v>
      </c>
      <c r="N16" s="3">
        <f>IF(M16="","",COUNTIF($M$2:M16,M16))</f>
        <v>2</v>
      </c>
      <c r="O16" s="6" t="s">
        <v>480</v>
      </c>
      <c r="P16" s="6">
        <v>2</v>
      </c>
      <c r="Q16" s="6" t="s">
        <v>481</v>
      </c>
      <c r="R16" s="6">
        <v>46</v>
      </c>
      <c r="S16" s="3" t="s">
        <v>17</v>
      </c>
      <c r="T16" s="6" t="s">
        <v>232</v>
      </c>
      <c r="U16" s="6">
        <v>3</v>
      </c>
      <c r="V16" s="3" t="s">
        <v>17</v>
      </c>
      <c r="AF16" s="6" t="s">
        <v>17</v>
      </c>
      <c r="AG16" s="6" t="s">
        <v>482</v>
      </c>
    </row>
    <row r="17" spans="1:33" ht="43.2" x14ac:dyDescent="0.3">
      <c r="A17" s="3" t="str">
        <f t="shared" si="0"/>
        <v>LIST_CGT_REQ_RESDOM_003</v>
      </c>
      <c r="B17" s="6" t="s">
        <v>28</v>
      </c>
      <c r="C17" s="6" t="s">
        <v>22</v>
      </c>
      <c r="D17" s="6" t="s">
        <v>473</v>
      </c>
      <c r="E17" s="6" t="s">
        <v>31</v>
      </c>
      <c r="F17" s="6">
        <v>3</v>
      </c>
      <c r="G17" s="6" t="s">
        <v>16</v>
      </c>
      <c r="H17" s="6" t="s">
        <v>17</v>
      </c>
      <c r="I17" s="6" t="s">
        <v>483</v>
      </c>
      <c r="J17" s="6" t="s">
        <v>432</v>
      </c>
      <c r="K17" s="6">
        <v>1</v>
      </c>
      <c r="L17" s="6" t="s">
        <v>475</v>
      </c>
      <c r="M17" s="3" t="str">
        <f>IF(B17="","","LIST"&amp;"_"&amp;IFERROR(VLOOKUP(B17,LOOKUPS!$K$2:$L$9,2,FALSE),"UNK")&amp;"_"&amp;IFERROR(VLOOKUP(C17,LOOKUPS!$N$2:$O$10,2,FALSE),"UNK")&amp;"_"&amp;UPPER(L17))</f>
        <v>LIST_CGT_REQ_RESDOM</v>
      </c>
      <c r="N17" s="3">
        <f>IF(M17="","",COUNTIF($M$2:M17,M17))</f>
        <v>3</v>
      </c>
      <c r="O17" s="6" t="s">
        <v>484</v>
      </c>
      <c r="P17" s="6">
        <v>2</v>
      </c>
      <c r="Q17" s="6" t="s">
        <v>485</v>
      </c>
      <c r="R17" s="6">
        <v>183</v>
      </c>
      <c r="S17" s="3" t="s">
        <v>17</v>
      </c>
      <c r="T17" s="6" t="s">
        <v>486</v>
      </c>
      <c r="U17" s="6">
        <v>30</v>
      </c>
      <c r="V17" s="3" t="s">
        <v>17</v>
      </c>
      <c r="AF17" s="6" t="s">
        <v>17</v>
      </c>
      <c r="AG17" s="6" t="s">
        <v>487</v>
      </c>
    </row>
    <row r="18" spans="1:33" ht="57.6" x14ac:dyDescent="0.3">
      <c r="A18" s="3" t="str">
        <f t="shared" si="0"/>
        <v>LIST_CGT_REQ_RESDOM_004</v>
      </c>
      <c r="B18" s="6" t="s">
        <v>28</v>
      </c>
      <c r="C18" s="6" t="s">
        <v>22</v>
      </c>
      <c r="D18" s="6" t="s">
        <v>473</v>
      </c>
      <c r="E18" s="6" t="s">
        <v>31</v>
      </c>
      <c r="F18" s="6">
        <v>3</v>
      </c>
      <c r="G18" s="6" t="s">
        <v>16</v>
      </c>
      <c r="H18" s="6" t="s">
        <v>17</v>
      </c>
      <c r="I18" s="6" t="s">
        <v>488</v>
      </c>
      <c r="J18" s="6" t="s">
        <v>432</v>
      </c>
      <c r="K18" s="6">
        <v>1</v>
      </c>
      <c r="L18" s="6" t="s">
        <v>475</v>
      </c>
      <c r="M18" s="3" t="str">
        <f>IF(B18="","","LIST"&amp;"_"&amp;IFERROR(VLOOKUP(B18,LOOKUPS!$K$2:$L$9,2,FALSE),"UNK")&amp;"_"&amp;IFERROR(VLOOKUP(C18,LOOKUPS!$N$2:$O$10,2,FALSE),"UNK")&amp;"_"&amp;UPPER(L18))</f>
        <v>LIST_CGT_REQ_RESDOM</v>
      </c>
      <c r="N18" s="3">
        <f>IF(M18="","",COUNTIF($M$2:M18,M18))</f>
        <v>4</v>
      </c>
      <c r="O18" s="6" t="s">
        <v>489</v>
      </c>
      <c r="P18" s="6">
        <v>3</v>
      </c>
      <c r="Q18" s="6" t="s">
        <v>490</v>
      </c>
      <c r="R18" s="6">
        <v>91</v>
      </c>
      <c r="S18" s="3" t="s">
        <v>17</v>
      </c>
      <c r="T18" s="6" t="s">
        <v>491</v>
      </c>
      <c r="U18" s="6">
        <v>40</v>
      </c>
      <c r="V18" s="3" t="s">
        <v>17</v>
      </c>
      <c r="W18" s="6" t="s">
        <v>492</v>
      </c>
      <c r="X18" s="6">
        <v>90</v>
      </c>
      <c r="Y18" s="6" t="s">
        <v>17</v>
      </c>
      <c r="AF18" s="6" t="s">
        <v>17</v>
      </c>
      <c r="AG18" s="6" t="s">
        <v>493</v>
      </c>
    </row>
    <row r="19" spans="1:33" ht="72" x14ac:dyDescent="0.3">
      <c r="A19" s="3" t="str">
        <f t="shared" si="0"/>
        <v>LIST_CGT_REQ_RESDOM_005</v>
      </c>
      <c r="B19" s="6" t="s">
        <v>28</v>
      </c>
      <c r="C19" s="6" t="s">
        <v>22</v>
      </c>
      <c r="D19" s="6" t="s">
        <v>473</v>
      </c>
      <c r="E19" s="6" t="s">
        <v>31</v>
      </c>
      <c r="F19" s="6">
        <v>3</v>
      </c>
      <c r="G19" s="6" t="s">
        <v>16</v>
      </c>
      <c r="H19" s="6" t="s">
        <v>17</v>
      </c>
      <c r="I19" s="6" t="s">
        <v>494</v>
      </c>
      <c r="J19" s="6" t="s">
        <v>432</v>
      </c>
      <c r="K19" s="6">
        <v>1</v>
      </c>
      <c r="L19" s="6" t="s">
        <v>475</v>
      </c>
      <c r="M19" s="3" t="str">
        <f>IF(B19="","","LIST"&amp;"_"&amp;IFERROR(VLOOKUP(B19,LOOKUPS!$K$2:$L$9,2,FALSE),"UNK")&amp;"_"&amp;IFERROR(VLOOKUP(C19,LOOKUPS!$N$2:$O$10,2,FALSE),"UNK")&amp;"_"&amp;UPPER(L19))</f>
        <v>LIST_CGT_REQ_RESDOM</v>
      </c>
      <c r="N19" s="3">
        <f>IF(M19="","",COUNTIF($M$2:M19,M19))</f>
        <v>5</v>
      </c>
      <c r="O19" s="6" t="s">
        <v>495</v>
      </c>
      <c r="P19" s="6">
        <v>3</v>
      </c>
      <c r="Q19" s="6" t="s">
        <v>496</v>
      </c>
      <c r="R19" s="6" t="s">
        <v>497</v>
      </c>
      <c r="S19" s="3" t="s">
        <v>17</v>
      </c>
      <c r="T19" s="6" t="s">
        <v>498</v>
      </c>
      <c r="U19" s="6" t="s">
        <v>499</v>
      </c>
      <c r="V19" s="3" t="s">
        <v>17</v>
      </c>
      <c r="W19" s="6" t="s">
        <v>496</v>
      </c>
      <c r="X19" s="6" t="s">
        <v>500</v>
      </c>
      <c r="Y19" s="6" t="s">
        <v>17</v>
      </c>
      <c r="AF19" s="6" t="s">
        <v>17</v>
      </c>
      <c r="AG19" s="6" t="s">
        <v>501</v>
      </c>
    </row>
    <row r="20" spans="1:33" ht="72" x14ac:dyDescent="0.3">
      <c r="A20" s="3" t="str">
        <f t="shared" si="0"/>
        <v>LIST_CGT_REQ_RESDOM_006</v>
      </c>
      <c r="B20" s="6" t="s">
        <v>28</v>
      </c>
      <c r="C20" s="6" t="s">
        <v>22</v>
      </c>
      <c r="D20" s="6" t="s">
        <v>473</v>
      </c>
      <c r="E20" s="6" t="s">
        <v>31</v>
      </c>
      <c r="F20" s="6">
        <v>3</v>
      </c>
      <c r="G20" s="6" t="s">
        <v>16</v>
      </c>
      <c r="H20" s="6" t="s">
        <v>17</v>
      </c>
      <c r="I20" s="6" t="s">
        <v>502</v>
      </c>
      <c r="J20" s="6" t="s">
        <v>432</v>
      </c>
      <c r="K20" s="6">
        <v>1</v>
      </c>
      <c r="L20" s="6" t="s">
        <v>475</v>
      </c>
      <c r="M20" s="3" t="str">
        <f>IF(B20="","","LIST"&amp;"_"&amp;IFERROR(VLOOKUP(B20,LOOKUPS!$K$2:$L$9,2,FALSE),"UNK")&amp;"_"&amp;IFERROR(VLOOKUP(C20,LOOKUPS!$N$2:$O$10,2,FALSE),"UNK")&amp;"_"&amp;UPPER(L20))</f>
        <v>LIST_CGT_REQ_RESDOM</v>
      </c>
      <c r="N20" s="3">
        <f>IF(M20="","",COUNTIF($M$2:M20,M20))</f>
        <v>6</v>
      </c>
      <c r="O20" s="6" t="s">
        <v>503</v>
      </c>
      <c r="P20" s="6">
        <v>3</v>
      </c>
      <c r="Q20" s="6" t="s">
        <v>504</v>
      </c>
      <c r="R20" s="6">
        <v>15</v>
      </c>
      <c r="S20" s="3" t="s">
        <v>17</v>
      </c>
      <c r="T20" s="6" t="s">
        <v>505</v>
      </c>
      <c r="U20" s="6">
        <v>20</v>
      </c>
      <c r="V20" s="3" t="s">
        <v>17</v>
      </c>
      <c r="W20" s="6" t="s">
        <v>506</v>
      </c>
      <c r="X20" s="6" t="s">
        <v>507</v>
      </c>
      <c r="Y20" s="6" t="s">
        <v>17</v>
      </c>
      <c r="AF20" s="6" t="s">
        <v>17</v>
      </c>
      <c r="AG20" s="6" t="s">
        <v>508</v>
      </c>
    </row>
    <row r="21" spans="1:33" ht="28.8" x14ac:dyDescent="0.3">
      <c r="A21" s="3" t="str">
        <f t="shared" si="0"/>
        <v>LIST_IHT_REQ_DEEMDOM_001</v>
      </c>
      <c r="B21" s="6" t="s">
        <v>34</v>
      </c>
      <c r="C21" s="6" t="s">
        <v>22</v>
      </c>
      <c r="D21" s="6" t="s">
        <v>610</v>
      </c>
      <c r="E21" s="6" t="s">
        <v>31</v>
      </c>
      <c r="F21" s="6">
        <v>3</v>
      </c>
      <c r="G21" s="6" t="s">
        <v>16</v>
      </c>
      <c r="H21" s="6" t="s">
        <v>17</v>
      </c>
      <c r="I21" s="6" t="s">
        <v>645</v>
      </c>
      <c r="J21" s="6" t="s">
        <v>592</v>
      </c>
      <c r="K21" s="6">
        <v>1</v>
      </c>
      <c r="L21" s="6" t="s">
        <v>593</v>
      </c>
      <c r="M21" s="3" t="str">
        <f>IF(B21="","","LIST"&amp;"_"&amp;IFERROR(VLOOKUP(B21,LOOKUPS!$K$2:$L$9,2,FALSE),"UNK")&amp;"_"&amp;IFERROR(VLOOKUP(C21,LOOKUPS!$N$2:$O$10,2,FALSE),"UNK")&amp;"_"&amp;UPPER(L21))</f>
        <v>LIST_IHT_REQ_DEEMDOM</v>
      </c>
      <c r="N21" s="3">
        <f>IF(M21="","",COUNTIF($M$2:M21,M21))</f>
        <v>1</v>
      </c>
      <c r="O21" s="6" t="s">
        <v>646</v>
      </c>
      <c r="P21" s="6">
        <v>2</v>
      </c>
      <c r="Q21" s="10" t="s">
        <v>647</v>
      </c>
      <c r="R21" s="10" t="s">
        <v>347</v>
      </c>
      <c r="S21" s="3" t="s">
        <v>17</v>
      </c>
      <c r="T21" s="6" t="s">
        <v>648</v>
      </c>
      <c r="U21" s="11" t="s">
        <v>346</v>
      </c>
      <c r="V21" s="3" t="s">
        <v>17</v>
      </c>
      <c r="X21" s="10"/>
      <c r="AA21" s="11"/>
      <c r="AF21" s="6" t="s">
        <v>17</v>
      </c>
      <c r="AG21" s="6" t="s">
        <v>649</v>
      </c>
    </row>
    <row r="22" spans="1:33" ht="28.8" x14ac:dyDescent="0.3">
      <c r="A22" s="3" t="str">
        <f t="shared" si="0"/>
        <v>LIST_IHT_REQ_DEEMDOM_002</v>
      </c>
      <c r="B22" s="6" t="s">
        <v>34</v>
      </c>
      <c r="C22" s="6" t="s">
        <v>22</v>
      </c>
      <c r="D22" s="6" t="s">
        <v>610</v>
      </c>
      <c r="E22" s="6" t="s">
        <v>31</v>
      </c>
      <c r="F22" s="6">
        <v>3</v>
      </c>
      <c r="G22" s="6" t="s">
        <v>16</v>
      </c>
      <c r="H22" s="6" t="s">
        <v>17</v>
      </c>
      <c r="I22" s="6" t="s">
        <v>595</v>
      </c>
      <c r="J22" s="6" t="s">
        <v>592</v>
      </c>
      <c r="K22" s="6">
        <v>1</v>
      </c>
      <c r="L22" s="6" t="s">
        <v>593</v>
      </c>
      <c r="M22" s="3" t="str">
        <f>IF(B22="","","LIST"&amp;"_"&amp;IFERROR(VLOOKUP(B22,LOOKUPS!$K$2:$L$9,2,FALSE),"UNK")&amp;"_"&amp;IFERROR(VLOOKUP(C22,LOOKUPS!$N$2:$O$10,2,FALSE),"UNK")&amp;"_"&amp;UPPER(L22))</f>
        <v>LIST_IHT_REQ_DEEMDOM</v>
      </c>
      <c r="N22" s="3">
        <f>IF(M22="","",COUNTIF($M$2:M22,M22))</f>
        <v>2</v>
      </c>
      <c r="O22" s="6" t="s">
        <v>650</v>
      </c>
      <c r="P22" s="6">
        <v>2</v>
      </c>
      <c r="Q22" s="11" t="s">
        <v>478</v>
      </c>
      <c r="R22" s="6">
        <v>3</v>
      </c>
      <c r="S22" s="3" t="s">
        <v>17</v>
      </c>
      <c r="T22" s="6" t="s">
        <v>651</v>
      </c>
      <c r="U22" s="6" t="s">
        <v>596</v>
      </c>
      <c r="V22" s="3" t="s">
        <v>17</v>
      </c>
      <c r="AF22" s="6" t="s">
        <v>17</v>
      </c>
      <c r="AG22" s="6" t="s">
        <v>652</v>
      </c>
    </row>
    <row r="23" spans="1:33" ht="57.6" x14ac:dyDescent="0.3">
      <c r="A23" s="3" t="str">
        <f t="shared" si="0"/>
        <v>LIST_IHT_REQ_DEEMDOM_003</v>
      </c>
      <c r="B23" s="6" t="s">
        <v>34</v>
      </c>
      <c r="C23" s="6" t="s">
        <v>22</v>
      </c>
      <c r="D23" s="6" t="s">
        <v>610</v>
      </c>
      <c r="E23" s="6" t="s">
        <v>31</v>
      </c>
      <c r="F23" s="6">
        <v>3</v>
      </c>
      <c r="G23" s="6" t="s">
        <v>16</v>
      </c>
      <c r="H23" s="6" t="s">
        <v>17</v>
      </c>
      <c r="I23" s="6" t="s">
        <v>598</v>
      </c>
      <c r="J23" s="6" t="s">
        <v>592</v>
      </c>
      <c r="K23" s="6">
        <v>1</v>
      </c>
      <c r="L23" s="6" t="s">
        <v>593</v>
      </c>
      <c r="M23" s="3" t="str">
        <f>IF(B23="","","LIST"&amp;"_"&amp;IFERROR(VLOOKUP(B23,LOOKUPS!$K$2:$L$9,2,FALSE),"UNK")&amp;"_"&amp;IFERROR(VLOOKUP(C23,LOOKUPS!$N$2:$O$10,2,FALSE),"UNK")&amp;"_"&amp;UPPER(L23))</f>
        <v>LIST_IHT_REQ_DEEMDOM</v>
      </c>
      <c r="N23" s="3">
        <f>IF(M23="","",COUNTIF($M$2:M23,M23))</f>
        <v>3</v>
      </c>
      <c r="O23" s="6" t="s">
        <v>653</v>
      </c>
      <c r="P23" s="6">
        <v>4</v>
      </c>
      <c r="Q23" s="11" t="s">
        <v>654</v>
      </c>
      <c r="R23" s="6" t="s">
        <v>383</v>
      </c>
      <c r="S23" s="3" t="s">
        <v>17</v>
      </c>
      <c r="T23" s="6" t="s">
        <v>496</v>
      </c>
      <c r="U23" s="6" t="s">
        <v>497</v>
      </c>
      <c r="V23" s="3" t="s">
        <v>17</v>
      </c>
      <c r="W23" s="6" t="s">
        <v>655</v>
      </c>
      <c r="X23" s="6">
        <v>1</v>
      </c>
      <c r="Y23" s="6" t="s">
        <v>17</v>
      </c>
      <c r="Z23" s="6" t="s">
        <v>478</v>
      </c>
      <c r="AA23" s="6">
        <v>2</v>
      </c>
      <c r="AB23" s="6" t="s">
        <v>17</v>
      </c>
      <c r="AF23" s="6" t="s">
        <v>17</v>
      </c>
      <c r="AG23" s="6" t="s">
        <v>656</v>
      </c>
    </row>
    <row r="24" spans="1:33" ht="57.6" x14ac:dyDescent="0.3">
      <c r="A24" s="3" t="str">
        <f t="shared" si="0"/>
        <v>LIST_IHT_REQ_DEEMDOM_004</v>
      </c>
      <c r="B24" s="6" t="s">
        <v>34</v>
      </c>
      <c r="C24" s="6" t="s">
        <v>22</v>
      </c>
      <c r="D24" s="6" t="s">
        <v>610</v>
      </c>
      <c r="E24" s="6" t="s">
        <v>31</v>
      </c>
      <c r="F24" s="6">
        <v>3</v>
      </c>
      <c r="G24" s="6" t="s">
        <v>16</v>
      </c>
      <c r="H24" s="6" t="s">
        <v>17</v>
      </c>
      <c r="I24" s="6" t="s">
        <v>657</v>
      </c>
      <c r="J24" s="6" t="s">
        <v>592</v>
      </c>
      <c r="K24" s="6">
        <v>1</v>
      </c>
      <c r="L24" s="6" t="s">
        <v>593</v>
      </c>
      <c r="M24" s="3" t="str">
        <f>IF(B24="","","LIST"&amp;"_"&amp;IFERROR(VLOOKUP(B24,LOOKUPS!$K$2:$L$9,2,FALSE),"UNK")&amp;"_"&amp;IFERROR(VLOOKUP(C24,LOOKUPS!$N$2:$O$10,2,FALSE),"UNK")&amp;"_"&amp;UPPER(L24))</f>
        <v>LIST_IHT_REQ_DEEMDOM</v>
      </c>
      <c r="N24" s="3">
        <f>IF(M24="","",COUNTIF($M$2:M24,M24))</f>
        <v>4</v>
      </c>
      <c r="O24" s="6" t="s">
        <v>658</v>
      </c>
      <c r="P24" s="6">
        <v>4</v>
      </c>
      <c r="Q24" s="6" t="s">
        <v>659</v>
      </c>
      <c r="R24" s="6">
        <v>15</v>
      </c>
      <c r="S24" s="3" t="s">
        <v>17</v>
      </c>
      <c r="T24" s="6" t="s">
        <v>660</v>
      </c>
      <c r="U24" s="6">
        <v>20</v>
      </c>
      <c r="V24" s="3" t="s">
        <v>17</v>
      </c>
      <c r="W24" s="6" t="s">
        <v>655</v>
      </c>
      <c r="X24" s="6">
        <v>1</v>
      </c>
      <c r="Y24" s="6" t="s">
        <v>17</v>
      </c>
      <c r="Z24" s="6" t="s">
        <v>478</v>
      </c>
      <c r="AA24" s="6">
        <v>4</v>
      </c>
      <c r="AB24" s="6" t="s">
        <v>17</v>
      </c>
      <c r="AF24" s="6" t="s">
        <v>17</v>
      </c>
      <c r="AG24" s="6" t="s">
        <v>661</v>
      </c>
    </row>
    <row r="25" spans="1:33" ht="43.2" x14ac:dyDescent="0.3">
      <c r="A25" s="3" t="str">
        <f t="shared" si="0"/>
        <v>LIST_IHT_REQ_DEEMDOM_005</v>
      </c>
      <c r="B25" s="6" t="s">
        <v>34</v>
      </c>
      <c r="C25" s="6" t="s">
        <v>22</v>
      </c>
      <c r="D25" s="6" t="s">
        <v>610</v>
      </c>
      <c r="E25" s="6" t="s">
        <v>31</v>
      </c>
      <c r="F25" s="6">
        <v>3</v>
      </c>
      <c r="G25" s="6" t="s">
        <v>16</v>
      </c>
      <c r="H25" s="6" t="s">
        <v>17</v>
      </c>
      <c r="I25" s="6" t="s">
        <v>662</v>
      </c>
      <c r="J25" s="6" t="s">
        <v>592</v>
      </c>
      <c r="K25" s="6">
        <v>1</v>
      </c>
      <c r="L25" s="6" t="s">
        <v>593</v>
      </c>
      <c r="M25" s="3" t="str">
        <f>IF(B25="","","LIST"&amp;"_"&amp;IFERROR(VLOOKUP(B25,LOOKUPS!$K$2:$L$9,2,FALSE),"UNK")&amp;"_"&amp;IFERROR(VLOOKUP(C25,LOOKUPS!$N$2:$O$10,2,FALSE),"UNK")&amp;"_"&amp;UPPER(L25))</f>
        <v>LIST_IHT_REQ_DEEMDOM</v>
      </c>
      <c r="N25" s="3">
        <f>IF(M25="","",COUNTIF($M$2:M25,M25))</f>
        <v>5</v>
      </c>
      <c r="O25" s="6" t="s">
        <v>663</v>
      </c>
      <c r="P25" s="6">
        <v>5</v>
      </c>
      <c r="Q25" s="11" t="s">
        <v>664</v>
      </c>
      <c r="R25" s="6">
        <v>3</v>
      </c>
      <c r="S25" s="3" t="s">
        <v>17</v>
      </c>
      <c r="T25" s="6" t="s">
        <v>665</v>
      </c>
      <c r="U25" s="6">
        <v>15</v>
      </c>
      <c r="V25" s="3" t="s">
        <v>17</v>
      </c>
      <c r="W25" s="6" t="s">
        <v>660</v>
      </c>
      <c r="X25" s="6">
        <v>20</v>
      </c>
      <c r="Y25" s="6" t="s">
        <v>17</v>
      </c>
      <c r="Z25" s="6" t="s">
        <v>655</v>
      </c>
      <c r="AA25" s="6">
        <v>1</v>
      </c>
      <c r="AB25" s="6" t="s">
        <v>17</v>
      </c>
      <c r="AC25" s="6" t="s">
        <v>666</v>
      </c>
      <c r="AD25" s="6">
        <v>4</v>
      </c>
      <c r="AE25" s="6" t="s">
        <v>17</v>
      </c>
      <c r="AF25" s="6" t="s">
        <v>17</v>
      </c>
      <c r="AG25" s="6" t="s">
        <v>667</v>
      </c>
    </row>
    <row r="26" spans="1:33" ht="28.8" x14ac:dyDescent="0.3">
      <c r="A26" s="3" t="str">
        <f t="shared" si="0"/>
        <v>LIST_IHT_REQ_DEEMDOM_006</v>
      </c>
      <c r="B26" s="6" t="s">
        <v>34</v>
      </c>
      <c r="C26" s="6" t="s">
        <v>22</v>
      </c>
      <c r="D26" s="6" t="s">
        <v>610</v>
      </c>
      <c r="E26" s="6" t="s">
        <v>31</v>
      </c>
      <c r="F26" s="6">
        <v>3</v>
      </c>
      <c r="G26" s="6" t="s">
        <v>16</v>
      </c>
      <c r="H26" s="6" t="s">
        <v>17</v>
      </c>
      <c r="I26" s="6" t="s">
        <v>608</v>
      </c>
      <c r="J26" s="6" t="s">
        <v>592</v>
      </c>
      <c r="K26" s="6">
        <v>1</v>
      </c>
      <c r="L26" s="6" t="s">
        <v>593</v>
      </c>
      <c r="M26" s="3" t="str">
        <f>IF(B26="","","LIST"&amp;"_"&amp;IFERROR(VLOOKUP(B26,LOOKUPS!$K$2:$L$9,2,FALSE),"UNK")&amp;"_"&amp;IFERROR(VLOOKUP(C26,LOOKUPS!$N$2:$O$10,2,FALSE),"UNK")&amp;"_"&amp;UPPER(L26))</f>
        <v>LIST_IHT_REQ_DEEMDOM</v>
      </c>
      <c r="N26" s="3">
        <f>IF(M26="","",COUNTIF($M$2:M26,M26))</f>
        <v>6</v>
      </c>
      <c r="O26" s="6" t="s">
        <v>668</v>
      </c>
      <c r="P26" s="6">
        <v>2</v>
      </c>
      <c r="Q26" s="6" t="s">
        <v>669</v>
      </c>
      <c r="R26" s="6" t="s">
        <v>597</v>
      </c>
      <c r="S26" s="3" t="s">
        <v>17</v>
      </c>
      <c r="T26" s="6" t="s">
        <v>670</v>
      </c>
      <c r="U26" s="6" t="s">
        <v>609</v>
      </c>
      <c r="V26" s="3" t="s">
        <v>17</v>
      </c>
      <c r="AF26" s="6" t="s">
        <v>17</v>
      </c>
      <c r="AG26" s="6" t="s">
        <v>671</v>
      </c>
    </row>
    <row r="27" spans="1:33" ht="57.6" x14ac:dyDescent="0.3">
      <c r="A27" s="3" t="str">
        <f t="shared" si="0"/>
        <v>LIST_IHT_CALC_DTR_001</v>
      </c>
      <c r="B27" s="3" t="s">
        <v>34</v>
      </c>
      <c r="C27" s="3" t="s">
        <v>40</v>
      </c>
      <c r="D27" s="3" t="s">
        <v>855</v>
      </c>
      <c r="E27" s="3" t="s">
        <v>31</v>
      </c>
      <c r="F27" s="3">
        <v>3</v>
      </c>
      <c r="G27" s="3" t="s">
        <v>16</v>
      </c>
      <c r="H27" s="3" t="s">
        <v>17</v>
      </c>
      <c r="I27" s="3" t="s">
        <v>856</v>
      </c>
      <c r="J27" s="3" t="s">
        <v>126</v>
      </c>
      <c r="K27" s="3">
        <v>1</v>
      </c>
      <c r="L27" s="3" t="s">
        <v>857</v>
      </c>
      <c r="M27" s="3" t="str">
        <f>IF(B27="","","LIST"&amp;"_"&amp;IFERROR(VLOOKUP(B27,LOOKUPS!$K$2:$L$9,2,FALSE),"UNK")&amp;"_"&amp;IFERROR(VLOOKUP(C27,LOOKUPS!$N$2:$O$10,2,FALSE),"UNK")&amp;"_"&amp;UPPER(L27))</f>
        <v>LIST_IHT_CALC_DTR</v>
      </c>
      <c r="N27" s="3">
        <f>IF(M27="","",COUNTIF($M$2:M27,M27))</f>
        <v>1</v>
      </c>
      <c r="O27" s="3" t="s">
        <v>845</v>
      </c>
      <c r="P27" s="3">
        <v>4</v>
      </c>
      <c r="Q27" s="3" t="s">
        <v>846</v>
      </c>
      <c r="R27" s="3" t="s">
        <v>858</v>
      </c>
      <c r="S27" s="3" t="s">
        <v>17</v>
      </c>
      <c r="T27" s="3" t="s">
        <v>847</v>
      </c>
      <c r="U27" s="3" t="s">
        <v>848</v>
      </c>
      <c r="V27" s="3" t="s">
        <v>17</v>
      </c>
      <c r="W27" s="3" t="s">
        <v>850</v>
      </c>
      <c r="X27" s="3" t="s">
        <v>851</v>
      </c>
      <c r="Y27" s="3" t="s">
        <v>849</v>
      </c>
      <c r="Z27" s="3" t="s">
        <v>852</v>
      </c>
      <c r="AA27" s="3" t="s">
        <v>853</v>
      </c>
      <c r="AB27" s="3" t="s">
        <v>17</v>
      </c>
      <c r="AC27" s="3"/>
      <c r="AD27" s="3"/>
      <c r="AE27" s="3"/>
      <c r="AF27" s="3" t="s">
        <v>17</v>
      </c>
      <c r="AG27" s="3" t="s">
        <v>854</v>
      </c>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IF(B28="","","LIST"&amp;"_"&amp;IFERROR(VLOOKUP(B28,LOOKUPS!$K$2:$L$9,2,FALSE),"UNK")&amp;"_"&amp;IFERROR(VLOOKUP(C28,LOOKUPS!$N$2:$O$10,2,FALSE),"UNK")&amp;"_"&amp;UPPER(L28))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IF(B29="","","LIST"&amp;"_"&amp;IFERROR(VLOOKUP(B29,LOOKUPS!$K$2:$L$9,2,FALSE),"UNK")&amp;"_"&amp;IFERROR(VLOOKUP(C29,LOOKUPS!$N$2:$O$10,2,FALSE),"UNK")&amp;"_"&amp;UPPER(L29))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IF(B30="","","LIST"&amp;"_"&amp;IFERROR(VLOOKUP(B30,LOOKUPS!$K$2:$L$9,2,FALSE),"UNK")&amp;"_"&amp;IFERROR(VLOOKUP(C30,LOOKUPS!$N$2:$O$10,2,FALSE),"UNK")&amp;"_"&amp;UPPER(L30))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IF(B31="","","LIST"&amp;"_"&amp;IFERROR(VLOOKUP(B31,LOOKUPS!$K$2:$L$9,2,FALSE),"UNK")&amp;"_"&amp;IFERROR(VLOOKUP(C31,LOOKUPS!$N$2:$O$10,2,FALSE),"UNK")&amp;"_"&amp;UPPER(L31))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IF(B32="","","LIST"&amp;"_"&amp;IFERROR(VLOOKUP(B32,LOOKUPS!$K$2:$L$9,2,FALSE),"UNK")&amp;"_"&amp;IFERROR(VLOOKUP(C32,LOOKUPS!$N$2:$O$10,2,FALSE),"UNK")&amp;"_"&amp;UPPER(L32))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IF(B33="","","LIST"&amp;"_"&amp;IFERROR(VLOOKUP(B33,LOOKUPS!$K$2:$L$9,2,FALSE),"UNK")&amp;"_"&amp;IFERROR(VLOOKUP(C33,LOOKUPS!$N$2:$O$10,2,FALSE),"UNK")&amp;"_"&amp;UPPER(L33))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IF(B34="","","LIST"&amp;"_"&amp;IFERROR(VLOOKUP(B34,LOOKUPS!$K$2:$L$9,2,FALSE),"UNK")&amp;"_"&amp;IFERROR(VLOOKUP(C34,LOOKUPS!$N$2:$O$10,2,FALSE),"UNK")&amp;"_"&amp;UPPER(L34))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IF(B35="","","LIST"&amp;"_"&amp;IFERROR(VLOOKUP(B35,LOOKUPS!$K$2:$L$9,2,FALSE),"UNK")&amp;"_"&amp;IFERROR(VLOOKUP(C35,LOOKUPS!$N$2:$O$10,2,FALSE),"UNK")&amp;"_"&amp;UPPER(L35))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IF(B36="","","LIST"&amp;"_"&amp;IFERROR(VLOOKUP(B36,LOOKUPS!$K$2:$L$9,2,FALSE),"UNK")&amp;"_"&amp;IFERROR(VLOOKUP(C36,LOOKUPS!$N$2:$O$10,2,FALSE),"UNK")&amp;"_"&amp;UPPER(L36))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IF(B37="","","LIST"&amp;"_"&amp;IFERROR(VLOOKUP(B37,LOOKUPS!$K$2:$L$9,2,FALSE),"UNK")&amp;"_"&amp;IFERROR(VLOOKUP(C37,LOOKUPS!$N$2:$O$10,2,FALSE),"UNK")&amp;"_"&amp;UPPER(L37))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IF(B38="","","LIST"&amp;"_"&amp;IFERROR(VLOOKUP(B38,LOOKUPS!$K$2:$L$9,2,FALSE),"UNK")&amp;"_"&amp;IFERROR(VLOOKUP(C38,LOOKUPS!$N$2:$O$10,2,FALSE),"UNK")&amp;"_"&amp;UPPER(L38))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IF(B39="","","LIST"&amp;"_"&amp;IFERROR(VLOOKUP(B39,LOOKUPS!$K$2:$L$9,2,FALSE),"UNK")&amp;"_"&amp;IFERROR(VLOOKUP(C39,LOOKUPS!$N$2:$O$10,2,FALSE),"UNK")&amp;"_"&amp;UPPER(L39))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IF(B40="","","LIST"&amp;"_"&amp;IFERROR(VLOOKUP(B40,LOOKUPS!$K$2:$L$9,2,FALSE),"UNK")&amp;"_"&amp;IFERROR(VLOOKUP(C40,LOOKUPS!$N$2:$O$10,2,FALSE),"UNK")&amp;"_"&amp;UPPER(L40))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IF(B41="","","LIST"&amp;"_"&amp;IFERROR(VLOOKUP(B41,LOOKUPS!$K$2:$L$9,2,FALSE),"UNK")&amp;"_"&amp;IFERROR(VLOOKUP(C41,LOOKUPS!$N$2:$O$10,2,FALSE),"UNK")&amp;"_"&amp;UPPER(L41))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IF(B42="","","LIST"&amp;"_"&amp;IFERROR(VLOOKUP(B42,LOOKUPS!$K$2:$L$9,2,FALSE),"UNK")&amp;"_"&amp;IFERROR(VLOOKUP(C42,LOOKUPS!$N$2:$O$10,2,FALSE),"UNK")&amp;"_"&amp;UPPER(L42))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IF(B43="","","LIST"&amp;"_"&amp;IFERROR(VLOOKUP(B43,LOOKUPS!$K$2:$L$9,2,FALSE),"UNK")&amp;"_"&amp;IFERROR(VLOOKUP(C43,LOOKUPS!$N$2:$O$10,2,FALSE),"UNK")&amp;"_"&amp;UPPER(L43))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IF(B44="","","LIST"&amp;"_"&amp;IFERROR(VLOOKUP(B44,LOOKUPS!$K$2:$L$9,2,FALSE),"UNK")&amp;"_"&amp;IFERROR(VLOOKUP(C44,LOOKUPS!$N$2:$O$10,2,FALSE),"UNK")&amp;"_"&amp;UPPER(L44))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IF(B45="","","LIST"&amp;"_"&amp;IFERROR(VLOOKUP(B45,LOOKUPS!$K$2:$L$9,2,FALSE),"UNK")&amp;"_"&amp;IFERROR(VLOOKUP(C45,LOOKUPS!$N$2:$O$10,2,FALSE),"UNK")&amp;"_"&amp;UPPER(L45))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IF(B46="","","LIST"&amp;"_"&amp;IFERROR(VLOOKUP(B46,LOOKUPS!$K$2:$L$9,2,FALSE),"UNK")&amp;"_"&amp;IFERROR(VLOOKUP(C46,LOOKUPS!$N$2:$O$10,2,FALSE),"UNK")&amp;"_"&amp;UPPER(L46))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IF(B47="","","LIST"&amp;"_"&amp;IFERROR(VLOOKUP(B47,LOOKUPS!$K$2:$L$9,2,FALSE),"UNK")&amp;"_"&amp;IFERROR(VLOOKUP(C47,LOOKUPS!$N$2:$O$10,2,FALSE),"UNK")&amp;"_"&amp;UPPER(L47))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IF(B48="","","LIST"&amp;"_"&amp;IFERROR(VLOOKUP(B48,LOOKUPS!$K$2:$L$9,2,FALSE),"UNK")&amp;"_"&amp;IFERROR(VLOOKUP(C48,LOOKUPS!$N$2:$O$10,2,FALSE),"UNK")&amp;"_"&amp;UPPER(L48))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IF(B49="","","LIST"&amp;"_"&amp;IFERROR(VLOOKUP(B49,LOOKUPS!$K$2:$L$9,2,FALSE),"UNK")&amp;"_"&amp;IFERROR(VLOOKUP(C49,LOOKUPS!$N$2:$O$10,2,FALSE),"UNK")&amp;"_"&amp;UPPER(L49))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IF(B50="","","LIST"&amp;"_"&amp;IFERROR(VLOOKUP(B50,LOOKUPS!$K$2:$L$9,2,FALSE),"UNK")&amp;"_"&amp;IFERROR(VLOOKUP(C50,LOOKUPS!$N$2:$O$10,2,FALSE),"UNK")&amp;"_"&amp;UPPER(L50))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IF(B51="","","LIST"&amp;"_"&amp;IFERROR(VLOOKUP(B51,LOOKUPS!$K$2:$L$9,2,FALSE),"UNK")&amp;"_"&amp;IFERROR(VLOOKUP(C51,LOOKUPS!$N$2:$O$10,2,FALSE),"UNK")&amp;"_"&amp;UPPER(L51))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IF(B170="","","LIST"&amp;"_"&amp;IFERROR(VLOOKUP(B170,LOOKUPS!$K$2:$L$9,2,FALSE),"UNK")&amp;"_"&amp;IFERROR(VLOOKUP(C170,LOOKUPS!$N$2:$O$10,2,FALSE),"UNK")&amp;"_"&amp;UPPER(L170))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IF(B171="","","LIST"&amp;"_"&amp;IFERROR(VLOOKUP(B171,LOOKUPS!$K$2:$L$9,2,FALSE),"UNK")&amp;"_"&amp;IFERROR(VLOOKUP(C171,LOOKUPS!$N$2:$O$10,2,FALSE),"UNK")&amp;"_"&amp;UPPER(L171))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IF(B172="","","LIST"&amp;"_"&amp;IFERROR(VLOOKUP(B172,LOOKUPS!$K$2:$L$9,2,FALSE),"UNK")&amp;"_"&amp;IFERROR(VLOOKUP(C172,LOOKUPS!$N$2:$O$10,2,FALSE),"UNK")&amp;"_"&amp;UPPER(L172))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IF(B173="","","LIST"&amp;"_"&amp;IFERROR(VLOOKUP(B173,LOOKUPS!$K$2:$L$9,2,FALSE),"UNK")&amp;"_"&amp;IFERROR(VLOOKUP(C173,LOOKUPS!$N$2:$O$10,2,FALSE),"UNK")&amp;"_"&amp;UPPER(L173))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IF(B174="","","LIST"&amp;"_"&amp;IFERROR(VLOOKUP(B174,LOOKUPS!$K$2:$L$9,2,FALSE),"UNK")&amp;"_"&amp;IFERROR(VLOOKUP(C174,LOOKUPS!$N$2:$O$10,2,FALSE),"UNK")&amp;"_"&amp;UPPER(L174))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IF(B175="","","LIST"&amp;"_"&amp;IFERROR(VLOOKUP(B175,LOOKUPS!$K$2:$L$9,2,FALSE),"UNK")&amp;"_"&amp;IFERROR(VLOOKUP(C175,LOOKUPS!$N$2:$O$10,2,FALSE),"UNK")&amp;"_"&amp;UPPER(L175))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IF(B176="","","LIST"&amp;"_"&amp;IFERROR(VLOOKUP(B176,LOOKUPS!$K$2:$L$9,2,FALSE),"UNK")&amp;"_"&amp;IFERROR(VLOOKUP(C176,LOOKUPS!$N$2:$O$10,2,FALSE),"UNK")&amp;"_"&amp;UPPER(L176))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IF(B177="","","LIST"&amp;"_"&amp;IFERROR(VLOOKUP(B177,LOOKUPS!$K$2:$L$9,2,FALSE),"UNK")&amp;"_"&amp;IFERROR(VLOOKUP(C177,LOOKUPS!$N$2:$O$10,2,FALSE),"UNK")&amp;"_"&amp;UPPER(L177))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IF(B178="","","LIST"&amp;"_"&amp;IFERROR(VLOOKUP(B178,LOOKUPS!$K$2:$L$9,2,FALSE),"UNK")&amp;"_"&amp;IFERROR(VLOOKUP(C178,LOOKUPS!$N$2:$O$10,2,FALSE),"UNK")&amp;"_"&amp;UPPER(L178))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IF(B179="","","LIST"&amp;"_"&amp;IFERROR(VLOOKUP(B179,LOOKUPS!$K$2:$L$9,2,FALSE),"UNK")&amp;"_"&amp;IFERROR(VLOOKUP(C179,LOOKUPS!$N$2:$O$10,2,FALSE),"UNK")&amp;"_"&amp;UPPER(L179))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IF(B180="","","LIST"&amp;"_"&amp;IFERROR(VLOOKUP(B180,LOOKUPS!$K$2:$L$9,2,FALSE),"UNK")&amp;"_"&amp;IFERROR(VLOOKUP(C180,LOOKUPS!$N$2:$O$10,2,FALSE),"UNK")&amp;"_"&amp;UPPER(L180))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IF(B181="","","LIST"&amp;"_"&amp;IFERROR(VLOOKUP(B181,LOOKUPS!$K$2:$L$9,2,FALSE),"UNK")&amp;"_"&amp;IFERROR(VLOOKUP(C181,LOOKUPS!$N$2:$O$10,2,FALSE),"UNK")&amp;"_"&amp;UPPER(L181))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IF(B182="","","LIST"&amp;"_"&amp;IFERROR(VLOOKUP(B182,LOOKUPS!$K$2:$L$9,2,FALSE),"UNK")&amp;"_"&amp;IFERROR(VLOOKUP(C182,LOOKUPS!$N$2:$O$10,2,FALSE),"UNK")&amp;"_"&amp;UPPER(L182))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IF(B183="","","LIST"&amp;"_"&amp;IFERROR(VLOOKUP(B183,LOOKUPS!$K$2:$L$9,2,FALSE),"UNK")&amp;"_"&amp;IFERROR(VLOOKUP(C183,LOOKUPS!$N$2:$O$10,2,FALSE),"UNK")&amp;"_"&amp;UPPER(L183))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IF(B184="","","LIST"&amp;"_"&amp;IFERROR(VLOOKUP(B184,LOOKUPS!$K$2:$L$9,2,FALSE),"UNK")&amp;"_"&amp;IFERROR(VLOOKUP(C184,LOOKUPS!$N$2:$O$10,2,FALSE),"UNK")&amp;"_"&amp;UPPER(L184))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IF(B185="","","LIST"&amp;"_"&amp;IFERROR(VLOOKUP(B185,LOOKUPS!$K$2:$L$9,2,FALSE),"UNK")&amp;"_"&amp;IFERROR(VLOOKUP(C185,LOOKUPS!$N$2:$O$10,2,FALSE),"UNK")&amp;"_"&amp;UPPER(L185))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IF(B186="","","LIST"&amp;"_"&amp;IFERROR(VLOOKUP(B186,LOOKUPS!$K$2:$L$9,2,FALSE),"UNK")&amp;"_"&amp;IFERROR(VLOOKUP(C186,LOOKUPS!$N$2:$O$10,2,FALSE),"UNK")&amp;"_"&amp;UPPER(L186))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IF(B187="","","LIST"&amp;"_"&amp;IFERROR(VLOOKUP(B187,LOOKUPS!$K$2:$L$9,2,FALSE),"UNK")&amp;"_"&amp;IFERROR(VLOOKUP(C187,LOOKUPS!$N$2:$O$10,2,FALSE),"UNK")&amp;"_"&amp;UPPER(L187))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IF(B188="","","LIST"&amp;"_"&amp;IFERROR(VLOOKUP(B188,LOOKUPS!$K$2:$L$9,2,FALSE),"UNK")&amp;"_"&amp;IFERROR(VLOOKUP(C188,LOOKUPS!$N$2:$O$10,2,FALSE),"UNK")&amp;"_"&amp;UPPER(L188))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IF(B189="","","LIST"&amp;"_"&amp;IFERROR(VLOOKUP(B189,LOOKUPS!$K$2:$L$9,2,FALSE),"UNK")&amp;"_"&amp;IFERROR(VLOOKUP(C189,LOOKUPS!$N$2:$O$10,2,FALSE),"UNK")&amp;"_"&amp;UPPER(L189))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IF(B190="","","LIST"&amp;"_"&amp;IFERROR(VLOOKUP(B190,LOOKUPS!$K$2:$L$9,2,FALSE),"UNK")&amp;"_"&amp;IFERROR(VLOOKUP(C190,LOOKUPS!$N$2:$O$10,2,FALSE),"UNK")&amp;"_"&amp;UPPER(L190))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IF(B191="","","LIST"&amp;"_"&amp;IFERROR(VLOOKUP(B191,LOOKUPS!$K$2:$L$9,2,FALSE),"UNK")&amp;"_"&amp;IFERROR(VLOOKUP(C191,LOOKUPS!$N$2:$O$10,2,FALSE),"UNK")&amp;"_"&amp;UPPER(L191))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IF(B192="","","LIST"&amp;"_"&amp;IFERROR(VLOOKUP(B192,LOOKUPS!$K$2:$L$9,2,FALSE),"UNK")&amp;"_"&amp;IFERROR(VLOOKUP(C192,LOOKUPS!$N$2:$O$10,2,FALSE),"UNK")&amp;"_"&amp;UPPER(L192))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IF(B193="","","LIST"&amp;"_"&amp;IFERROR(VLOOKUP(B193,LOOKUPS!$K$2:$L$9,2,FALSE),"UNK")&amp;"_"&amp;IFERROR(VLOOKUP(C193,LOOKUPS!$N$2:$O$10,2,FALSE),"UNK")&amp;"_"&amp;UPPER(L193))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IF(B194="","","LIST"&amp;"_"&amp;IFERROR(VLOOKUP(B194,LOOKUPS!$K$2:$L$9,2,FALSE),"UNK")&amp;"_"&amp;IFERROR(VLOOKUP(C194,LOOKUPS!$N$2:$O$10,2,FALSE),"UNK")&amp;"_"&amp;UPPER(L194))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IF(B195="","","LIST"&amp;"_"&amp;IFERROR(VLOOKUP(B195,LOOKUPS!$K$2:$L$9,2,FALSE),"UNK")&amp;"_"&amp;IFERROR(VLOOKUP(C195,LOOKUPS!$N$2:$O$10,2,FALSE),"UNK")&amp;"_"&amp;UPPER(L195))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IF(B196="","","LIST"&amp;"_"&amp;IFERROR(VLOOKUP(B196,LOOKUPS!$K$2:$L$9,2,FALSE),"UNK")&amp;"_"&amp;IFERROR(VLOOKUP(C196,LOOKUPS!$N$2:$O$10,2,FALSE),"UNK")&amp;"_"&amp;UPPER(L196))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IF(B197="","","LIST"&amp;"_"&amp;IFERROR(VLOOKUP(B197,LOOKUPS!$K$2:$L$9,2,FALSE),"UNK")&amp;"_"&amp;IFERROR(VLOOKUP(C197,LOOKUPS!$N$2:$O$10,2,FALSE),"UNK")&amp;"_"&amp;UPPER(L197))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IF(B198="","","LIST"&amp;"_"&amp;IFERROR(VLOOKUP(B198,LOOKUPS!$K$2:$L$9,2,FALSE),"UNK")&amp;"_"&amp;IFERROR(VLOOKUP(C198,LOOKUPS!$N$2:$O$10,2,FALSE),"UNK")&amp;"_"&amp;UPPER(L198))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IF(B199="","","LIST"&amp;"_"&amp;IFERROR(VLOOKUP(B199,LOOKUPS!$K$2:$L$9,2,FALSE),"UNK")&amp;"_"&amp;IFERROR(VLOOKUP(C199,LOOKUPS!$N$2:$O$10,2,FALSE),"UNK")&amp;"_"&amp;UPPER(L199))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IF(B200="","","LIST"&amp;"_"&amp;IFERROR(VLOOKUP(B200,LOOKUPS!$K$2:$L$9,2,FALSE),"UNK")&amp;"_"&amp;IFERROR(VLOOKUP(C200,LOOKUPS!$N$2:$O$10,2,FALSE),"UNK")&amp;"_"&amp;UPPER(L200))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2000000}">
          <x14:formula1>
            <xm:f>LOOKUPS!$E$2:$E$4</xm:f>
          </x14:formula1>
          <xm:sqref>G201:G1000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361395C3-3CC4-4CFD-8009-1A70A6383484}">
          <x14:formula1>
            <xm:f>LOOKUPS!$E$2:$E$4</xm:f>
          </x14:formula1>
          <xm:sqref>G2:G5 G7:G200</xm:sqref>
        </x14:dataValidation>
        <x14:dataValidation type="list" allowBlank="1" xr:uid="{00000000-0002-0000-0400-000000000000}">
          <x14:formula1>
            <xm:f>LOOKUPS!$A$2:$A$9</xm:f>
          </x14:formula1>
          <xm:sqref>B2:B5 B7:B1000</xm:sqref>
        </x14:dataValidation>
        <x14:dataValidation type="list" allowBlank="1" showDropDown="1" xr:uid="{00000000-0002-0000-0400-000001000000}">
          <x14:formula1>
            <xm:f>LOOKUPS!$C$2:$C$10</xm:f>
          </x14:formula1>
          <xm:sqref>C201:C1000</xm:sqref>
        </x14:dataValidation>
        <x14:dataValidation type="list" allowBlank="1" xr:uid="{4DB459AB-DEEE-424A-BFDE-70D3C9FA60C5}">
          <x14:formula1>
            <xm:f>LOOKUPS!$C$2:$C$10</xm:f>
          </x14:formula1>
          <xm:sqref>C2:C5 C7:C200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workbookViewId="0">
      <pane ySplit="1" topLeftCell="A4" activePane="bottomLeft" state="frozen"/>
      <selection pane="bottomLeft" activeCell="D4" sqref="D4"/>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IF(B2="","","PF"&amp;"_"&amp;IFERROR(VLOOKUP(B2,LOOKUPS!$K$2:$L$9,2,FALSE),"UNK")&amp;"_"&amp;IFERROR(VLOOKUP(C2,LOOKUPS!$N$2:$O$10,2,FALSE),"UNK")&amp;"_"&amp;UPPER(L2))</f>
        <v>PF_ETH_PF_</v>
      </c>
      <c r="N2" s="3">
        <f>IF(M2="","",COUNTIF($M$2:M2,M2))</f>
        <v>1</v>
      </c>
      <c r="O2" s="3" t="s">
        <v>114</v>
      </c>
      <c r="P2" s="3" t="s">
        <v>156</v>
      </c>
      <c r="Q2" s="3" t="s">
        <v>115</v>
      </c>
      <c r="R2" s="3" t="s">
        <v>116</v>
      </c>
      <c r="S2" s="3" t="s">
        <v>117</v>
      </c>
      <c r="T2" s="3" t="s">
        <v>814</v>
      </c>
    </row>
    <row r="3" spans="1:32" ht="28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IF(B3="","","PF"&amp;"_"&amp;IFERROR(VLOOKUP(B3,LOOKUPS!$K$2:$L$9,2,FALSE),"UNK")&amp;"_"&amp;IFERROR(VLOOKUP(C3,LOOKUPS!$N$2:$O$10,2,FALSE),"UNK")&amp;"_"&amp;UPPER(L3))</f>
        <v>PF_ITNIC_PF_IR35</v>
      </c>
      <c r="N3" s="3">
        <f>IF(M3="","",COUNTIF($M$2:M3,M3))</f>
        <v>1</v>
      </c>
      <c r="O3" s="3" t="s">
        <v>229</v>
      </c>
      <c r="P3" s="3" t="s">
        <v>230</v>
      </c>
      <c r="Q3" s="3" t="s">
        <v>123</v>
      </c>
      <c r="R3" s="3" t="s">
        <v>124</v>
      </c>
      <c r="S3" s="3" t="s">
        <v>815</v>
      </c>
      <c r="T3" s="3" t="s">
        <v>816</v>
      </c>
    </row>
    <row r="4" spans="1:32" ht="409.6" x14ac:dyDescent="0.3">
      <c r="A4" s="3" t="str">
        <f t="shared" si="0"/>
        <v>PF_ITNIC_PF_EIS_001</v>
      </c>
      <c r="B4" s="3" t="s">
        <v>21</v>
      </c>
      <c r="C4" s="3" t="s">
        <v>35</v>
      </c>
      <c r="D4" s="6" t="s">
        <v>818</v>
      </c>
      <c r="E4" s="3" t="s">
        <v>36</v>
      </c>
      <c r="F4" s="3">
        <v>3</v>
      </c>
      <c r="G4" s="3" t="s">
        <v>16</v>
      </c>
      <c r="H4" s="3" t="s">
        <v>17</v>
      </c>
      <c r="I4" s="3" t="s">
        <v>125</v>
      </c>
      <c r="J4" s="3" t="s">
        <v>126</v>
      </c>
      <c r="K4" s="3">
        <v>1</v>
      </c>
      <c r="L4" s="3" t="s">
        <v>127</v>
      </c>
      <c r="M4" s="3" t="str">
        <f>IF(B4="","","PF"&amp;"_"&amp;IFERROR(VLOOKUP(B4,LOOKUPS!$K$2:$L$9,2,FALSE),"UNK")&amp;"_"&amp;IFERROR(VLOOKUP(C4,LOOKUPS!$N$2:$O$10,2,FALSE),"UNK")&amp;"_"&amp;UPPER(L4))</f>
        <v>PF_ITNIC_PF_EIS</v>
      </c>
      <c r="N4" s="3">
        <f>IF(M4="","",COUNTIF($M$2:M4,M4))</f>
        <v>1</v>
      </c>
      <c r="O4" s="3" t="s">
        <v>153</v>
      </c>
      <c r="P4" s="3" t="s">
        <v>809</v>
      </c>
      <c r="Q4" s="3" t="s">
        <v>154</v>
      </c>
      <c r="R4" s="3" t="s">
        <v>155</v>
      </c>
      <c r="S4" s="3" t="s">
        <v>820</v>
      </c>
      <c r="T4" s="3" t="s">
        <v>819</v>
      </c>
    </row>
    <row r="5" spans="1:32" ht="409.6" x14ac:dyDescent="0.3">
      <c r="A5" s="3" t="str">
        <f t="shared" si="0"/>
        <v>PF_ITNIC_PF_PSC_001</v>
      </c>
      <c r="B5" s="3" t="s">
        <v>21</v>
      </c>
      <c r="C5" s="3" t="s">
        <v>35</v>
      </c>
      <c r="D5" s="3" t="s">
        <v>157</v>
      </c>
      <c r="E5" s="3" t="s">
        <v>36</v>
      </c>
      <c r="F5" s="3">
        <v>3</v>
      </c>
      <c r="G5" s="3" t="s">
        <v>16</v>
      </c>
      <c r="H5" s="3" t="s">
        <v>17</v>
      </c>
      <c r="I5" s="3" t="s">
        <v>195</v>
      </c>
      <c r="J5" s="3" t="s">
        <v>126</v>
      </c>
      <c r="K5" s="3">
        <v>1</v>
      </c>
      <c r="L5" s="3" t="s">
        <v>159</v>
      </c>
      <c r="M5" s="3" t="str">
        <f>IF(B5="","","PF"&amp;"_"&amp;IFERROR(VLOOKUP(B5,LOOKUPS!$K$2:$L$9,2,FALSE),"UNK")&amp;"_"&amp;IFERROR(VLOOKUP(C5,LOOKUPS!$N$2:$O$10,2,FALSE),"UNK")&amp;"_"&amp;UPPER(L5))</f>
        <v>PF_ITNIC_PF_PSC</v>
      </c>
      <c r="N5" s="3">
        <f>IF(M5="","",COUNTIF($M$2:M5,M5))</f>
        <v>1</v>
      </c>
      <c r="O5" s="3" t="s">
        <v>196</v>
      </c>
      <c r="P5" s="3" t="s">
        <v>197</v>
      </c>
      <c r="Q5" s="3" t="s">
        <v>198</v>
      </c>
      <c r="R5" s="3" t="s">
        <v>199</v>
      </c>
      <c r="S5" s="3" t="s">
        <v>810</v>
      </c>
      <c r="T5" s="3" t="s">
        <v>813</v>
      </c>
      <c r="AF5" s="3" t="s">
        <v>17</v>
      </c>
    </row>
    <row r="6" spans="1:32" ht="409.6" x14ac:dyDescent="0.3">
      <c r="A6" s="3" t="str">
        <f t="shared" si="0"/>
        <v>PF_ITNIC_PF_PSC_002</v>
      </c>
      <c r="B6" s="3" t="s">
        <v>21</v>
      </c>
      <c r="C6" s="3" t="s">
        <v>35</v>
      </c>
      <c r="D6" s="3" t="s">
        <v>157</v>
      </c>
      <c r="E6" s="3" t="s">
        <v>36</v>
      </c>
      <c r="F6" s="3">
        <v>3</v>
      </c>
      <c r="G6" s="3" t="s">
        <v>16</v>
      </c>
      <c r="H6" s="3" t="s">
        <v>17</v>
      </c>
      <c r="I6" s="3" t="s">
        <v>195</v>
      </c>
      <c r="J6" s="3" t="s">
        <v>126</v>
      </c>
      <c r="K6" s="3">
        <v>1</v>
      </c>
      <c r="L6" s="3" t="s">
        <v>159</v>
      </c>
      <c r="M6" s="3" t="str">
        <f>IF(B6="","","PF"&amp;"_"&amp;IFERROR(VLOOKUP(B6,LOOKUPS!$K$2:$L$9,2,FALSE),"UNK")&amp;"_"&amp;IFERROR(VLOOKUP(C6,LOOKUPS!$N$2:$O$10,2,FALSE),"UNK")&amp;"_"&amp;UPPER(L6))</f>
        <v>PF_ITNIC_PF_PSC</v>
      </c>
      <c r="N6" s="3">
        <f>IF(M6="","",COUNTIF($M$2:M6,M6))</f>
        <v>2</v>
      </c>
      <c r="O6" s="3" t="s">
        <v>196</v>
      </c>
      <c r="P6" s="3" t="s">
        <v>231</v>
      </c>
      <c r="Q6" s="3" t="s">
        <v>232</v>
      </c>
      <c r="R6" s="3" t="s">
        <v>233</v>
      </c>
      <c r="S6" s="3" t="s">
        <v>812</v>
      </c>
      <c r="T6" s="3" t="s">
        <v>811</v>
      </c>
    </row>
    <row r="7" spans="1:32" ht="409.6" x14ac:dyDescent="0.3">
      <c r="A7" s="3" t="str">
        <f t="shared" si="0"/>
        <v>PF_ITNIC_PF_ITCOMP_001</v>
      </c>
      <c r="B7" s="3" t="s">
        <v>21</v>
      </c>
      <c r="C7" s="3" t="s">
        <v>35</v>
      </c>
      <c r="D7" s="3" t="s">
        <v>309</v>
      </c>
      <c r="E7" s="3" t="s">
        <v>36</v>
      </c>
      <c r="F7" s="3">
        <v>3</v>
      </c>
      <c r="G7" s="3" t="s">
        <v>16</v>
      </c>
      <c r="H7" s="3" t="s">
        <v>17</v>
      </c>
      <c r="I7" s="3" t="s">
        <v>310</v>
      </c>
      <c r="J7" s="3" t="s">
        <v>311</v>
      </c>
      <c r="K7" s="3">
        <v>1</v>
      </c>
      <c r="L7" s="3" t="s">
        <v>312</v>
      </c>
      <c r="M7" s="3" t="str">
        <f>IF(B7="","","PF"&amp;"_"&amp;IFERROR(VLOOKUP(B7,LOOKUPS!$K$2:$L$9,2,FALSE),"UNK")&amp;"_"&amp;IFERROR(VLOOKUP(C7,LOOKUPS!$N$2:$O$10,2,FALSE),"UNK")&amp;"_"&amp;UPPER(L7))</f>
        <v>PF_ITNIC_PF_ITCOMP</v>
      </c>
      <c r="N7" s="3">
        <f>IF(M7="","",COUNTIF($M$2:M7,M7))</f>
        <v>1</v>
      </c>
      <c r="O7" s="3" t="s">
        <v>309</v>
      </c>
      <c r="P7" s="3" t="s">
        <v>313</v>
      </c>
      <c r="Q7" s="3" t="s">
        <v>316</v>
      </c>
      <c r="R7" s="3" t="s">
        <v>317</v>
      </c>
      <c r="S7" s="3" t="s">
        <v>318</v>
      </c>
      <c r="T7" s="3" t="s">
        <v>315</v>
      </c>
    </row>
    <row r="8" spans="1:32" x14ac:dyDescent="0.3">
      <c r="A8" s="3" t="str">
        <f t="shared" si="0"/>
        <v/>
      </c>
      <c r="M8" s="3" t="str">
        <f>IF(B8="","","PF"&amp;"_"&amp;IFERROR(VLOOKUP(B8,LOOKUPS!$K$2:$L$9,2,FALSE),"UNK")&amp;"_"&amp;IFERROR(VLOOKUP(C8,LOOKUPS!$N$2:$O$10,2,FALSE),"UNK")&amp;"_"&amp;UPPER(L8))</f>
        <v/>
      </c>
      <c r="N8" s="3" t="str">
        <f>IF(M8="","",COUNTIF($M$2:M8,M8))</f>
        <v/>
      </c>
    </row>
    <row r="9" spans="1:32" x14ac:dyDescent="0.3">
      <c r="A9" s="3" t="str">
        <f t="shared" si="0"/>
        <v/>
      </c>
      <c r="M9" s="3" t="str">
        <f>IF(B9="","","PF"&amp;"_"&amp;IFERROR(VLOOKUP(B9,LOOKUPS!$K$2:$L$9,2,FALSE),"UNK")&amp;"_"&amp;IFERROR(VLOOKUP(C9,LOOKUPS!$N$2:$O$10,2,FALSE),"UNK")&amp;"_"&amp;UPPER(L9))</f>
        <v/>
      </c>
      <c r="N9" s="3" t="str">
        <f>IF(M9="","",COUNTIF($M$2:M9,M9))</f>
        <v/>
      </c>
    </row>
    <row r="10" spans="1:32" x14ac:dyDescent="0.3">
      <c r="A10" s="3" t="str">
        <f t="shared" si="0"/>
        <v/>
      </c>
      <c r="M10" s="3" t="str">
        <f>IF(B10="","","PF"&amp;"_"&amp;IFERROR(VLOOKUP(B10,LOOKUPS!$K$2:$L$9,2,FALSE),"UNK")&amp;"_"&amp;IFERROR(VLOOKUP(C10,LOOKUPS!$N$2:$O$10,2,FALSE),"UNK")&amp;"_"&amp;UPPER(L10))</f>
        <v/>
      </c>
      <c r="N10" s="3" t="str">
        <f>IF(M10="","",COUNTIF($M$2:M10,M10))</f>
        <v/>
      </c>
    </row>
    <row r="11" spans="1:32" x14ac:dyDescent="0.3">
      <c r="A11" s="3" t="str">
        <f t="shared" si="0"/>
        <v/>
      </c>
      <c r="M11" s="3" t="str">
        <f>IF(B11="","","PF"&amp;"_"&amp;IFERROR(VLOOKUP(B11,LOOKUPS!$K$2:$L$9,2,FALSE),"UNK")&amp;"_"&amp;IFERROR(VLOOKUP(C11,LOOKUPS!$N$2:$O$10,2,FALSE),"UNK")&amp;"_"&amp;UPPER(L11))</f>
        <v/>
      </c>
      <c r="N11" s="3" t="str">
        <f>IF(M11="","",COUNTIF($M$2:M11,M11))</f>
        <v/>
      </c>
    </row>
    <row r="12" spans="1:32" x14ac:dyDescent="0.3">
      <c r="A12" s="3" t="str">
        <f t="shared" si="0"/>
        <v/>
      </c>
      <c r="M12" s="3" t="str">
        <f>IF(B12="","","PF"&amp;"_"&amp;IFERROR(VLOOKUP(B12,LOOKUPS!$K$2:$L$9,2,FALSE),"UNK")&amp;"_"&amp;IFERROR(VLOOKUP(C12,LOOKUPS!$N$2:$O$10,2,FALSE),"UNK")&amp;"_"&amp;UPPER(L12))</f>
        <v/>
      </c>
      <c r="N12" s="3" t="str">
        <f>IF(M12="","",COUNTIF($M$2:M12,M12))</f>
        <v/>
      </c>
    </row>
    <row r="13" spans="1:32" x14ac:dyDescent="0.3">
      <c r="A13" s="3" t="str">
        <f t="shared" si="0"/>
        <v/>
      </c>
      <c r="M13" s="3" t="str">
        <f>IF(B13="","","PF"&amp;"_"&amp;IFERROR(VLOOKUP(B13,LOOKUPS!$K$2:$L$9,2,FALSE),"UNK")&amp;"_"&amp;IFERROR(VLOOKUP(C13,LOOKUPS!$N$2:$O$10,2,FALSE),"UNK")&amp;"_"&amp;UPPER(L13))</f>
        <v/>
      </c>
      <c r="N13" s="3" t="str">
        <f>IF(M13="","",COUNTIF($M$2:M13,M13))</f>
        <v/>
      </c>
    </row>
    <row r="14" spans="1:32" x14ac:dyDescent="0.3">
      <c r="A14" s="3" t="str">
        <f t="shared" si="0"/>
        <v/>
      </c>
      <c r="M14" s="3" t="str">
        <f>IF(B14="","","PF"&amp;"_"&amp;IFERROR(VLOOKUP(B14,LOOKUPS!$K$2:$L$9,2,FALSE),"UNK")&amp;"_"&amp;IFERROR(VLOOKUP(C14,LOOKUPS!$N$2:$O$10,2,FALSE),"UNK")&amp;"_"&amp;UPPER(L14))</f>
        <v/>
      </c>
      <c r="N14" s="3" t="str">
        <f>IF(M14="","",COUNTIF($M$2:M14,M14))</f>
        <v/>
      </c>
    </row>
    <row r="15" spans="1:32" x14ac:dyDescent="0.3">
      <c r="A15" s="3" t="str">
        <f t="shared" si="0"/>
        <v/>
      </c>
      <c r="M15" s="3" t="str">
        <f>IF(B15="","","PF"&amp;"_"&amp;IFERROR(VLOOKUP(B15,LOOKUPS!$K$2:$L$9,2,FALSE),"UNK")&amp;"_"&amp;IFERROR(VLOOKUP(C15,LOOKUPS!$N$2:$O$10,2,FALSE),"UNK")&amp;"_"&amp;UPPER(L15))</f>
        <v/>
      </c>
      <c r="N15" s="3" t="str">
        <f>IF(M15="","",COUNTIF($M$2:M15,M15))</f>
        <v/>
      </c>
    </row>
    <row r="16" spans="1:32" x14ac:dyDescent="0.3">
      <c r="A16" s="3" t="str">
        <f t="shared" si="0"/>
        <v/>
      </c>
      <c r="M16" s="3" t="str">
        <f>IF(B16="","","PF"&amp;"_"&amp;IFERROR(VLOOKUP(B16,LOOKUPS!$K$2:$L$9,2,FALSE),"UNK")&amp;"_"&amp;IFERROR(VLOOKUP(C16,LOOKUPS!$N$2:$O$10,2,FALSE),"UNK")&amp;"_"&amp;UPPER(L16))</f>
        <v/>
      </c>
      <c r="N16" s="3" t="str">
        <f>IF(M16="","",COUNTIF($M$2:M16,M16))</f>
        <v/>
      </c>
    </row>
    <row r="17" spans="1:14" x14ac:dyDescent="0.3">
      <c r="A17" s="3" t="str">
        <f t="shared" si="0"/>
        <v/>
      </c>
      <c r="M17" s="3" t="str">
        <f>IF(B17="","","PF"&amp;"_"&amp;IFERROR(VLOOKUP(B17,LOOKUPS!$K$2:$L$9,2,FALSE),"UNK")&amp;"_"&amp;IFERROR(VLOOKUP(C17,LOOKUPS!$N$2:$O$10,2,FALSE),"UNK")&amp;"_"&amp;UPPER(L17))</f>
        <v/>
      </c>
      <c r="N17" s="3" t="str">
        <f>IF(M17="","",COUNTIF($M$2:M17,M17))</f>
        <v/>
      </c>
    </row>
    <row r="18" spans="1:14" x14ac:dyDescent="0.3">
      <c r="A18" s="3" t="str">
        <f t="shared" si="0"/>
        <v/>
      </c>
      <c r="M18" s="3" t="str">
        <f>IF(B18="","","PF"&amp;"_"&amp;IFERROR(VLOOKUP(B18,LOOKUPS!$K$2:$L$9,2,FALSE),"UNK")&amp;"_"&amp;IFERROR(VLOOKUP(C18,LOOKUPS!$N$2:$O$10,2,FALSE),"UNK")&amp;"_"&amp;UPPER(L18))</f>
        <v/>
      </c>
      <c r="N18" s="3" t="str">
        <f>IF(M18="","",COUNTIF($M$2:M18,M18))</f>
        <v/>
      </c>
    </row>
    <row r="19" spans="1:14" x14ac:dyDescent="0.3">
      <c r="A19" s="3" t="str">
        <f t="shared" si="0"/>
        <v/>
      </c>
      <c r="M19" s="3" t="str">
        <f>IF(B19="","","PF"&amp;"_"&amp;IFERROR(VLOOKUP(B19,LOOKUPS!$K$2:$L$9,2,FALSE),"UNK")&amp;"_"&amp;IFERROR(VLOOKUP(C19,LOOKUPS!$N$2:$O$10,2,FALSE),"UNK")&amp;"_"&amp;UPPER(L19))</f>
        <v/>
      </c>
      <c r="N19" s="3" t="str">
        <f>IF(M19="","",COUNTIF($M$2:M19,M19))</f>
        <v/>
      </c>
    </row>
    <row r="20" spans="1:14" x14ac:dyDescent="0.3">
      <c r="A20" s="3" t="str">
        <f t="shared" si="0"/>
        <v/>
      </c>
      <c r="M20" s="3" t="str">
        <f>IF(B20="","","PF"&amp;"_"&amp;IFERROR(VLOOKUP(B20,LOOKUPS!$K$2:$L$9,2,FALSE),"UNK")&amp;"_"&amp;IFERROR(VLOOKUP(C20,LOOKUPS!$N$2:$O$10,2,FALSE),"UNK")&amp;"_"&amp;UPPER(L20))</f>
        <v/>
      </c>
      <c r="N20" s="3" t="str">
        <f>IF(M20="","",COUNTIF($M$2:M20,M20))</f>
        <v/>
      </c>
    </row>
    <row r="21" spans="1:14" x14ac:dyDescent="0.3">
      <c r="A21" s="3" t="str">
        <f t="shared" si="0"/>
        <v/>
      </c>
      <c r="M21" s="3" t="str">
        <f>IF(B21="","","PF"&amp;"_"&amp;IFERROR(VLOOKUP(B21,LOOKUPS!$K$2:$L$9,2,FALSE),"UNK")&amp;"_"&amp;IFERROR(VLOOKUP(C21,LOOKUPS!$N$2:$O$10,2,FALSE),"UNK")&amp;"_"&amp;UPPER(L21))</f>
        <v/>
      </c>
      <c r="N21" s="3" t="str">
        <f>IF(M21="","",COUNTIF($M$2:M21,M21))</f>
        <v/>
      </c>
    </row>
    <row r="22" spans="1:14" x14ac:dyDescent="0.3">
      <c r="A22" s="3" t="str">
        <f t="shared" si="0"/>
        <v/>
      </c>
      <c r="M22" s="3" t="str">
        <f>IF(B22="","","PF"&amp;"_"&amp;IFERROR(VLOOKUP(B22,LOOKUPS!$K$2:$L$9,2,FALSE),"UNK")&amp;"_"&amp;IFERROR(VLOOKUP(C22,LOOKUPS!$N$2:$O$10,2,FALSE),"UNK")&amp;"_"&amp;UPPER(L22))</f>
        <v/>
      </c>
      <c r="N22" s="3" t="str">
        <f>IF(M22="","",COUNTIF($M$2:M22,M22))</f>
        <v/>
      </c>
    </row>
    <row r="23" spans="1:14" x14ac:dyDescent="0.3">
      <c r="A23" s="3" t="str">
        <f t="shared" si="0"/>
        <v/>
      </c>
      <c r="M23" s="3" t="str">
        <f>IF(B23="","","PF"&amp;"_"&amp;IFERROR(VLOOKUP(B23,LOOKUPS!$K$2:$L$9,2,FALSE),"UNK")&amp;"_"&amp;IFERROR(VLOOKUP(C23,LOOKUPS!$N$2:$O$10,2,FALSE),"UNK")&amp;"_"&amp;UPPER(L23))</f>
        <v/>
      </c>
      <c r="N23" s="3" t="str">
        <f>IF(M23="","",COUNTIF($M$2:M23,M23))</f>
        <v/>
      </c>
    </row>
    <row r="24" spans="1:14" x14ac:dyDescent="0.3">
      <c r="A24" s="3" t="str">
        <f t="shared" si="0"/>
        <v/>
      </c>
      <c r="M24" s="3" t="str">
        <f>IF(B24="","","PF"&amp;"_"&amp;IFERROR(VLOOKUP(B24,LOOKUPS!$K$2:$L$9,2,FALSE),"UNK")&amp;"_"&amp;IFERROR(VLOOKUP(C24,LOOKUPS!$N$2:$O$10,2,FALSE),"UNK")&amp;"_"&amp;UPPER(L24))</f>
        <v/>
      </c>
      <c r="N24" s="3" t="str">
        <f>IF(M24="","",COUNTIF($M$2:M24,M24))</f>
        <v/>
      </c>
    </row>
    <row r="25" spans="1:14" x14ac:dyDescent="0.3">
      <c r="A25" s="3" t="str">
        <f t="shared" si="0"/>
        <v/>
      </c>
      <c r="M25" s="3" t="str">
        <f>IF(B25="","","PF"&amp;"_"&amp;IFERROR(VLOOKUP(B25,LOOKUPS!$K$2:$L$9,2,FALSE),"UNK")&amp;"_"&amp;IFERROR(VLOOKUP(C25,LOOKUPS!$N$2:$O$10,2,FALSE),"UNK")&amp;"_"&amp;UPPER(L25))</f>
        <v/>
      </c>
      <c r="N25" s="3" t="str">
        <f>IF(M25="","",COUNTIF($M$2:M25,M25))</f>
        <v/>
      </c>
    </row>
    <row r="26" spans="1:14" x14ac:dyDescent="0.3">
      <c r="A26" s="3" t="str">
        <f t="shared" si="0"/>
        <v/>
      </c>
      <c r="M26" s="3" t="str">
        <f>IF(B26="","","PF"&amp;"_"&amp;IFERROR(VLOOKUP(B26,LOOKUPS!$K$2:$L$9,2,FALSE),"UNK")&amp;"_"&amp;IFERROR(VLOOKUP(C26,LOOKUPS!$N$2:$O$10,2,FALSE),"UNK")&amp;"_"&amp;UPPER(L26))</f>
        <v/>
      </c>
      <c r="N26" s="3" t="str">
        <f>IF(M26="","",COUNTIF($M$2:M26,M26))</f>
        <v/>
      </c>
    </row>
    <row r="27" spans="1:14" x14ac:dyDescent="0.3">
      <c r="A27" s="3" t="str">
        <f t="shared" si="0"/>
        <v/>
      </c>
      <c r="M27" s="3" t="str">
        <f>IF(B27="","","PF"&amp;"_"&amp;IFERROR(VLOOKUP(B27,LOOKUPS!$K$2:$L$9,2,FALSE),"UNK")&amp;"_"&amp;IFERROR(VLOOKUP(C27,LOOKUPS!$N$2:$O$10,2,FALSE),"UNK")&amp;"_"&amp;UPPER(L27))</f>
        <v/>
      </c>
      <c r="N27" s="3" t="str">
        <f>IF(M27="","",COUNTIF($M$2:M27,M27))</f>
        <v/>
      </c>
    </row>
    <row r="28" spans="1:14" x14ac:dyDescent="0.3">
      <c r="A28" s="3" t="str">
        <f t="shared" si="0"/>
        <v/>
      </c>
      <c r="M28" s="3" t="str">
        <f>IF(B28="","","PF"&amp;"_"&amp;IFERROR(VLOOKUP(B28,LOOKUPS!$K$2:$L$9,2,FALSE),"UNK")&amp;"_"&amp;IFERROR(VLOOKUP(C28,LOOKUPS!$N$2:$O$10,2,FALSE),"UNK")&amp;"_"&amp;UPPER(L28))</f>
        <v/>
      </c>
      <c r="N28" s="3" t="str">
        <f>IF(M28="","",COUNTIF($M$2:M28,M28))</f>
        <v/>
      </c>
    </row>
    <row r="29" spans="1:14" x14ac:dyDescent="0.3">
      <c r="A29" s="3" t="str">
        <f t="shared" si="0"/>
        <v/>
      </c>
      <c r="M29" s="3" t="str">
        <f>IF(B29="","","PF"&amp;"_"&amp;IFERROR(VLOOKUP(B29,LOOKUPS!$K$2:$L$9,2,FALSE),"UNK")&amp;"_"&amp;IFERROR(VLOOKUP(C29,LOOKUPS!$N$2:$O$10,2,FALSE),"UNK")&amp;"_"&amp;UPPER(L29))</f>
        <v/>
      </c>
      <c r="N29" s="3" t="str">
        <f>IF(M29="","",COUNTIF($M$2:M29,M29))</f>
        <v/>
      </c>
    </row>
    <row r="30" spans="1:14" x14ac:dyDescent="0.3">
      <c r="A30" s="3" t="str">
        <f t="shared" si="0"/>
        <v/>
      </c>
      <c r="M30" s="3" t="str">
        <f>IF(B30="","","PF"&amp;"_"&amp;IFERROR(VLOOKUP(B30,LOOKUPS!$K$2:$L$9,2,FALSE),"UNK")&amp;"_"&amp;IFERROR(VLOOKUP(C30,LOOKUPS!$N$2:$O$10,2,FALSE),"UNK")&amp;"_"&amp;UPPER(L30))</f>
        <v/>
      </c>
      <c r="N30" s="3" t="str">
        <f>IF(M30="","",COUNTIF($M$2:M30,M30))</f>
        <v/>
      </c>
    </row>
    <row r="31" spans="1:14" x14ac:dyDescent="0.3">
      <c r="A31" s="3" t="str">
        <f t="shared" si="0"/>
        <v/>
      </c>
      <c r="M31" s="3" t="str">
        <f>IF(B31="","","PF"&amp;"_"&amp;IFERROR(VLOOKUP(B31,LOOKUPS!$K$2:$L$9,2,FALSE),"UNK")&amp;"_"&amp;IFERROR(VLOOKUP(C31,LOOKUPS!$N$2:$O$10,2,FALSE),"UNK")&amp;"_"&amp;UPPER(L31))</f>
        <v/>
      </c>
      <c r="N31" s="3" t="str">
        <f>IF(M31="","",COUNTIF($M$2:M31,M31))</f>
        <v/>
      </c>
    </row>
    <row r="32" spans="1:14" x14ac:dyDescent="0.3">
      <c r="A32" s="3" t="str">
        <f t="shared" si="0"/>
        <v/>
      </c>
      <c r="M32" s="3" t="str">
        <f>IF(B32="","","PF"&amp;"_"&amp;IFERROR(VLOOKUP(B32,LOOKUPS!$K$2:$L$9,2,FALSE),"UNK")&amp;"_"&amp;IFERROR(VLOOKUP(C32,LOOKUPS!$N$2:$O$10,2,FALSE),"UNK")&amp;"_"&amp;UPPER(L32))</f>
        <v/>
      </c>
      <c r="N32" s="3" t="str">
        <f>IF(M32="","",COUNTIF($M$2:M32,M32))</f>
        <v/>
      </c>
    </row>
    <row r="33" spans="1:14" x14ac:dyDescent="0.3">
      <c r="A33" s="3" t="str">
        <f t="shared" si="0"/>
        <v/>
      </c>
      <c r="M33" s="3" t="str">
        <f>IF(B33="","","PF"&amp;"_"&amp;IFERROR(VLOOKUP(B33,LOOKUPS!$K$2:$L$9,2,FALSE),"UNK")&amp;"_"&amp;IFERROR(VLOOKUP(C33,LOOKUPS!$N$2:$O$10,2,FALSE),"UNK")&amp;"_"&amp;UPPER(L33))</f>
        <v/>
      </c>
      <c r="N33" s="3" t="str">
        <f>IF(M33="","",COUNTIF($M$2:M33,M33))</f>
        <v/>
      </c>
    </row>
    <row r="34" spans="1:14" x14ac:dyDescent="0.3">
      <c r="A34" s="3" t="str">
        <f t="shared" si="0"/>
        <v/>
      </c>
      <c r="M34" s="3" t="str">
        <f>IF(B34="","","PF"&amp;"_"&amp;IFERROR(VLOOKUP(B34,LOOKUPS!$K$2:$L$9,2,FALSE),"UNK")&amp;"_"&amp;IFERROR(VLOOKUP(C34,LOOKUPS!$N$2:$O$10,2,FALSE),"UNK")&amp;"_"&amp;UPPER(L34))</f>
        <v/>
      </c>
      <c r="N34" s="3" t="str">
        <f>IF(M34="","",COUNTIF($M$2:M34,M34))</f>
        <v/>
      </c>
    </row>
    <row r="35" spans="1:14" x14ac:dyDescent="0.3">
      <c r="A35" s="3" t="str">
        <f t="shared" si="0"/>
        <v/>
      </c>
      <c r="M35" s="3" t="str">
        <f>IF(B35="","","PF"&amp;"_"&amp;IFERROR(VLOOKUP(B35,LOOKUPS!$K$2:$L$9,2,FALSE),"UNK")&amp;"_"&amp;IFERROR(VLOOKUP(C35,LOOKUPS!$N$2:$O$10,2,FALSE),"UNK")&amp;"_"&amp;UPPER(L35))</f>
        <v/>
      </c>
      <c r="N35" s="3" t="str">
        <f>IF(M35="","",COUNTIF($M$2:M35,M35))</f>
        <v/>
      </c>
    </row>
    <row r="36" spans="1:14" x14ac:dyDescent="0.3">
      <c r="A36" s="3" t="str">
        <f t="shared" si="0"/>
        <v/>
      </c>
      <c r="M36" s="3" t="str">
        <f>IF(B36="","","PF"&amp;"_"&amp;IFERROR(VLOOKUP(B36,LOOKUPS!$K$2:$L$9,2,FALSE),"UNK")&amp;"_"&amp;IFERROR(VLOOKUP(C36,LOOKUPS!$N$2:$O$10,2,FALSE),"UNK")&amp;"_"&amp;UPPER(L36))</f>
        <v/>
      </c>
      <c r="N36" s="3" t="str">
        <f>IF(M36="","",COUNTIF($M$2:M36,M36))</f>
        <v/>
      </c>
    </row>
    <row r="37" spans="1:14" x14ac:dyDescent="0.3">
      <c r="A37" s="3" t="str">
        <f t="shared" si="0"/>
        <v/>
      </c>
      <c r="M37" s="3" t="str">
        <f>IF(B37="","","PF"&amp;"_"&amp;IFERROR(VLOOKUP(B37,LOOKUPS!$K$2:$L$9,2,FALSE),"UNK")&amp;"_"&amp;IFERROR(VLOOKUP(C37,LOOKUPS!$N$2:$O$10,2,FALSE),"UNK")&amp;"_"&amp;UPPER(L37))</f>
        <v/>
      </c>
      <c r="N37" s="3" t="str">
        <f>IF(M37="","",COUNTIF($M$2:M37,M37))</f>
        <v/>
      </c>
    </row>
    <row r="38" spans="1:14" x14ac:dyDescent="0.3">
      <c r="A38" s="3" t="str">
        <f t="shared" si="0"/>
        <v/>
      </c>
      <c r="M38" s="3" t="str">
        <f>IF(B38="","","PF"&amp;"_"&amp;IFERROR(VLOOKUP(B38,LOOKUPS!$K$2:$L$9,2,FALSE),"UNK")&amp;"_"&amp;IFERROR(VLOOKUP(C38,LOOKUPS!$N$2:$O$10,2,FALSE),"UNK")&amp;"_"&amp;UPPER(L38))</f>
        <v/>
      </c>
      <c r="N38" s="3" t="str">
        <f>IF(M38="","",COUNTIF($M$2:M38,M38))</f>
        <v/>
      </c>
    </row>
    <row r="39" spans="1:14" x14ac:dyDescent="0.3">
      <c r="A39" s="3" t="str">
        <f t="shared" si="0"/>
        <v/>
      </c>
      <c r="M39" s="3" t="str">
        <f>IF(B39="","","PF"&amp;"_"&amp;IFERROR(VLOOKUP(B39,LOOKUPS!$K$2:$L$9,2,FALSE),"UNK")&amp;"_"&amp;IFERROR(VLOOKUP(C39,LOOKUPS!$N$2:$O$10,2,FALSE),"UNK")&amp;"_"&amp;UPPER(L39))</f>
        <v/>
      </c>
      <c r="N39" s="3" t="str">
        <f>IF(M39="","",COUNTIF($M$2:M39,M39))</f>
        <v/>
      </c>
    </row>
    <row r="40" spans="1:14" x14ac:dyDescent="0.3">
      <c r="A40" s="3" t="str">
        <f t="shared" si="0"/>
        <v/>
      </c>
      <c r="M40" s="3" t="str">
        <f>IF(B40="","","PF"&amp;"_"&amp;IFERROR(VLOOKUP(B40,LOOKUPS!$K$2:$L$9,2,FALSE),"UNK")&amp;"_"&amp;IFERROR(VLOOKUP(C40,LOOKUPS!$N$2:$O$10,2,FALSE),"UNK")&amp;"_"&amp;UPPER(L40))</f>
        <v/>
      </c>
      <c r="N40" s="3" t="str">
        <f>IF(M40="","",COUNTIF($M$2:M40,M40))</f>
        <v/>
      </c>
    </row>
    <row r="41" spans="1:14" x14ac:dyDescent="0.3">
      <c r="A41" s="3" t="str">
        <f t="shared" si="0"/>
        <v/>
      </c>
      <c r="M41" s="3" t="str">
        <f>IF(B41="","","PF"&amp;"_"&amp;IFERROR(VLOOKUP(B41,LOOKUPS!$K$2:$L$9,2,FALSE),"UNK")&amp;"_"&amp;IFERROR(VLOOKUP(C41,LOOKUPS!$N$2:$O$10,2,FALSE),"UNK")&amp;"_"&amp;UPPER(L41))</f>
        <v/>
      </c>
      <c r="N41" s="3" t="str">
        <f>IF(M41="","",COUNTIF($M$2:M41,M41))</f>
        <v/>
      </c>
    </row>
    <row r="42" spans="1:14" x14ac:dyDescent="0.3">
      <c r="A42" s="3" t="str">
        <f t="shared" si="0"/>
        <v/>
      </c>
      <c r="M42" s="3" t="str">
        <f>IF(B42="","","PF"&amp;"_"&amp;IFERROR(VLOOKUP(B42,LOOKUPS!$K$2:$L$9,2,FALSE),"UNK")&amp;"_"&amp;IFERROR(VLOOKUP(C42,LOOKUPS!$N$2:$O$10,2,FALSE),"UNK")&amp;"_"&amp;UPPER(L42))</f>
        <v/>
      </c>
      <c r="N42" s="3" t="str">
        <f>IF(M42="","",COUNTIF($M$2:M42,M42))</f>
        <v/>
      </c>
    </row>
    <row r="43" spans="1:14" x14ac:dyDescent="0.3">
      <c r="A43" s="3" t="str">
        <f t="shared" si="0"/>
        <v/>
      </c>
      <c r="M43" s="3" t="str">
        <f>IF(B43="","","PF"&amp;"_"&amp;IFERROR(VLOOKUP(B43,LOOKUPS!$K$2:$L$9,2,FALSE),"UNK")&amp;"_"&amp;IFERROR(VLOOKUP(C43,LOOKUPS!$N$2:$O$10,2,FALSE),"UNK")&amp;"_"&amp;UPPER(L43))</f>
        <v/>
      </c>
      <c r="N43" s="3" t="str">
        <f>IF(M43="","",COUNTIF($M$2:M43,M43))</f>
        <v/>
      </c>
    </row>
    <row r="44" spans="1:14" x14ac:dyDescent="0.3">
      <c r="A44" s="3" t="str">
        <f t="shared" si="0"/>
        <v/>
      </c>
      <c r="M44" s="3" t="str">
        <f>IF(B44="","","PF"&amp;"_"&amp;IFERROR(VLOOKUP(B44,LOOKUPS!$K$2:$L$9,2,FALSE),"UNK")&amp;"_"&amp;IFERROR(VLOOKUP(C44,LOOKUPS!$N$2:$O$10,2,FALSE),"UNK")&amp;"_"&amp;UPPER(L44))</f>
        <v/>
      </c>
      <c r="N44" s="3" t="str">
        <f>IF(M44="","",COUNTIF($M$2:M44,M44))</f>
        <v/>
      </c>
    </row>
    <row r="45" spans="1:14" x14ac:dyDescent="0.3">
      <c r="A45" s="3" t="str">
        <f t="shared" si="0"/>
        <v/>
      </c>
      <c r="M45" s="3" t="str">
        <f>IF(B45="","","PF"&amp;"_"&amp;IFERROR(VLOOKUP(B45,LOOKUPS!$K$2:$L$9,2,FALSE),"UNK")&amp;"_"&amp;IFERROR(VLOOKUP(C45,LOOKUPS!$N$2:$O$10,2,FALSE),"UNK")&amp;"_"&amp;UPPER(L45))</f>
        <v/>
      </c>
      <c r="N45" s="3" t="str">
        <f>IF(M45="","",COUNTIF($M$2:M45,M45))</f>
        <v/>
      </c>
    </row>
    <row r="46" spans="1:14" x14ac:dyDescent="0.3">
      <c r="A46" s="3" t="str">
        <f t="shared" si="0"/>
        <v/>
      </c>
      <c r="M46" s="3" t="str">
        <f>IF(B46="","","PF"&amp;"_"&amp;IFERROR(VLOOKUP(B46,LOOKUPS!$K$2:$L$9,2,FALSE),"UNK")&amp;"_"&amp;IFERROR(VLOOKUP(C46,LOOKUPS!$N$2:$O$10,2,FALSE),"UNK")&amp;"_"&amp;UPPER(L46))</f>
        <v/>
      </c>
      <c r="N46" s="3" t="str">
        <f>IF(M46="","",COUNTIF($M$2:M46,M46))</f>
        <v/>
      </c>
    </row>
    <row r="47" spans="1:14" x14ac:dyDescent="0.3">
      <c r="A47" s="3" t="str">
        <f t="shared" si="0"/>
        <v/>
      </c>
      <c r="M47" s="3" t="str">
        <f>IF(B47="","","PF"&amp;"_"&amp;IFERROR(VLOOKUP(B47,LOOKUPS!$K$2:$L$9,2,FALSE),"UNK")&amp;"_"&amp;IFERROR(VLOOKUP(C47,LOOKUPS!$N$2:$O$10,2,FALSE),"UNK")&amp;"_"&amp;UPPER(L47))</f>
        <v/>
      </c>
      <c r="N47" s="3" t="str">
        <f>IF(M47="","",COUNTIF($M$2:M47,M47))</f>
        <v/>
      </c>
    </row>
    <row r="48" spans="1:14" x14ac:dyDescent="0.3">
      <c r="A48" s="3" t="str">
        <f t="shared" si="0"/>
        <v/>
      </c>
      <c r="M48" s="3" t="str">
        <f>IF(B48="","","PF"&amp;"_"&amp;IFERROR(VLOOKUP(B48,LOOKUPS!$K$2:$L$9,2,FALSE),"UNK")&amp;"_"&amp;IFERROR(VLOOKUP(C48,LOOKUPS!$N$2:$O$10,2,FALSE),"UNK")&amp;"_"&amp;UPPER(L48))</f>
        <v/>
      </c>
      <c r="N48" s="3" t="str">
        <f>IF(M48="","",COUNTIF($M$2:M48,M48))</f>
        <v/>
      </c>
    </row>
    <row r="49" spans="1:14" x14ac:dyDescent="0.3">
      <c r="A49" s="3" t="str">
        <f t="shared" si="0"/>
        <v/>
      </c>
      <c r="M49" s="3" t="str">
        <f>IF(B49="","","PF"&amp;"_"&amp;IFERROR(VLOOKUP(B49,LOOKUPS!$K$2:$L$9,2,FALSE),"UNK")&amp;"_"&amp;IFERROR(VLOOKUP(C49,LOOKUPS!$N$2:$O$10,2,FALSE),"UNK")&amp;"_"&amp;UPPER(L49))</f>
        <v/>
      </c>
      <c r="N49" s="3" t="str">
        <f>IF(M49="","",COUNTIF($M$2:M49,M49))</f>
        <v/>
      </c>
    </row>
    <row r="50" spans="1:14" x14ac:dyDescent="0.3">
      <c r="A50" s="3" t="str">
        <f t="shared" si="0"/>
        <v/>
      </c>
      <c r="M50" s="3" t="str">
        <f>IF(B50="","","PF"&amp;"_"&amp;IFERROR(VLOOKUP(B50,LOOKUPS!$K$2:$L$9,2,FALSE),"UNK")&amp;"_"&amp;IFERROR(VLOOKUP(C50,LOOKUPS!$N$2:$O$10,2,FALSE),"UNK")&amp;"_"&amp;UPPER(L50))</f>
        <v/>
      </c>
      <c r="N50" s="3" t="str">
        <f>IF(M50="","",COUNTIF($M$2:M50,M50))</f>
        <v/>
      </c>
    </row>
    <row r="51" spans="1:14" x14ac:dyDescent="0.3">
      <c r="A51" s="3" t="str">
        <f t="shared" si="0"/>
        <v/>
      </c>
      <c r="M51" s="3" t="str">
        <f>IF(B51="","","PF"&amp;"_"&amp;IFERROR(VLOOKUP(B51,LOOKUPS!$K$2:$L$9,2,FALSE),"UNK")&amp;"_"&amp;IFERROR(VLOOKUP(C51,LOOKUPS!$N$2:$O$10,2,FALSE),"UNK")&amp;"_"&amp;UPPER(L51))</f>
        <v/>
      </c>
      <c r="N51" s="3" t="str">
        <f>IF(M51="","",COUNTIF($M$2:M51,M51))</f>
        <v/>
      </c>
    </row>
    <row r="52" spans="1:14" x14ac:dyDescent="0.3">
      <c r="A52" s="3" t="str">
        <f t="shared" si="0"/>
        <v/>
      </c>
      <c r="M52" s="3" t="str">
        <f>IF(B52="","","PF"&amp;"_"&amp;IFERROR(VLOOKUP(B52,LOOKUPS!$K$2:$L$9,2,FALSE),"UNK")&amp;"_"&amp;IFERROR(VLOOKUP(C52,LOOKUPS!$N$2:$O$10,2,FALSE),"UNK")&amp;"_"&amp;UPPER(L52))</f>
        <v/>
      </c>
      <c r="N52" s="3" t="str">
        <f>IF(M52="","",COUNTIF($M$2:M52,M52))</f>
        <v/>
      </c>
    </row>
    <row r="53" spans="1:14" x14ac:dyDescent="0.3">
      <c r="A53" s="3" t="str">
        <f t="shared" si="0"/>
        <v/>
      </c>
      <c r="M53" s="3" t="str">
        <f>IF(B53="","","PF"&amp;"_"&amp;IFERROR(VLOOKUP(B53,LOOKUPS!$K$2:$L$9,2,FALSE),"UNK")&amp;"_"&amp;IFERROR(VLOOKUP(C53,LOOKUPS!$N$2:$O$10,2,FALSE),"UNK")&amp;"_"&amp;UPPER(L53))</f>
        <v/>
      </c>
      <c r="N53" s="3" t="str">
        <f>IF(M53="","",COUNTIF($M$2:M53,M53))</f>
        <v/>
      </c>
    </row>
    <row r="54" spans="1:14" x14ac:dyDescent="0.3">
      <c r="A54" s="3" t="str">
        <f t="shared" si="0"/>
        <v/>
      </c>
      <c r="M54" s="3" t="str">
        <f>IF(B54="","","PF"&amp;"_"&amp;IFERROR(VLOOKUP(B54,LOOKUPS!$K$2:$L$9,2,FALSE),"UNK")&amp;"_"&amp;IFERROR(VLOOKUP(C54,LOOKUPS!$N$2:$O$10,2,FALSE),"UNK")&amp;"_"&amp;UPPER(L54))</f>
        <v/>
      </c>
      <c r="N54" s="3" t="str">
        <f>IF(M54="","",COUNTIF($M$2:M54,M54))</f>
        <v/>
      </c>
    </row>
    <row r="55" spans="1:14" x14ac:dyDescent="0.3">
      <c r="A55" s="3" t="str">
        <f t="shared" si="0"/>
        <v/>
      </c>
      <c r="M55" s="3" t="str">
        <f>IF(B55="","","PF"&amp;"_"&amp;IFERROR(VLOOKUP(B55,LOOKUPS!$K$2:$L$9,2,FALSE),"UNK")&amp;"_"&amp;IFERROR(VLOOKUP(C55,LOOKUPS!$N$2:$O$10,2,FALSE),"UNK")&amp;"_"&amp;UPPER(L55))</f>
        <v/>
      </c>
      <c r="N55" s="3" t="str">
        <f>IF(M55="","",COUNTIF($M$2:M55,M55))</f>
        <v/>
      </c>
    </row>
    <row r="56" spans="1:14" x14ac:dyDescent="0.3">
      <c r="A56" s="3" t="str">
        <f t="shared" si="0"/>
        <v/>
      </c>
      <c r="M56" s="3" t="str">
        <f>IF(B56="","","PF"&amp;"_"&amp;IFERROR(VLOOKUP(B56,LOOKUPS!$K$2:$L$9,2,FALSE),"UNK")&amp;"_"&amp;IFERROR(VLOOKUP(C56,LOOKUPS!$N$2:$O$10,2,FALSE),"UNK")&amp;"_"&amp;UPPER(L56))</f>
        <v/>
      </c>
      <c r="N56" s="3" t="str">
        <f>IF(M56="","",COUNTIF($M$2:M56,M56))</f>
        <v/>
      </c>
    </row>
    <row r="57" spans="1:14" x14ac:dyDescent="0.3">
      <c r="A57" s="3" t="str">
        <f t="shared" si="0"/>
        <v/>
      </c>
      <c r="M57" s="3" t="str">
        <f>IF(B57="","","PF"&amp;"_"&amp;IFERROR(VLOOKUP(B57,LOOKUPS!$K$2:$L$9,2,FALSE),"UNK")&amp;"_"&amp;IFERROR(VLOOKUP(C57,LOOKUPS!$N$2:$O$10,2,FALSE),"UNK")&amp;"_"&amp;UPPER(L57))</f>
        <v/>
      </c>
      <c r="N57" s="3" t="str">
        <f>IF(M57="","",COUNTIF($M$2:M57,M57))</f>
        <v/>
      </c>
    </row>
    <row r="58" spans="1:14" x14ac:dyDescent="0.3">
      <c r="A58" s="3" t="str">
        <f t="shared" si="0"/>
        <v/>
      </c>
      <c r="M58" s="3" t="str">
        <f>IF(B58="","","PF"&amp;"_"&amp;IFERROR(VLOOKUP(B58,LOOKUPS!$K$2:$L$9,2,FALSE),"UNK")&amp;"_"&amp;IFERROR(VLOOKUP(C58,LOOKUPS!$N$2:$O$10,2,FALSE),"UNK")&amp;"_"&amp;UPPER(L58))</f>
        <v/>
      </c>
      <c r="N58" s="3" t="str">
        <f>IF(M58="","",COUNTIF($M$2:M58,M58))</f>
        <v/>
      </c>
    </row>
    <row r="59" spans="1:14" x14ac:dyDescent="0.3">
      <c r="A59" s="3" t="str">
        <f t="shared" si="0"/>
        <v/>
      </c>
      <c r="M59" s="3" t="str">
        <f>IF(B59="","","PF"&amp;"_"&amp;IFERROR(VLOOKUP(B59,LOOKUPS!$K$2:$L$9,2,FALSE),"UNK")&amp;"_"&amp;IFERROR(VLOOKUP(C59,LOOKUPS!$N$2:$O$10,2,FALSE),"UNK")&amp;"_"&amp;UPPER(L59))</f>
        <v/>
      </c>
      <c r="N59" s="3" t="str">
        <f>IF(M59="","",COUNTIF($M$2:M59,M59))</f>
        <v/>
      </c>
    </row>
    <row r="60" spans="1:14" x14ac:dyDescent="0.3">
      <c r="A60" s="3" t="str">
        <f t="shared" si="0"/>
        <v/>
      </c>
      <c r="M60" s="3" t="str">
        <f>IF(B60="","","PF"&amp;"_"&amp;IFERROR(VLOOKUP(B60,LOOKUPS!$K$2:$L$9,2,FALSE),"UNK")&amp;"_"&amp;IFERROR(VLOOKUP(C60,LOOKUPS!$N$2:$O$10,2,FALSE),"UNK")&amp;"_"&amp;UPPER(L60))</f>
        <v/>
      </c>
      <c r="N60" s="3" t="str">
        <f>IF(M60="","",COUNTIF($M$2:M60,M60))</f>
        <v/>
      </c>
    </row>
    <row r="61" spans="1:14" x14ac:dyDescent="0.3">
      <c r="A61" s="3" t="str">
        <f t="shared" si="0"/>
        <v/>
      </c>
      <c r="M61" s="3" t="str">
        <f>IF(B61="","","PF"&amp;"_"&amp;IFERROR(VLOOKUP(B61,LOOKUPS!$K$2:$L$9,2,FALSE),"UNK")&amp;"_"&amp;IFERROR(VLOOKUP(C61,LOOKUPS!$N$2:$O$10,2,FALSE),"UNK")&amp;"_"&amp;UPPER(L61))</f>
        <v/>
      </c>
      <c r="N61" s="3" t="str">
        <f>IF(M61="","",COUNTIF($M$2:M61,M61))</f>
        <v/>
      </c>
    </row>
    <row r="62" spans="1:14" x14ac:dyDescent="0.3">
      <c r="A62" s="3" t="str">
        <f t="shared" si="0"/>
        <v/>
      </c>
      <c r="M62" s="3" t="str">
        <f>IF(B62="","","PF"&amp;"_"&amp;IFERROR(VLOOKUP(B62,LOOKUPS!$K$2:$L$9,2,FALSE),"UNK")&amp;"_"&amp;IFERROR(VLOOKUP(C62,LOOKUPS!$N$2:$O$10,2,FALSE),"UNK")&amp;"_"&amp;UPPER(L62))</f>
        <v/>
      </c>
      <c r="N62" s="3" t="str">
        <f>IF(M62="","",COUNTIF($M$2:M62,M62))</f>
        <v/>
      </c>
    </row>
    <row r="63" spans="1:14" x14ac:dyDescent="0.3">
      <c r="A63" s="3" t="str">
        <f t="shared" si="0"/>
        <v/>
      </c>
      <c r="M63" s="3" t="str">
        <f>IF(B63="","","PF"&amp;"_"&amp;IFERROR(VLOOKUP(B63,LOOKUPS!$K$2:$L$9,2,FALSE),"UNK")&amp;"_"&amp;IFERROR(VLOOKUP(C63,LOOKUPS!$N$2:$O$10,2,FALSE),"UNK")&amp;"_"&amp;UPPER(L63))</f>
        <v/>
      </c>
      <c r="N63" s="3" t="str">
        <f>IF(M63="","",COUNTIF($M$2:M63,M63))</f>
        <v/>
      </c>
    </row>
    <row r="64" spans="1:14" x14ac:dyDescent="0.3">
      <c r="A64" s="3" t="str">
        <f t="shared" si="0"/>
        <v/>
      </c>
      <c r="M64" s="3" t="str">
        <f>IF(B64="","","PF"&amp;"_"&amp;IFERROR(VLOOKUP(B64,LOOKUPS!$K$2:$L$9,2,FALSE),"UNK")&amp;"_"&amp;IFERROR(VLOOKUP(C64,LOOKUPS!$N$2:$O$10,2,FALSE),"UNK")&amp;"_"&amp;UPPER(L64))</f>
        <v/>
      </c>
      <c r="N64" s="3" t="str">
        <f>IF(M64="","",COUNTIF($M$2:M64,M64))</f>
        <v/>
      </c>
    </row>
    <row r="65" spans="1:14" x14ac:dyDescent="0.3">
      <c r="A65" s="3" t="str">
        <f t="shared" si="0"/>
        <v/>
      </c>
      <c r="M65" s="3" t="str">
        <f>IF(B65="","","PF"&amp;"_"&amp;IFERROR(VLOOKUP(B65,LOOKUPS!$K$2:$L$9,2,FALSE),"UNK")&amp;"_"&amp;IFERROR(VLOOKUP(C65,LOOKUPS!$N$2:$O$10,2,FALSE),"UNK")&amp;"_"&amp;UPPER(L65))</f>
        <v/>
      </c>
      <c r="N65" s="3" t="str">
        <f>IF(M65="","",COUNTIF($M$2:M65,M65))</f>
        <v/>
      </c>
    </row>
    <row r="66" spans="1:14" x14ac:dyDescent="0.3">
      <c r="A66" s="3" t="str">
        <f t="shared" si="0"/>
        <v/>
      </c>
      <c r="M66" s="3" t="str">
        <f>IF(B66="","","PF"&amp;"_"&amp;IFERROR(VLOOKUP(B66,LOOKUPS!$K$2:$L$9,2,FALSE),"UNK")&amp;"_"&amp;IFERROR(VLOOKUP(C66,LOOKUPS!$N$2:$O$10,2,FALSE),"UNK")&amp;"_"&amp;UPPER(L66))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IF(B67="","","PF"&amp;"_"&amp;IFERROR(VLOOKUP(B67,LOOKUPS!$K$2:$L$9,2,FALSE),"UNK")&amp;"_"&amp;IFERROR(VLOOKUP(C67,LOOKUPS!$N$2:$O$10,2,FALSE),"UNK")&amp;"_"&amp;UPPER(L67))</f>
        <v/>
      </c>
      <c r="N67" s="3" t="str">
        <f>IF(M67="","",COUNTIF($M$2:M67,M67))</f>
        <v/>
      </c>
    </row>
    <row r="68" spans="1:14" x14ac:dyDescent="0.3">
      <c r="A68" s="3" t="str">
        <f t="shared" si="1"/>
        <v/>
      </c>
      <c r="M68" s="3" t="str">
        <f>IF(B68="","","PF"&amp;"_"&amp;IFERROR(VLOOKUP(B68,LOOKUPS!$K$2:$L$9,2,FALSE),"UNK")&amp;"_"&amp;IFERROR(VLOOKUP(C68,LOOKUPS!$N$2:$O$10,2,FALSE),"UNK")&amp;"_"&amp;UPPER(L68))</f>
        <v/>
      </c>
      <c r="N68" s="3" t="str">
        <f>IF(M68="","",COUNTIF($M$2:M68,M68))</f>
        <v/>
      </c>
    </row>
    <row r="69" spans="1:14" x14ac:dyDescent="0.3">
      <c r="A69" s="3" t="str">
        <f t="shared" si="1"/>
        <v/>
      </c>
      <c r="M69" s="3" t="str">
        <f>IF(B69="","","PF"&amp;"_"&amp;IFERROR(VLOOKUP(B69,LOOKUPS!$K$2:$L$9,2,FALSE),"UNK")&amp;"_"&amp;IFERROR(VLOOKUP(C69,LOOKUPS!$N$2:$O$10,2,FALSE),"UNK")&amp;"_"&amp;UPPER(L69))</f>
        <v/>
      </c>
      <c r="N69" s="3" t="str">
        <f>IF(M69="","",COUNTIF($M$2:M69,M69))</f>
        <v/>
      </c>
    </row>
    <row r="70" spans="1:14" x14ac:dyDescent="0.3">
      <c r="A70" s="3" t="str">
        <f t="shared" si="1"/>
        <v/>
      </c>
      <c r="M70" s="3" t="str">
        <f>IF(B70="","","PF"&amp;"_"&amp;IFERROR(VLOOKUP(B70,LOOKUPS!$K$2:$L$9,2,FALSE),"UNK")&amp;"_"&amp;IFERROR(VLOOKUP(C70,LOOKUPS!$N$2:$O$10,2,FALSE),"UNK")&amp;"_"&amp;UPPER(L70))</f>
        <v/>
      </c>
      <c r="N70" s="3" t="str">
        <f>IF(M70="","",COUNTIF($M$2:M70,M70))</f>
        <v/>
      </c>
    </row>
    <row r="71" spans="1:14" x14ac:dyDescent="0.3">
      <c r="A71" s="3" t="str">
        <f t="shared" si="1"/>
        <v/>
      </c>
      <c r="M71" s="3" t="str">
        <f>IF(B71="","","PF"&amp;"_"&amp;IFERROR(VLOOKUP(B71,LOOKUPS!$K$2:$L$9,2,FALSE),"UNK")&amp;"_"&amp;IFERROR(VLOOKUP(C71,LOOKUPS!$N$2:$O$10,2,FALSE),"UNK")&amp;"_"&amp;UPPER(L71))</f>
        <v/>
      </c>
      <c r="N71" s="3" t="str">
        <f>IF(M71="","",COUNTIF($M$2:M71,M71))</f>
        <v/>
      </c>
    </row>
    <row r="72" spans="1:14" x14ac:dyDescent="0.3">
      <c r="A72" s="3" t="str">
        <f t="shared" si="1"/>
        <v/>
      </c>
      <c r="M72" s="3" t="str">
        <f>IF(B72="","","PF"&amp;"_"&amp;IFERROR(VLOOKUP(B72,LOOKUPS!$K$2:$L$9,2,FALSE),"UNK")&amp;"_"&amp;IFERROR(VLOOKUP(C72,LOOKUPS!$N$2:$O$10,2,FALSE),"UNK")&amp;"_"&amp;UPPER(L72))</f>
        <v/>
      </c>
      <c r="N72" s="3" t="str">
        <f>IF(M72="","",COUNTIF($M$2:M72,M72))</f>
        <v/>
      </c>
    </row>
    <row r="73" spans="1:14" x14ac:dyDescent="0.3">
      <c r="A73" s="3" t="str">
        <f t="shared" si="1"/>
        <v/>
      </c>
      <c r="M73" s="3" t="str">
        <f>IF(B73="","","PF"&amp;"_"&amp;IFERROR(VLOOKUP(B73,LOOKUPS!$K$2:$L$9,2,FALSE),"UNK")&amp;"_"&amp;IFERROR(VLOOKUP(C73,LOOKUPS!$N$2:$O$10,2,FALSE),"UNK")&amp;"_"&amp;UPPER(L73))</f>
        <v/>
      </c>
      <c r="N73" s="3" t="str">
        <f>IF(M73="","",COUNTIF($M$2:M73,M73))</f>
        <v/>
      </c>
    </row>
    <row r="74" spans="1:14" x14ac:dyDescent="0.3">
      <c r="A74" s="3" t="str">
        <f t="shared" si="1"/>
        <v/>
      </c>
      <c r="M74" s="3" t="str">
        <f>IF(B74="","","PF"&amp;"_"&amp;IFERROR(VLOOKUP(B74,LOOKUPS!$K$2:$L$9,2,FALSE),"UNK")&amp;"_"&amp;IFERROR(VLOOKUP(C74,LOOKUPS!$N$2:$O$10,2,FALSE),"UNK")&amp;"_"&amp;UPPER(L74))</f>
        <v/>
      </c>
      <c r="N74" s="3" t="str">
        <f>IF(M74="","",COUNTIF($M$2:M74,M74))</f>
        <v/>
      </c>
    </row>
    <row r="75" spans="1:14" x14ac:dyDescent="0.3">
      <c r="A75" s="3" t="str">
        <f t="shared" si="1"/>
        <v/>
      </c>
      <c r="M75" s="3" t="str">
        <f>IF(B75="","","PF"&amp;"_"&amp;IFERROR(VLOOKUP(B75,LOOKUPS!$K$2:$L$9,2,FALSE),"UNK")&amp;"_"&amp;IFERROR(VLOOKUP(C75,LOOKUPS!$N$2:$O$10,2,FALSE),"UNK")&amp;"_"&amp;UPPER(L75))</f>
        <v/>
      </c>
      <c r="N75" s="3" t="str">
        <f>IF(M75="","",COUNTIF($M$2:M75,M75))</f>
        <v/>
      </c>
    </row>
    <row r="76" spans="1:14" x14ac:dyDescent="0.3">
      <c r="A76" s="3" t="str">
        <f t="shared" si="1"/>
        <v/>
      </c>
      <c r="M76" s="3" t="str">
        <f>IF(B76="","","PF"&amp;"_"&amp;IFERROR(VLOOKUP(B76,LOOKUPS!$K$2:$L$9,2,FALSE),"UNK")&amp;"_"&amp;IFERROR(VLOOKUP(C76,LOOKUPS!$N$2:$O$10,2,FALSE),"UNK")&amp;"_"&amp;UPPER(L76))</f>
        <v/>
      </c>
      <c r="N76" s="3" t="str">
        <f>IF(M76="","",COUNTIF($M$2:M76,M76))</f>
        <v/>
      </c>
    </row>
    <row r="77" spans="1:14" x14ac:dyDescent="0.3">
      <c r="A77" s="3" t="str">
        <f t="shared" si="1"/>
        <v/>
      </c>
      <c r="M77" s="3" t="str">
        <f>IF(B77="","","PF"&amp;"_"&amp;IFERROR(VLOOKUP(B77,LOOKUPS!$K$2:$L$9,2,FALSE),"UNK")&amp;"_"&amp;IFERROR(VLOOKUP(C77,LOOKUPS!$N$2:$O$10,2,FALSE),"UNK")&amp;"_"&amp;UPPER(L77))</f>
        <v/>
      </c>
      <c r="N77" s="3" t="str">
        <f>IF(M77="","",COUNTIF($M$2:M77,M77))</f>
        <v/>
      </c>
    </row>
    <row r="78" spans="1:14" x14ac:dyDescent="0.3">
      <c r="A78" s="3" t="str">
        <f t="shared" si="1"/>
        <v/>
      </c>
      <c r="M78" s="3" t="str">
        <f>IF(B78="","","PF"&amp;"_"&amp;IFERROR(VLOOKUP(B78,LOOKUPS!$K$2:$L$9,2,FALSE),"UNK")&amp;"_"&amp;IFERROR(VLOOKUP(C78,LOOKUPS!$N$2:$O$10,2,FALSE),"UNK")&amp;"_"&amp;UPPER(L78))</f>
        <v/>
      </c>
      <c r="N78" s="3" t="str">
        <f>IF(M78="","",COUNTIF($M$2:M78,M78))</f>
        <v/>
      </c>
    </row>
    <row r="79" spans="1:14" x14ac:dyDescent="0.3">
      <c r="A79" s="3" t="str">
        <f t="shared" si="1"/>
        <v/>
      </c>
      <c r="M79" s="3" t="str">
        <f>IF(B79="","","PF"&amp;"_"&amp;IFERROR(VLOOKUP(B79,LOOKUPS!$K$2:$L$9,2,FALSE),"UNK")&amp;"_"&amp;IFERROR(VLOOKUP(C79,LOOKUPS!$N$2:$O$10,2,FALSE),"UNK")&amp;"_"&amp;UPPER(L79))</f>
        <v/>
      </c>
      <c r="N79" s="3" t="str">
        <f>IF(M79="","",COUNTIF($M$2:M79,M79))</f>
        <v/>
      </c>
    </row>
    <row r="80" spans="1:14" x14ac:dyDescent="0.3">
      <c r="A80" s="3" t="str">
        <f t="shared" si="1"/>
        <v/>
      </c>
      <c r="M80" s="3" t="str">
        <f>IF(B80="","","PF"&amp;"_"&amp;IFERROR(VLOOKUP(B80,LOOKUPS!$K$2:$L$9,2,FALSE),"UNK")&amp;"_"&amp;IFERROR(VLOOKUP(C80,LOOKUPS!$N$2:$O$10,2,FALSE),"UNK")&amp;"_"&amp;UPPER(L80))</f>
        <v/>
      </c>
      <c r="N80" s="3" t="str">
        <f>IF(M80="","",COUNTIF($M$2:M80,M80))</f>
        <v/>
      </c>
    </row>
    <row r="81" spans="1:14" x14ac:dyDescent="0.3">
      <c r="A81" s="3" t="str">
        <f t="shared" si="1"/>
        <v/>
      </c>
      <c r="M81" s="3" t="str">
        <f>IF(B81="","","PF"&amp;"_"&amp;IFERROR(VLOOKUP(B81,LOOKUPS!$K$2:$L$9,2,FALSE),"UNK")&amp;"_"&amp;IFERROR(VLOOKUP(C81,LOOKUPS!$N$2:$O$10,2,FALSE),"UNK")&amp;"_"&amp;UPPER(L81))</f>
        <v/>
      </c>
      <c r="N81" s="3" t="str">
        <f>IF(M81="","",COUNTIF($M$2:M81,M81))</f>
        <v/>
      </c>
    </row>
    <row r="82" spans="1:14" x14ac:dyDescent="0.3">
      <c r="A82" s="3" t="str">
        <f t="shared" si="1"/>
        <v/>
      </c>
      <c r="M82" s="3" t="str">
        <f>IF(B82="","","PF"&amp;"_"&amp;IFERROR(VLOOKUP(B82,LOOKUPS!$K$2:$L$9,2,FALSE),"UNK")&amp;"_"&amp;IFERROR(VLOOKUP(C82,LOOKUPS!$N$2:$O$10,2,FALSE),"UNK")&amp;"_"&amp;UPPER(L82))</f>
        <v/>
      </c>
      <c r="N82" s="3" t="str">
        <f>IF(M82="","",COUNTIF($M$2:M82,M82))</f>
        <v/>
      </c>
    </row>
    <row r="83" spans="1:14" x14ac:dyDescent="0.3">
      <c r="A83" s="3" t="str">
        <f t="shared" si="1"/>
        <v/>
      </c>
      <c r="M83" s="3" t="str">
        <f>IF(B83="","","PF"&amp;"_"&amp;IFERROR(VLOOKUP(B83,LOOKUPS!$K$2:$L$9,2,FALSE),"UNK")&amp;"_"&amp;IFERROR(VLOOKUP(C83,LOOKUPS!$N$2:$O$10,2,FALSE),"UNK")&amp;"_"&amp;UPPER(L83))</f>
        <v/>
      </c>
      <c r="N83" s="3" t="str">
        <f>IF(M83="","",COUNTIF($M$2:M83,M83))</f>
        <v/>
      </c>
    </row>
    <row r="84" spans="1:14" x14ac:dyDescent="0.3">
      <c r="A84" s="3" t="str">
        <f t="shared" si="1"/>
        <v/>
      </c>
      <c r="M84" s="3" t="str">
        <f>IF(B84="","","PF"&amp;"_"&amp;IFERROR(VLOOKUP(B84,LOOKUPS!$K$2:$L$9,2,FALSE),"UNK")&amp;"_"&amp;IFERROR(VLOOKUP(C84,LOOKUPS!$N$2:$O$10,2,FALSE),"UNK")&amp;"_"&amp;UPPER(L84))</f>
        <v/>
      </c>
      <c r="N84" s="3" t="str">
        <f>IF(M84="","",COUNTIF($M$2:M84,M84))</f>
        <v/>
      </c>
    </row>
    <row r="85" spans="1:14" x14ac:dyDescent="0.3">
      <c r="A85" s="3" t="str">
        <f t="shared" si="1"/>
        <v/>
      </c>
      <c r="M85" s="3" t="str">
        <f>IF(B85="","","PF"&amp;"_"&amp;IFERROR(VLOOKUP(B85,LOOKUPS!$K$2:$L$9,2,FALSE),"UNK")&amp;"_"&amp;IFERROR(VLOOKUP(C85,LOOKUPS!$N$2:$O$10,2,FALSE),"UNK")&amp;"_"&amp;UPPER(L85))</f>
        <v/>
      </c>
      <c r="N85" s="3" t="str">
        <f>IF(M85="","",COUNTIF($M$2:M85,M85))</f>
        <v/>
      </c>
    </row>
    <row r="86" spans="1:14" x14ac:dyDescent="0.3">
      <c r="A86" s="3" t="str">
        <f t="shared" si="1"/>
        <v/>
      </c>
      <c r="M86" s="3" t="str">
        <f>IF(B86="","","PF"&amp;"_"&amp;IFERROR(VLOOKUP(B86,LOOKUPS!$K$2:$L$9,2,FALSE),"UNK")&amp;"_"&amp;IFERROR(VLOOKUP(C86,LOOKUPS!$N$2:$O$10,2,FALSE),"UNK")&amp;"_"&amp;UPPER(L86))</f>
        <v/>
      </c>
      <c r="N86" s="3" t="str">
        <f>IF(M86="","",COUNTIF($M$2:M86,M86))</f>
        <v/>
      </c>
    </row>
    <row r="87" spans="1:14" x14ac:dyDescent="0.3">
      <c r="A87" s="3" t="str">
        <f t="shared" si="1"/>
        <v/>
      </c>
      <c r="M87" s="3" t="str">
        <f>IF(B87="","","PF"&amp;"_"&amp;IFERROR(VLOOKUP(B87,LOOKUPS!$K$2:$L$9,2,FALSE),"UNK")&amp;"_"&amp;IFERROR(VLOOKUP(C87,LOOKUPS!$N$2:$O$10,2,FALSE),"UNK")&amp;"_"&amp;UPPER(L87))</f>
        <v/>
      </c>
      <c r="N87" s="3" t="str">
        <f>IF(M87="","",COUNTIF($M$2:M87,M87))</f>
        <v/>
      </c>
    </row>
    <row r="88" spans="1:14" x14ac:dyDescent="0.3">
      <c r="A88" s="3" t="str">
        <f t="shared" si="1"/>
        <v/>
      </c>
      <c r="M88" s="3" t="str">
        <f>IF(B88="","","PF"&amp;"_"&amp;IFERROR(VLOOKUP(B88,LOOKUPS!$K$2:$L$9,2,FALSE),"UNK")&amp;"_"&amp;IFERROR(VLOOKUP(C88,LOOKUPS!$N$2:$O$10,2,FALSE),"UNK")&amp;"_"&amp;UPPER(L88))</f>
        <v/>
      </c>
      <c r="N88" s="3" t="str">
        <f>IF(M88="","",COUNTIF($M$2:M88,M88))</f>
        <v/>
      </c>
    </row>
    <row r="89" spans="1:14" x14ac:dyDescent="0.3">
      <c r="A89" s="3" t="str">
        <f t="shared" si="1"/>
        <v/>
      </c>
      <c r="M89" s="3" t="str">
        <f>IF(B89="","","PF"&amp;"_"&amp;IFERROR(VLOOKUP(B89,LOOKUPS!$K$2:$L$9,2,FALSE),"UNK")&amp;"_"&amp;IFERROR(VLOOKUP(C89,LOOKUPS!$N$2:$O$10,2,FALSE),"UNK")&amp;"_"&amp;UPPER(L89))</f>
        <v/>
      </c>
      <c r="N89" s="3" t="str">
        <f>IF(M89="","",COUNTIF($M$2:M89,M89))</f>
        <v/>
      </c>
    </row>
    <row r="90" spans="1:14" x14ac:dyDescent="0.3">
      <c r="A90" s="3" t="str">
        <f t="shared" si="1"/>
        <v/>
      </c>
      <c r="M90" s="3" t="str">
        <f>IF(B90="","","PF"&amp;"_"&amp;IFERROR(VLOOKUP(B90,LOOKUPS!$K$2:$L$9,2,FALSE),"UNK")&amp;"_"&amp;IFERROR(VLOOKUP(C90,LOOKUPS!$N$2:$O$10,2,FALSE),"UNK")&amp;"_"&amp;UPPER(L90))</f>
        <v/>
      </c>
      <c r="N90" s="3" t="str">
        <f>IF(M90="","",COUNTIF($M$2:M90,M90))</f>
        <v/>
      </c>
    </row>
    <row r="91" spans="1:14" x14ac:dyDescent="0.3">
      <c r="A91" s="3" t="str">
        <f t="shared" si="1"/>
        <v/>
      </c>
      <c r="M91" s="3" t="str">
        <f>IF(B91="","","PF"&amp;"_"&amp;IFERROR(VLOOKUP(B91,LOOKUPS!$K$2:$L$9,2,FALSE),"UNK")&amp;"_"&amp;IFERROR(VLOOKUP(C91,LOOKUPS!$N$2:$O$10,2,FALSE),"UNK")&amp;"_"&amp;UPPER(L91))</f>
        <v/>
      </c>
      <c r="N91" s="3" t="str">
        <f>IF(M91="","",COUNTIF($M$2:M91,M91))</f>
        <v/>
      </c>
    </row>
    <row r="92" spans="1:14" x14ac:dyDescent="0.3">
      <c r="A92" s="3" t="str">
        <f t="shared" si="1"/>
        <v/>
      </c>
      <c r="M92" s="3" t="str">
        <f>IF(B92="","","PF"&amp;"_"&amp;IFERROR(VLOOKUP(B92,LOOKUPS!$K$2:$L$9,2,FALSE),"UNK")&amp;"_"&amp;IFERROR(VLOOKUP(C92,LOOKUPS!$N$2:$O$10,2,FALSE),"UNK")&amp;"_"&amp;UPPER(L92))</f>
        <v/>
      </c>
      <c r="N92" s="3" t="str">
        <f>IF(M92="","",COUNTIF($M$2:M92,M92))</f>
        <v/>
      </c>
    </row>
    <row r="93" spans="1:14" x14ac:dyDescent="0.3">
      <c r="A93" s="3" t="str">
        <f t="shared" si="1"/>
        <v/>
      </c>
      <c r="M93" s="3" t="str">
        <f>IF(B93="","","PF"&amp;"_"&amp;IFERROR(VLOOKUP(B93,LOOKUPS!$K$2:$L$9,2,FALSE),"UNK")&amp;"_"&amp;IFERROR(VLOOKUP(C93,LOOKUPS!$N$2:$O$10,2,FALSE),"UNK")&amp;"_"&amp;UPPER(L93))</f>
        <v/>
      </c>
      <c r="N93" s="3" t="str">
        <f>IF(M93="","",COUNTIF($M$2:M93,M93))</f>
        <v/>
      </c>
    </row>
    <row r="94" spans="1:14" x14ac:dyDescent="0.3">
      <c r="A94" s="3" t="str">
        <f t="shared" si="1"/>
        <v/>
      </c>
      <c r="M94" s="3" t="str">
        <f>IF(B94="","","PF"&amp;"_"&amp;IFERROR(VLOOKUP(B94,LOOKUPS!$K$2:$L$9,2,FALSE),"UNK")&amp;"_"&amp;IFERROR(VLOOKUP(C94,LOOKUPS!$N$2:$O$10,2,FALSE),"UNK")&amp;"_"&amp;UPPER(L94))</f>
        <v/>
      </c>
      <c r="N94" s="3" t="str">
        <f>IF(M94="","",COUNTIF($M$2:M94,M94))</f>
        <v/>
      </c>
    </row>
    <row r="95" spans="1:14" x14ac:dyDescent="0.3">
      <c r="A95" s="3" t="str">
        <f t="shared" si="1"/>
        <v/>
      </c>
      <c r="M95" s="3" t="str">
        <f>IF(B95="","","PF"&amp;"_"&amp;IFERROR(VLOOKUP(B95,LOOKUPS!$K$2:$L$9,2,FALSE),"UNK")&amp;"_"&amp;IFERROR(VLOOKUP(C95,LOOKUPS!$N$2:$O$10,2,FALSE),"UNK")&amp;"_"&amp;UPPER(L95))</f>
        <v/>
      </c>
      <c r="N95" s="3" t="str">
        <f>IF(M95="","",COUNTIF($M$2:M95,M95))</f>
        <v/>
      </c>
    </row>
    <row r="96" spans="1:14" x14ac:dyDescent="0.3">
      <c r="A96" s="3" t="str">
        <f t="shared" si="1"/>
        <v/>
      </c>
      <c r="M96" s="3" t="str">
        <f>IF(B96="","","PF"&amp;"_"&amp;IFERROR(VLOOKUP(B96,LOOKUPS!$K$2:$L$9,2,FALSE),"UNK")&amp;"_"&amp;IFERROR(VLOOKUP(C96,LOOKUPS!$N$2:$O$10,2,FALSE),"UNK")&amp;"_"&amp;UPPER(L96))</f>
        <v/>
      </c>
      <c r="N96" s="3" t="str">
        <f>IF(M96="","",COUNTIF($M$2:M96,M96))</f>
        <v/>
      </c>
    </row>
    <row r="97" spans="1:14" x14ac:dyDescent="0.3">
      <c r="A97" s="3" t="str">
        <f t="shared" si="1"/>
        <v/>
      </c>
      <c r="M97" s="3" t="str">
        <f>IF(B97="","","PF"&amp;"_"&amp;IFERROR(VLOOKUP(B97,LOOKUPS!$K$2:$L$9,2,FALSE),"UNK")&amp;"_"&amp;IFERROR(VLOOKUP(C97,LOOKUPS!$N$2:$O$10,2,FALSE),"UNK")&amp;"_"&amp;UPPER(L97))</f>
        <v/>
      </c>
      <c r="N97" s="3" t="str">
        <f>IF(M97="","",COUNTIF($M$2:M97,M97))</f>
        <v/>
      </c>
    </row>
    <row r="98" spans="1:14" x14ac:dyDescent="0.3">
      <c r="A98" s="3" t="str">
        <f t="shared" si="1"/>
        <v/>
      </c>
      <c r="M98" s="3" t="str">
        <f>IF(B98="","","PF"&amp;"_"&amp;IFERROR(VLOOKUP(B98,LOOKUPS!$K$2:$L$9,2,FALSE),"UNK")&amp;"_"&amp;IFERROR(VLOOKUP(C98,LOOKUPS!$N$2:$O$10,2,FALSE),"UNK")&amp;"_"&amp;UPPER(L98))</f>
        <v/>
      </c>
      <c r="N98" s="3" t="str">
        <f>IF(M98="","",COUNTIF($M$2:M98,M98))</f>
        <v/>
      </c>
    </row>
    <row r="99" spans="1:14" x14ac:dyDescent="0.3">
      <c r="A99" s="3" t="str">
        <f t="shared" si="1"/>
        <v/>
      </c>
      <c r="M99" s="3" t="str">
        <f>IF(B99="","","PF"&amp;"_"&amp;IFERROR(VLOOKUP(B99,LOOKUPS!$K$2:$L$9,2,FALSE),"UNK")&amp;"_"&amp;IFERROR(VLOOKUP(C99,LOOKUPS!$N$2:$O$10,2,FALSE),"UNK")&amp;"_"&amp;UPPER(L99))</f>
        <v/>
      </c>
      <c r="N99" s="3" t="str">
        <f>IF(M99="","",COUNTIF($M$2:M99,M99))</f>
        <v/>
      </c>
    </row>
    <row r="100" spans="1:14" x14ac:dyDescent="0.3">
      <c r="A100" s="3" t="str">
        <f t="shared" si="1"/>
        <v/>
      </c>
      <c r="M100" s="3" t="str">
        <f>IF(B100="","","PF"&amp;"_"&amp;IFERROR(VLOOKUP(B100,LOOKUPS!$K$2:$L$9,2,FALSE),"UNK")&amp;"_"&amp;IFERROR(VLOOKUP(C100,LOOKUPS!$N$2:$O$10,2,FALSE),"UNK")&amp;"_"&amp;UPPER(L100))</f>
        <v/>
      </c>
      <c r="N100" s="3" t="str">
        <f>IF(M100="","",COUNTIF($M$2:M100,M100))</f>
        <v/>
      </c>
    </row>
    <row r="101" spans="1:14" x14ac:dyDescent="0.3">
      <c r="A101" s="3" t="str">
        <f t="shared" si="1"/>
        <v/>
      </c>
      <c r="M101" s="3" t="str">
        <f>IF(B101="","","PF"&amp;"_"&amp;IFERROR(VLOOKUP(B101,LOOKUPS!$K$2:$L$9,2,FALSE),"UNK")&amp;"_"&amp;IFERROR(VLOOKUP(C101,LOOKUPS!$N$2:$O$10,2,FALSE),"UNK")&amp;"_"&amp;UPPER(L101))</f>
        <v/>
      </c>
      <c r="N101" s="3" t="str">
        <f>IF(M101="","",COUNTIF($M$2:M101,M101))</f>
        <v/>
      </c>
    </row>
    <row r="102" spans="1:14" x14ac:dyDescent="0.3">
      <c r="A102" s="3" t="str">
        <f t="shared" si="1"/>
        <v/>
      </c>
      <c r="M102" s="3" t="str">
        <f>IF(B102="","","PF"&amp;"_"&amp;IFERROR(VLOOKUP(B102,LOOKUPS!$K$2:$L$9,2,FALSE),"UNK")&amp;"_"&amp;IFERROR(VLOOKUP(C102,LOOKUPS!$N$2:$O$10,2,FALSE),"UNK")&amp;"_"&amp;UPPER(L102))</f>
        <v/>
      </c>
      <c r="N102" s="3" t="str">
        <f>IF(M102="","",COUNTIF($M$2:M102,M102))</f>
        <v/>
      </c>
    </row>
    <row r="103" spans="1:14" x14ac:dyDescent="0.3">
      <c r="A103" s="3" t="str">
        <f t="shared" si="1"/>
        <v/>
      </c>
      <c r="M103" s="3" t="str">
        <f>IF(B103="","","PF"&amp;"_"&amp;IFERROR(VLOOKUP(B103,LOOKUPS!$K$2:$L$9,2,FALSE),"UNK")&amp;"_"&amp;IFERROR(VLOOKUP(C103,LOOKUPS!$N$2:$O$10,2,FALSE),"UNK")&amp;"_"&amp;UPPER(L103))</f>
        <v/>
      </c>
      <c r="N103" s="3" t="str">
        <f>IF(M103="","",COUNTIF($M$2:M103,M103))</f>
        <v/>
      </c>
    </row>
    <row r="104" spans="1:14" x14ac:dyDescent="0.3">
      <c r="A104" s="3" t="str">
        <f t="shared" si="1"/>
        <v/>
      </c>
      <c r="M104" s="3" t="str">
        <f>IF(B104="","","PF"&amp;"_"&amp;IFERROR(VLOOKUP(B104,LOOKUPS!$K$2:$L$9,2,FALSE),"UNK")&amp;"_"&amp;IFERROR(VLOOKUP(C104,LOOKUPS!$N$2:$O$10,2,FALSE),"UNK")&amp;"_"&amp;UPPER(L104))</f>
        <v/>
      </c>
      <c r="N104" s="3" t="str">
        <f>IF(M104="","",COUNTIF($M$2:M104,M104))</f>
        <v/>
      </c>
    </row>
    <row r="105" spans="1:14" x14ac:dyDescent="0.3">
      <c r="A105" s="3" t="str">
        <f t="shared" si="1"/>
        <v/>
      </c>
      <c r="M105" s="3" t="str">
        <f>IF(B105="","","PF"&amp;"_"&amp;IFERROR(VLOOKUP(B105,LOOKUPS!$K$2:$L$9,2,FALSE),"UNK")&amp;"_"&amp;IFERROR(VLOOKUP(C105,LOOKUPS!$N$2:$O$10,2,FALSE),"UNK")&amp;"_"&amp;UPPER(L105))</f>
        <v/>
      </c>
      <c r="N105" s="3" t="str">
        <f>IF(M105="","",COUNTIF($M$2:M105,M105))</f>
        <v/>
      </c>
    </row>
    <row r="106" spans="1:14" x14ac:dyDescent="0.3">
      <c r="A106" s="3" t="str">
        <f t="shared" si="1"/>
        <v/>
      </c>
      <c r="M106" s="3" t="str">
        <f>IF(B106="","","PF"&amp;"_"&amp;IFERROR(VLOOKUP(B106,LOOKUPS!$K$2:$L$9,2,FALSE),"UNK")&amp;"_"&amp;IFERROR(VLOOKUP(C106,LOOKUPS!$N$2:$O$10,2,FALSE),"UNK")&amp;"_"&amp;UPPER(L106))</f>
        <v/>
      </c>
      <c r="N106" s="3" t="str">
        <f>IF(M106="","",COUNTIF($M$2:M106,M106))</f>
        <v/>
      </c>
    </row>
    <row r="107" spans="1:14" x14ac:dyDescent="0.3">
      <c r="A107" s="3" t="str">
        <f t="shared" si="1"/>
        <v/>
      </c>
      <c r="M107" s="3" t="str">
        <f>IF(B107="","","PF"&amp;"_"&amp;IFERROR(VLOOKUP(B107,LOOKUPS!$K$2:$L$9,2,FALSE),"UNK")&amp;"_"&amp;IFERROR(VLOOKUP(C107,LOOKUPS!$N$2:$O$10,2,FALSE),"UNK")&amp;"_"&amp;UPPER(L107))</f>
        <v/>
      </c>
      <c r="N107" s="3" t="str">
        <f>IF(M107="","",COUNTIF($M$2:M107,M107))</f>
        <v/>
      </c>
    </row>
    <row r="108" spans="1:14" x14ac:dyDescent="0.3">
      <c r="A108" s="3" t="str">
        <f t="shared" si="1"/>
        <v/>
      </c>
      <c r="M108" s="3" t="str">
        <f>IF(B108="","","PF"&amp;"_"&amp;IFERROR(VLOOKUP(B108,LOOKUPS!$K$2:$L$9,2,FALSE),"UNK")&amp;"_"&amp;IFERROR(VLOOKUP(C108,LOOKUPS!$N$2:$O$10,2,FALSE),"UNK")&amp;"_"&amp;UPPER(L108))</f>
        <v/>
      </c>
      <c r="N108" s="3" t="str">
        <f>IF(M108="","",COUNTIF($M$2:M108,M108))</f>
        <v/>
      </c>
    </row>
    <row r="109" spans="1:14" x14ac:dyDescent="0.3">
      <c r="A109" s="3" t="str">
        <f t="shared" si="1"/>
        <v/>
      </c>
      <c r="M109" s="3" t="str">
        <f>IF(B109="","","PF"&amp;"_"&amp;IFERROR(VLOOKUP(B109,LOOKUPS!$K$2:$L$9,2,FALSE),"UNK")&amp;"_"&amp;IFERROR(VLOOKUP(C109,LOOKUPS!$N$2:$O$10,2,FALSE),"UNK")&amp;"_"&amp;UPPER(L109))</f>
        <v/>
      </c>
      <c r="N109" s="3" t="str">
        <f>IF(M109="","",COUNTIF($M$2:M109,M109))</f>
        <v/>
      </c>
    </row>
    <row r="110" spans="1:14" x14ac:dyDescent="0.3">
      <c r="A110" s="3" t="str">
        <f t="shared" si="1"/>
        <v/>
      </c>
      <c r="M110" s="3" t="str">
        <f>IF(B110="","","PF"&amp;"_"&amp;IFERROR(VLOOKUP(B110,LOOKUPS!$K$2:$L$9,2,FALSE),"UNK")&amp;"_"&amp;IFERROR(VLOOKUP(C110,LOOKUPS!$N$2:$O$10,2,FALSE),"UNK")&amp;"_"&amp;UPPER(L110))</f>
        <v/>
      </c>
      <c r="N110" s="3" t="str">
        <f>IF(M110="","",COUNTIF($M$2:M110,M110))</f>
        <v/>
      </c>
    </row>
    <row r="111" spans="1:14" x14ac:dyDescent="0.3">
      <c r="A111" s="3" t="str">
        <f t="shared" si="1"/>
        <v/>
      </c>
      <c r="M111" s="3" t="str">
        <f>IF(B111="","","PF"&amp;"_"&amp;IFERROR(VLOOKUP(B111,LOOKUPS!$K$2:$L$9,2,FALSE),"UNK")&amp;"_"&amp;IFERROR(VLOOKUP(C111,LOOKUPS!$N$2:$O$10,2,FALSE),"UNK")&amp;"_"&amp;UPPER(L111))</f>
        <v/>
      </c>
      <c r="N111" s="3" t="str">
        <f>IF(M111="","",COUNTIF($M$2:M111,M111))</f>
        <v/>
      </c>
    </row>
    <row r="112" spans="1:14" x14ac:dyDescent="0.3">
      <c r="A112" s="3" t="str">
        <f t="shared" si="1"/>
        <v/>
      </c>
      <c r="M112" s="3" t="str">
        <f>IF(B112="","","PF"&amp;"_"&amp;IFERROR(VLOOKUP(B112,LOOKUPS!$K$2:$L$9,2,FALSE),"UNK")&amp;"_"&amp;IFERROR(VLOOKUP(C112,LOOKUPS!$N$2:$O$10,2,FALSE),"UNK")&amp;"_"&amp;UPPER(L112))</f>
        <v/>
      </c>
      <c r="N112" s="3" t="str">
        <f>IF(M112="","",COUNTIF($M$2:M112,M112))</f>
        <v/>
      </c>
    </row>
    <row r="113" spans="1:14" x14ac:dyDescent="0.3">
      <c r="A113" s="3" t="str">
        <f t="shared" si="1"/>
        <v/>
      </c>
      <c r="M113" s="3" t="str">
        <f>IF(B113="","","PF"&amp;"_"&amp;IFERROR(VLOOKUP(B113,LOOKUPS!$K$2:$L$9,2,FALSE),"UNK")&amp;"_"&amp;IFERROR(VLOOKUP(C113,LOOKUPS!$N$2:$O$10,2,FALSE),"UNK")&amp;"_"&amp;UPPER(L113))</f>
        <v/>
      </c>
      <c r="N113" s="3" t="str">
        <f>IF(M113="","",COUNTIF($M$2:M113,M113))</f>
        <v/>
      </c>
    </row>
    <row r="114" spans="1:14" x14ac:dyDescent="0.3">
      <c r="A114" s="3" t="str">
        <f t="shared" si="1"/>
        <v/>
      </c>
      <c r="M114" s="3" t="str">
        <f>IF(B114="","","PF"&amp;"_"&amp;IFERROR(VLOOKUP(B114,LOOKUPS!$K$2:$L$9,2,FALSE),"UNK")&amp;"_"&amp;IFERROR(VLOOKUP(C114,LOOKUPS!$N$2:$O$10,2,FALSE),"UNK")&amp;"_"&amp;UPPER(L114))</f>
        <v/>
      </c>
      <c r="N114" s="3" t="str">
        <f>IF(M114="","",COUNTIF($M$2:M114,M114))</f>
        <v/>
      </c>
    </row>
    <row r="115" spans="1:14" x14ac:dyDescent="0.3">
      <c r="A115" s="3" t="str">
        <f t="shared" si="1"/>
        <v/>
      </c>
      <c r="M115" s="3" t="str">
        <f>IF(B115="","","PF"&amp;"_"&amp;IFERROR(VLOOKUP(B115,LOOKUPS!$K$2:$L$9,2,FALSE),"UNK")&amp;"_"&amp;IFERROR(VLOOKUP(C115,LOOKUPS!$N$2:$O$10,2,FALSE),"UNK")&amp;"_"&amp;UPPER(L115))</f>
        <v/>
      </c>
      <c r="N115" s="3" t="str">
        <f>IF(M115="","",COUNTIF($M$2:M115,M115))</f>
        <v/>
      </c>
    </row>
    <row r="116" spans="1:14" x14ac:dyDescent="0.3">
      <c r="A116" s="3" t="str">
        <f t="shared" si="1"/>
        <v/>
      </c>
      <c r="M116" s="3" t="str">
        <f>IF(B116="","","PF"&amp;"_"&amp;IFERROR(VLOOKUP(B116,LOOKUPS!$K$2:$L$9,2,FALSE),"UNK")&amp;"_"&amp;IFERROR(VLOOKUP(C116,LOOKUPS!$N$2:$O$10,2,FALSE),"UNK")&amp;"_"&amp;UPPER(L116))</f>
        <v/>
      </c>
      <c r="N116" s="3" t="str">
        <f>IF(M116="","",COUNTIF($M$2:M116,M116))</f>
        <v/>
      </c>
    </row>
    <row r="117" spans="1:14" x14ac:dyDescent="0.3">
      <c r="A117" s="3" t="str">
        <f t="shared" si="1"/>
        <v/>
      </c>
      <c r="M117" s="3" t="str">
        <f>IF(B117="","","PF"&amp;"_"&amp;IFERROR(VLOOKUP(B117,LOOKUPS!$K$2:$L$9,2,FALSE),"UNK")&amp;"_"&amp;IFERROR(VLOOKUP(C117,LOOKUPS!$N$2:$O$10,2,FALSE),"UNK")&amp;"_"&amp;UPPER(L117))</f>
        <v/>
      </c>
      <c r="N117" s="3" t="str">
        <f>IF(M117="","",COUNTIF($M$2:M117,M117))</f>
        <v/>
      </c>
    </row>
    <row r="118" spans="1:14" x14ac:dyDescent="0.3">
      <c r="A118" s="3" t="str">
        <f t="shared" si="1"/>
        <v/>
      </c>
      <c r="M118" s="3" t="str">
        <f>IF(B118="","","PF"&amp;"_"&amp;IFERROR(VLOOKUP(B118,LOOKUPS!$K$2:$L$9,2,FALSE),"UNK")&amp;"_"&amp;IFERROR(VLOOKUP(C118,LOOKUPS!$N$2:$O$10,2,FALSE),"UNK")&amp;"_"&amp;UPPER(L118))</f>
        <v/>
      </c>
      <c r="N118" s="3" t="str">
        <f>IF(M118="","",COUNTIF($M$2:M118,M118))</f>
        <v/>
      </c>
    </row>
    <row r="119" spans="1:14" x14ac:dyDescent="0.3">
      <c r="A119" s="3" t="str">
        <f t="shared" si="1"/>
        <v/>
      </c>
      <c r="M119" s="3" t="str">
        <f>IF(B119="","","PF"&amp;"_"&amp;IFERROR(VLOOKUP(B119,LOOKUPS!$K$2:$L$9,2,FALSE),"UNK")&amp;"_"&amp;IFERROR(VLOOKUP(C119,LOOKUPS!$N$2:$O$10,2,FALSE),"UNK")&amp;"_"&amp;UPPER(L119))</f>
        <v/>
      </c>
      <c r="N119" s="3" t="str">
        <f>IF(M119="","",COUNTIF($M$2:M119,M119))</f>
        <v/>
      </c>
    </row>
    <row r="120" spans="1:14" x14ac:dyDescent="0.3">
      <c r="A120" s="3" t="str">
        <f t="shared" si="1"/>
        <v/>
      </c>
      <c r="M120" s="3" t="str">
        <f>IF(B120="","","PF"&amp;"_"&amp;IFERROR(VLOOKUP(B120,LOOKUPS!$K$2:$L$9,2,FALSE),"UNK")&amp;"_"&amp;IFERROR(VLOOKUP(C120,LOOKUPS!$N$2:$O$10,2,FALSE),"UNK")&amp;"_"&amp;UPPER(L120))</f>
        <v/>
      </c>
      <c r="N120" s="3" t="str">
        <f>IF(M120="","",COUNTIF($M$2:M120,M120))</f>
        <v/>
      </c>
    </row>
    <row r="121" spans="1:14" x14ac:dyDescent="0.3">
      <c r="A121" s="3" t="str">
        <f t="shared" si="1"/>
        <v/>
      </c>
      <c r="M121" s="3" t="str">
        <f>IF(B121="","","PF"&amp;"_"&amp;IFERROR(VLOOKUP(B121,LOOKUPS!$K$2:$L$9,2,FALSE),"UNK")&amp;"_"&amp;IFERROR(VLOOKUP(C121,LOOKUPS!$N$2:$O$10,2,FALSE),"UNK")&amp;"_"&amp;UPPER(L121))</f>
        <v/>
      </c>
      <c r="N121" s="3" t="str">
        <f>IF(M121="","",COUNTIF($M$2:M121,M121))</f>
        <v/>
      </c>
    </row>
    <row r="122" spans="1:14" x14ac:dyDescent="0.3">
      <c r="A122" s="3" t="str">
        <f t="shared" si="1"/>
        <v/>
      </c>
      <c r="M122" s="3" t="str">
        <f>IF(B122="","","PF"&amp;"_"&amp;IFERROR(VLOOKUP(B122,LOOKUPS!$K$2:$L$9,2,FALSE),"UNK")&amp;"_"&amp;IFERROR(VLOOKUP(C122,LOOKUPS!$N$2:$O$10,2,FALSE),"UNK")&amp;"_"&amp;UPPER(L122))</f>
        <v/>
      </c>
      <c r="N122" s="3" t="str">
        <f>IF(M122="","",COUNTIF($M$2:M122,M122))</f>
        <v/>
      </c>
    </row>
    <row r="123" spans="1:14" x14ac:dyDescent="0.3">
      <c r="A123" s="3" t="str">
        <f t="shared" si="1"/>
        <v/>
      </c>
      <c r="M123" s="3" t="str">
        <f>IF(B123="","","PF"&amp;"_"&amp;IFERROR(VLOOKUP(B123,LOOKUPS!$K$2:$L$9,2,FALSE),"UNK")&amp;"_"&amp;IFERROR(VLOOKUP(C123,LOOKUPS!$N$2:$O$10,2,FALSE),"UNK")&amp;"_"&amp;UPPER(L123))</f>
        <v/>
      </c>
      <c r="N123" s="3" t="str">
        <f>IF(M123="","",COUNTIF($M$2:M123,M123))</f>
        <v/>
      </c>
    </row>
    <row r="124" spans="1:14" x14ac:dyDescent="0.3">
      <c r="A124" s="3" t="str">
        <f t="shared" si="1"/>
        <v/>
      </c>
      <c r="M124" s="3" t="str">
        <f>IF(B124="","","PF"&amp;"_"&amp;IFERROR(VLOOKUP(B124,LOOKUPS!$K$2:$L$9,2,FALSE),"UNK")&amp;"_"&amp;IFERROR(VLOOKUP(C124,LOOKUPS!$N$2:$O$10,2,FALSE),"UNK")&amp;"_"&amp;UPPER(L124))</f>
        <v/>
      </c>
      <c r="N124" s="3" t="str">
        <f>IF(M124="","",COUNTIF($M$2:M124,M124))</f>
        <v/>
      </c>
    </row>
    <row r="125" spans="1:14" x14ac:dyDescent="0.3">
      <c r="A125" s="3" t="str">
        <f t="shared" si="1"/>
        <v/>
      </c>
      <c r="M125" s="3" t="str">
        <f>IF(B125="","","PF"&amp;"_"&amp;IFERROR(VLOOKUP(B125,LOOKUPS!$K$2:$L$9,2,FALSE),"UNK")&amp;"_"&amp;IFERROR(VLOOKUP(C125,LOOKUPS!$N$2:$O$10,2,FALSE),"UNK")&amp;"_"&amp;UPPER(L125))</f>
        <v/>
      </c>
      <c r="N125" s="3" t="str">
        <f>IF(M125="","",COUNTIF($M$2:M125,M125))</f>
        <v/>
      </c>
    </row>
    <row r="126" spans="1:14" x14ac:dyDescent="0.3">
      <c r="A126" s="3" t="str">
        <f t="shared" si="1"/>
        <v/>
      </c>
      <c r="M126" s="3" t="str">
        <f>IF(B126="","","PF"&amp;"_"&amp;IFERROR(VLOOKUP(B126,LOOKUPS!$K$2:$L$9,2,FALSE),"UNK")&amp;"_"&amp;IFERROR(VLOOKUP(C126,LOOKUPS!$N$2:$O$10,2,FALSE),"UNK")&amp;"_"&amp;UPPER(L126))</f>
        <v/>
      </c>
      <c r="N126" s="3" t="str">
        <f>IF(M126="","",COUNTIF($M$2:M126,M126))</f>
        <v/>
      </c>
    </row>
    <row r="127" spans="1:14" x14ac:dyDescent="0.3">
      <c r="A127" s="3" t="str">
        <f t="shared" si="1"/>
        <v/>
      </c>
      <c r="M127" s="3" t="str">
        <f>IF(B127="","","PF"&amp;"_"&amp;IFERROR(VLOOKUP(B127,LOOKUPS!$K$2:$L$9,2,FALSE),"UNK")&amp;"_"&amp;IFERROR(VLOOKUP(C127,LOOKUPS!$N$2:$O$10,2,FALSE),"UNK")&amp;"_"&amp;UPPER(L127))</f>
        <v/>
      </c>
      <c r="N127" s="3" t="str">
        <f>IF(M127="","",COUNTIF($M$2:M127,M127))</f>
        <v/>
      </c>
    </row>
    <row r="128" spans="1:14" x14ac:dyDescent="0.3">
      <c r="A128" s="3" t="str">
        <f t="shared" si="1"/>
        <v/>
      </c>
      <c r="M128" s="3" t="str">
        <f>IF(B128="","","PF"&amp;"_"&amp;IFERROR(VLOOKUP(B128,LOOKUPS!$K$2:$L$9,2,FALSE),"UNK")&amp;"_"&amp;IFERROR(VLOOKUP(C128,LOOKUPS!$N$2:$O$10,2,FALSE),"UNK")&amp;"_"&amp;UPPER(L128))</f>
        <v/>
      </c>
      <c r="N128" s="3" t="str">
        <f>IF(M128="","",COUNTIF($M$2:M128,M128))</f>
        <v/>
      </c>
    </row>
    <row r="129" spans="1:14" x14ac:dyDescent="0.3">
      <c r="A129" s="3" t="str">
        <f t="shared" si="1"/>
        <v/>
      </c>
      <c r="M129" s="3" t="str">
        <f>IF(B129="","","PF"&amp;"_"&amp;IFERROR(VLOOKUP(B129,LOOKUPS!$K$2:$L$9,2,FALSE),"UNK")&amp;"_"&amp;IFERROR(VLOOKUP(C129,LOOKUPS!$N$2:$O$10,2,FALSE),"UNK")&amp;"_"&amp;UPPER(L129))</f>
        <v/>
      </c>
      <c r="N129" s="3" t="str">
        <f>IF(M129="","",COUNTIF($M$2:M129,M129))</f>
        <v/>
      </c>
    </row>
    <row r="130" spans="1:14" x14ac:dyDescent="0.3">
      <c r="A130" s="3" t="str">
        <f t="shared" si="1"/>
        <v/>
      </c>
      <c r="M130" s="3" t="str">
        <f>IF(B130="","","PF"&amp;"_"&amp;IFERROR(VLOOKUP(B130,LOOKUPS!$K$2:$L$9,2,FALSE),"UNK")&amp;"_"&amp;IFERROR(VLOOKUP(C130,LOOKUPS!$N$2:$O$10,2,FALSE),"UNK")&amp;"_"&amp;UPPER(L130))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IF(B131="","","PF"&amp;"_"&amp;IFERROR(VLOOKUP(B131,LOOKUPS!$K$2:$L$9,2,FALSE),"UNK")&amp;"_"&amp;IFERROR(VLOOKUP(C131,LOOKUPS!$N$2:$O$10,2,FALSE),"UNK")&amp;"_"&amp;UPPER(L131))</f>
        <v/>
      </c>
      <c r="N131" s="3" t="str">
        <f>IF(M131="","",COUNTIF($M$2:M131,M131))</f>
        <v/>
      </c>
    </row>
    <row r="132" spans="1:14" x14ac:dyDescent="0.3">
      <c r="A132" s="3" t="str">
        <f t="shared" si="2"/>
        <v/>
      </c>
      <c r="M132" s="3" t="str">
        <f>IF(B132="","","PF"&amp;"_"&amp;IFERROR(VLOOKUP(B132,LOOKUPS!$K$2:$L$9,2,FALSE),"UNK")&amp;"_"&amp;IFERROR(VLOOKUP(C132,LOOKUPS!$N$2:$O$10,2,FALSE),"UNK")&amp;"_"&amp;UPPER(L132))</f>
        <v/>
      </c>
      <c r="N132" s="3" t="str">
        <f>IF(M132="","",COUNTIF($M$2:M132,M132))</f>
        <v/>
      </c>
    </row>
    <row r="133" spans="1:14" x14ac:dyDescent="0.3">
      <c r="A133" s="3" t="str">
        <f t="shared" si="2"/>
        <v/>
      </c>
      <c r="M133" s="3" t="str">
        <f>IF(B133="","","PF"&amp;"_"&amp;IFERROR(VLOOKUP(B133,LOOKUPS!$K$2:$L$9,2,FALSE),"UNK")&amp;"_"&amp;IFERROR(VLOOKUP(C133,LOOKUPS!$N$2:$O$10,2,FALSE),"UNK")&amp;"_"&amp;UPPER(L133))</f>
        <v/>
      </c>
      <c r="N133" s="3" t="str">
        <f>IF(M133="","",COUNTIF($M$2:M133,M133))</f>
        <v/>
      </c>
    </row>
    <row r="134" spans="1:14" x14ac:dyDescent="0.3">
      <c r="A134" s="3" t="str">
        <f t="shared" si="2"/>
        <v/>
      </c>
      <c r="M134" s="3" t="str">
        <f>IF(B134="","","PF"&amp;"_"&amp;IFERROR(VLOOKUP(B134,LOOKUPS!$K$2:$L$9,2,FALSE),"UNK")&amp;"_"&amp;IFERROR(VLOOKUP(C134,LOOKUPS!$N$2:$O$10,2,FALSE),"UNK")&amp;"_"&amp;UPPER(L134))</f>
        <v/>
      </c>
      <c r="N134" s="3" t="str">
        <f>IF(M134="","",COUNTIF($M$2:M134,M134))</f>
        <v/>
      </c>
    </row>
    <row r="135" spans="1:14" x14ac:dyDescent="0.3">
      <c r="A135" s="3" t="str">
        <f t="shared" si="2"/>
        <v/>
      </c>
      <c r="M135" s="3" t="str">
        <f>IF(B135="","","PF"&amp;"_"&amp;IFERROR(VLOOKUP(B135,LOOKUPS!$K$2:$L$9,2,FALSE),"UNK")&amp;"_"&amp;IFERROR(VLOOKUP(C135,LOOKUPS!$N$2:$O$10,2,FALSE),"UNK")&amp;"_"&amp;UPPER(L135))</f>
        <v/>
      </c>
      <c r="N135" s="3" t="str">
        <f>IF(M135="","",COUNTIF($M$2:M135,M135))</f>
        <v/>
      </c>
    </row>
    <row r="136" spans="1:14" x14ac:dyDescent="0.3">
      <c r="A136" s="3" t="str">
        <f t="shared" si="2"/>
        <v/>
      </c>
      <c r="M136" s="3" t="str">
        <f>IF(B136="","","PF"&amp;"_"&amp;IFERROR(VLOOKUP(B136,LOOKUPS!$K$2:$L$9,2,FALSE),"UNK")&amp;"_"&amp;IFERROR(VLOOKUP(C136,LOOKUPS!$N$2:$O$10,2,FALSE),"UNK")&amp;"_"&amp;UPPER(L136))</f>
        <v/>
      </c>
      <c r="N136" s="3" t="str">
        <f>IF(M136="","",COUNTIF($M$2:M136,M136))</f>
        <v/>
      </c>
    </row>
    <row r="137" spans="1:14" x14ac:dyDescent="0.3">
      <c r="A137" s="3" t="str">
        <f t="shared" si="2"/>
        <v/>
      </c>
      <c r="M137" s="3" t="str">
        <f>IF(B137="","","PF"&amp;"_"&amp;IFERROR(VLOOKUP(B137,LOOKUPS!$K$2:$L$9,2,FALSE),"UNK")&amp;"_"&amp;IFERROR(VLOOKUP(C137,LOOKUPS!$N$2:$O$10,2,FALSE),"UNK")&amp;"_"&amp;UPPER(L137))</f>
        <v/>
      </c>
      <c r="N137" s="3" t="str">
        <f>IF(M137="","",COUNTIF($M$2:M137,M137))</f>
        <v/>
      </c>
    </row>
    <row r="138" spans="1:14" x14ac:dyDescent="0.3">
      <c r="A138" s="3" t="str">
        <f t="shared" si="2"/>
        <v/>
      </c>
      <c r="M138" s="3" t="str">
        <f>IF(B138="","","PF"&amp;"_"&amp;IFERROR(VLOOKUP(B138,LOOKUPS!$K$2:$L$9,2,FALSE),"UNK")&amp;"_"&amp;IFERROR(VLOOKUP(C138,LOOKUPS!$N$2:$O$10,2,FALSE),"UNK")&amp;"_"&amp;UPPER(L138))</f>
        <v/>
      </c>
      <c r="N138" s="3" t="str">
        <f>IF(M138="","",COUNTIF($M$2:M138,M138))</f>
        <v/>
      </c>
    </row>
    <row r="139" spans="1:14" x14ac:dyDescent="0.3">
      <c r="A139" s="3" t="str">
        <f t="shared" si="2"/>
        <v/>
      </c>
      <c r="M139" s="3" t="str">
        <f>IF(B139="","","PF"&amp;"_"&amp;IFERROR(VLOOKUP(B139,LOOKUPS!$K$2:$L$9,2,FALSE),"UNK")&amp;"_"&amp;IFERROR(VLOOKUP(C139,LOOKUPS!$N$2:$O$10,2,FALSE),"UNK")&amp;"_"&amp;UPPER(L139))</f>
        <v/>
      </c>
      <c r="N139" s="3" t="str">
        <f>IF(M139="","",COUNTIF($M$2:M139,M139))</f>
        <v/>
      </c>
    </row>
    <row r="140" spans="1:14" x14ac:dyDescent="0.3">
      <c r="A140" s="3" t="str">
        <f t="shared" si="2"/>
        <v/>
      </c>
      <c r="M140" s="3" t="str">
        <f>IF(B140="","","PF"&amp;"_"&amp;IFERROR(VLOOKUP(B140,LOOKUPS!$K$2:$L$9,2,FALSE),"UNK")&amp;"_"&amp;IFERROR(VLOOKUP(C140,LOOKUPS!$N$2:$O$10,2,FALSE),"UNK")&amp;"_"&amp;UPPER(L140))</f>
        <v/>
      </c>
      <c r="N140" s="3" t="str">
        <f>IF(M140="","",COUNTIF($M$2:M140,M140))</f>
        <v/>
      </c>
    </row>
    <row r="141" spans="1:14" x14ac:dyDescent="0.3">
      <c r="A141" s="3" t="str">
        <f t="shared" si="2"/>
        <v/>
      </c>
      <c r="M141" s="3" t="str">
        <f>IF(B141="","","PF"&amp;"_"&amp;IFERROR(VLOOKUP(B141,LOOKUPS!$K$2:$L$9,2,FALSE),"UNK")&amp;"_"&amp;IFERROR(VLOOKUP(C141,LOOKUPS!$N$2:$O$10,2,FALSE),"UNK")&amp;"_"&amp;UPPER(L141))</f>
        <v/>
      </c>
      <c r="N141" s="3" t="str">
        <f>IF(M141="","",COUNTIF($M$2:M141,M141))</f>
        <v/>
      </c>
    </row>
    <row r="142" spans="1:14" x14ac:dyDescent="0.3">
      <c r="A142" s="3" t="str">
        <f t="shared" si="2"/>
        <v/>
      </c>
      <c r="M142" s="3" t="str">
        <f>IF(B142="","","PF"&amp;"_"&amp;IFERROR(VLOOKUP(B142,LOOKUPS!$K$2:$L$9,2,FALSE),"UNK")&amp;"_"&amp;IFERROR(VLOOKUP(C142,LOOKUPS!$N$2:$O$10,2,FALSE),"UNK")&amp;"_"&amp;UPPER(L142))</f>
        <v/>
      </c>
      <c r="N142" s="3" t="str">
        <f>IF(M142="","",COUNTIF($M$2:M142,M142))</f>
        <v/>
      </c>
    </row>
    <row r="143" spans="1:14" x14ac:dyDescent="0.3">
      <c r="A143" s="3" t="str">
        <f t="shared" si="2"/>
        <v/>
      </c>
      <c r="M143" s="3" t="str">
        <f>IF(B143="","","PF"&amp;"_"&amp;IFERROR(VLOOKUP(B143,LOOKUPS!$K$2:$L$9,2,FALSE),"UNK")&amp;"_"&amp;IFERROR(VLOOKUP(C143,LOOKUPS!$N$2:$O$10,2,FALSE),"UNK")&amp;"_"&amp;UPPER(L143))</f>
        <v/>
      </c>
      <c r="N143" s="3" t="str">
        <f>IF(M143="","",COUNTIF($M$2:M143,M143))</f>
        <v/>
      </c>
    </row>
    <row r="144" spans="1:14" x14ac:dyDescent="0.3">
      <c r="A144" s="3" t="str">
        <f t="shared" si="2"/>
        <v/>
      </c>
      <c r="M144" s="3" t="str">
        <f>IF(B144="","","PF"&amp;"_"&amp;IFERROR(VLOOKUP(B144,LOOKUPS!$K$2:$L$9,2,FALSE),"UNK")&amp;"_"&amp;IFERROR(VLOOKUP(C144,LOOKUPS!$N$2:$O$10,2,FALSE),"UNK")&amp;"_"&amp;UPPER(L144))</f>
        <v/>
      </c>
      <c r="N144" s="3" t="str">
        <f>IF(M144="","",COUNTIF($M$2:M144,M144))</f>
        <v/>
      </c>
    </row>
    <row r="145" spans="1:14" x14ac:dyDescent="0.3">
      <c r="A145" s="3" t="str">
        <f t="shared" si="2"/>
        <v/>
      </c>
      <c r="M145" s="3" t="str">
        <f>IF(B145="","","PF"&amp;"_"&amp;IFERROR(VLOOKUP(B145,LOOKUPS!$K$2:$L$9,2,FALSE),"UNK")&amp;"_"&amp;IFERROR(VLOOKUP(C145,LOOKUPS!$N$2:$O$10,2,FALSE),"UNK")&amp;"_"&amp;UPPER(L145))</f>
        <v/>
      </c>
      <c r="N145" s="3" t="str">
        <f>IF(M145="","",COUNTIF($M$2:M145,M145))</f>
        <v/>
      </c>
    </row>
    <row r="146" spans="1:14" x14ac:dyDescent="0.3">
      <c r="A146" s="3" t="str">
        <f t="shared" si="2"/>
        <v/>
      </c>
      <c r="M146" s="3" t="str">
        <f>IF(B146="","","PF"&amp;"_"&amp;IFERROR(VLOOKUP(B146,LOOKUPS!$K$2:$L$9,2,FALSE),"UNK")&amp;"_"&amp;IFERROR(VLOOKUP(C146,LOOKUPS!$N$2:$O$10,2,FALSE),"UNK")&amp;"_"&amp;UPPER(L146))</f>
        <v/>
      </c>
      <c r="N146" s="3" t="str">
        <f>IF(M146="","",COUNTIF($M$2:M146,M146))</f>
        <v/>
      </c>
    </row>
    <row r="147" spans="1:14" x14ac:dyDescent="0.3">
      <c r="A147" s="3" t="str">
        <f t="shared" si="2"/>
        <v/>
      </c>
      <c r="M147" s="3" t="str">
        <f>IF(B147="","","PF"&amp;"_"&amp;IFERROR(VLOOKUP(B147,LOOKUPS!$K$2:$L$9,2,FALSE),"UNK")&amp;"_"&amp;IFERROR(VLOOKUP(C147,LOOKUPS!$N$2:$O$10,2,FALSE),"UNK")&amp;"_"&amp;UPPER(L147))</f>
        <v/>
      </c>
      <c r="N147" s="3" t="str">
        <f>IF(M147="","",COUNTIF($M$2:M147,M147))</f>
        <v/>
      </c>
    </row>
    <row r="148" spans="1:14" x14ac:dyDescent="0.3">
      <c r="A148" s="3" t="str">
        <f t="shared" si="2"/>
        <v/>
      </c>
      <c r="M148" s="3" t="str">
        <f>IF(B148="","","PF"&amp;"_"&amp;IFERROR(VLOOKUP(B148,LOOKUPS!$K$2:$L$9,2,FALSE),"UNK")&amp;"_"&amp;IFERROR(VLOOKUP(C148,LOOKUPS!$N$2:$O$10,2,FALSE),"UNK")&amp;"_"&amp;UPPER(L148))</f>
        <v/>
      </c>
      <c r="N148" s="3" t="str">
        <f>IF(M148="","",COUNTIF($M$2:M148,M148))</f>
        <v/>
      </c>
    </row>
    <row r="149" spans="1:14" x14ac:dyDescent="0.3">
      <c r="A149" s="3" t="str">
        <f t="shared" si="2"/>
        <v/>
      </c>
      <c r="M149" s="3" t="str">
        <f>IF(B149="","","PF"&amp;"_"&amp;IFERROR(VLOOKUP(B149,LOOKUPS!$K$2:$L$9,2,FALSE),"UNK")&amp;"_"&amp;IFERROR(VLOOKUP(C149,LOOKUPS!$N$2:$O$10,2,FALSE),"UNK")&amp;"_"&amp;UPPER(L149))</f>
        <v/>
      </c>
      <c r="N149" s="3" t="str">
        <f>IF(M149="","",COUNTIF($M$2:M149,M149))</f>
        <v/>
      </c>
    </row>
    <row r="150" spans="1:14" x14ac:dyDescent="0.3">
      <c r="A150" s="3" t="str">
        <f t="shared" si="2"/>
        <v/>
      </c>
      <c r="M150" s="3" t="str">
        <f>IF(B150="","","PF"&amp;"_"&amp;IFERROR(VLOOKUP(B150,LOOKUPS!$K$2:$L$9,2,FALSE),"UNK")&amp;"_"&amp;IFERROR(VLOOKUP(C150,LOOKUPS!$N$2:$O$10,2,FALSE),"UNK")&amp;"_"&amp;UPPER(L150))</f>
        <v/>
      </c>
      <c r="N150" s="3" t="str">
        <f>IF(M150="","",COUNTIF($M$2:M150,M150))</f>
        <v/>
      </c>
    </row>
    <row r="151" spans="1:14" x14ac:dyDescent="0.3">
      <c r="A151" s="3" t="str">
        <f t="shared" si="2"/>
        <v/>
      </c>
      <c r="M151" s="3" t="str">
        <f>IF(B151="","","PF"&amp;"_"&amp;IFERROR(VLOOKUP(B151,LOOKUPS!$K$2:$L$9,2,FALSE),"UNK")&amp;"_"&amp;IFERROR(VLOOKUP(C151,LOOKUPS!$N$2:$O$10,2,FALSE),"UNK")&amp;"_"&amp;UPPER(L151))</f>
        <v/>
      </c>
      <c r="N151" s="3" t="str">
        <f>IF(M151="","",COUNTIF($M$2:M151,M151))</f>
        <v/>
      </c>
    </row>
    <row r="152" spans="1:14" x14ac:dyDescent="0.3">
      <c r="A152" s="3" t="str">
        <f t="shared" si="2"/>
        <v/>
      </c>
      <c r="M152" s="3" t="str">
        <f>IF(B152="","","PF"&amp;"_"&amp;IFERROR(VLOOKUP(B152,LOOKUPS!$K$2:$L$9,2,FALSE),"UNK")&amp;"_"&amp;IFERROR(VLOOKUP(C152,LOOKUPS!$N$2:$O$10,2,FALSE),"UNK")&amp;"_"&amp;UPPER(L152))</f>
        <v/>
      </c>
      <c r="N152" s="3" t="str">
        <f>IF(M152="","",COUNTIF($M$2:M152,M152))</f>
        <v/>
      </c>
    </row>
    <row r="153" spans="1:14" x14ac:dyDescent="0.3">
      <c r="A153" s="3" t="str">
        <f t="shared" si="2"/>
        <v/>
      </c>
      <c r="M153" s="3" t="str">
        <f>IF(B153="","","PF"&amp;"_"&amp;IFERROR(VLOOKUP(B153,LOOKUPS!$K$2:$L$9,2,FALSE),"UNK")&amp;"_"&amp;IFERROR(VLOOKUP(C153,LOOKUPS!$N$2:$O$10,2,FALSE),"UNK")&amp;"_"&amp;UPPER(L153))</f>
        <v/>
      </c>
      <c r="N153" s="3" t="str">
        <f>IF(M153="","",COUNTIF($M$2:M153,M153))</f>
        <v/>
      </c>
    </row>
    <row r="154" spans="1:14" x14ac:dyDescent="0.3">
      <c r="A154" s="3" t="str">
        <f t="shared" si="2"/>
        <v/>
      </c>
      <c r="M154" s="3" t="str">
        <f>IF(B154="","","PF"&amp;"_"&amp;IFERROR(VLOOKUP(B154,LOOKUPS!$K$2:$L$9,2,FALSE),"UNK")&amp;"_"&amp;IFERROR(VLOOKUP(C154,LOOKUPS!$N$2:$O$10,2,FALSE),"UNK")&amp;"_"&amp;UPPER(L154))</f>
        <v/>
      </c>
      <c r="N154" s="3" t="str">
        <f>IF(M154="","",COUNTIF($M$2:M154,M154))</f>
        <v/>
      </c>
    </row>
    <row r="155" spans="1:14" x14ac:dyDescent="0.3">
      <c r="A155" s="3" t="str">
        <f t="shared" si="2"/>
        <v/>
      </c>
      <c r="M155" s="3" t="str">
        <f>IF(B155="","","PF"&amp;"_"&amp;IFERROR(VLOOKUP(B155,LOOKUPS!$K$2:$L$9,2,FALSE),"UNK")&amp;"_"&amp;IFERROR(VLOOKUP(C155,LOOKUPS!$N$2:$O$10,2,FALSE),"UNK")&amp;"_"&amp;UPPER(L155))</f>
        <v/>
      </c>
      <c r="N155" s="3" t="str">
        <f>IF(M155="","",COUNTIF($M$2:M155,M155))</f>
        <v/>
      </c>
    </row>
    <row r="156" spans="1:14" x14ac:dyDescent="0.3">
      <c r="A156" s="3" t="str">
        <f t="shared" si="2"/>
        <v/>
      </c>
      <c r="M156" s="3" t="str">
        <f>IF(B156="","","PF"&amp;"_"&amp;IFERROR(VLOOKUP(B156,LOOKUPS!$K$2:$L$9,2,FALSE),"UNK")&amp;"_"&amp;IFERROR(VLOOKUP(C156,LOOKUPS!$N$2:$O$10,2,FALSE),"UNK")&amp;"_"&amp;UPPER(L156))</f>
        <v/>
      </c>
      <c r="N156" s="3" t="str">
        <f>IF(M156="","",COUNTIF($M$2:M156,M156))</f>
        <v/>
      </c>
    </row>
    <row r="157" spans="1:14" x14ac:dyDescent="0.3">
      <c r="A157" s="3" t="str">
        <f t="shared" si="2"/>
        <v/>
      </c>
      <c r="M157" s="3" t="str">
        <f>IF(B157="","","PF"&amp;"_"&amp;IFERROR(VLOOKUP(B157,LOOKUPS!$K$2:$L$9,2,FALSE),"UNK")&amp;"_"&amp;IFERROR(VLOOKUP(C157,LOOKUPS!$N$2:$O$10,2,FALSE),"UNK")&amp;"_"&amp;UPPER(L157))</f>
        <v/>
      </c>
      <c r="N157" s="3" t="str">
        <f>IF(M157="","",COUNTIF($M$2:M157,M157))</f>
        <v/>
      </c>
    </row>
    <row r="158" spans="1:14" x14ac:dyDescent="0.3">
      <c r="A158" s="3" t="str">
        <f t="shared" si="2"/>
        <v/>
      </c>
      <c r="M158" s="3" t="str">
        <f>IF(B158="","","PF"&amp;"_"&amp;IFERROR(VLOOKUP(B158,LOOKUPS!$K$2:$L$9,2,FALSE),"UNK")&amp;"_"&amp;IFERROR(VLOOKUP(C158,LOOKUPS!$N$2:$O$10,2,FALSE),"UNK")&amp;"_"&amp;UPPER(L158))</f>
        <v/>
      </c>
      <c r="N158" s="3" t="str">
        <f>IF(M158="","",COUNTIF($M$2:M158,M158))</f>
        <v/>
      </c>
    </row>
    <row r="159" spans="1:14" x14ac:dyDescent="0.3">
      <c r="A159" s="3" t="str">
        <f t="shared" si="2"/>
        <v/>
      </c>
      <c r="M159" s="3" t="str">
        <f>IF(B159="","","PF"&amp;"_"&amp;IFERROR(VLOOKUP(B159,LOOKUPS!$K$2:$L$9,2,FALSE),"UNK")&amp;"_"&amp;IFERROR(VLOOKUP(C159,LOOKUPS!$N$2:$O$10,2,FALSE),"UNK")&amp;"_"&amp;UPPER(L159))</f>
        <v/>
      </c>
      <c r="N159" s="3" t="str">
        <f>IF(M159="","",COUNTIF($M$2:M159,M159))</f>
        <v/>
      </c>
    </row>
    <row r="160" spans="1:14" x14ac:dyDescent="0.3">
      <c r="A160" s="3" t="str">
        <f t="shared" si="2"/>
        <v/>
      </c>
      <c r="M160" s="3" t="str">
        <f>IF(B160="","","PF"&amp;"_"&amp;IFERROR(VLOOKUP(B160,LOOKUPS!$K$2:$L$9,2,FALSE),"UNK")&amp;"_"&amp;IFERROR(VLOOKUP(C160,LOOKUPS!$N$2:$O$10,2,FALSE),"UNK")&amp;"_"&amp;UPPER(L160))</f>
        <v/>
      </c>
      <c r="N160" s="3" t="str">
        <f>IF(M160="","",COUNTIF($M$2:M160,M160))</f>
        <v/>
      </c>
    </row>
    <row r="161" spans="1:14" x14ac:dyDescent="0.3">
      <c r="A161" s="3" t="str">
        <f t="shared" si="2"/>
        <v/>
      </c>
      <c r="M161" s="3" t="str">
        <f>IF(B161="","","PF"&amp;"_"&amp;IFERROR(VLOOKUP(B161,LOOKUPS!$K$2:$L$9,2,FALSE),"UNK")&amp;"_"&amp;IFERROR(VLOOKUP(C161,LOOKUPS!$N$2:$O$10,2,FALSE),"UNK")&amp;"_"&amp;UPPER(L161))</f>
        <v/>
      </c>
      <c r="N161" s="3" t="str">
        <f>IF(M161="","",COUNTIF($M$2:M161,M161))</f>
        <v/>
      </c>
    </row>
    <row r="162" spans="1:14" x14ac:dyDescent="0.3">
      <c r="A162" s="3" t="str">
        <f t="shared" si="2"/>
        <v/>
      </c>
      <c r="M162" s="3" t="str">
        <f>IF(B162="","","PF"&amp;"_"&amp;IFERROR(VLOOKUP(B162,LOOKUPS!$K$2:$L$9,2,FALSE),"UNK")&amp;"_"&amp;IFERROR(VLOOKUP(C162,LOOKUPS!$N$2:$O$10,2,FALSE),"UNK")&amp;"_"&amp;UPPER(L162))</f>
        <v/>
      </c>
      <c r="N162" s="3" t="str">
        <f>IF(M162="","",COUNTIF($M$2:M162,M162))</f>
        <v/>
      </c>
    </row>
    <row r="163" spans="1:14" x14ac:dyDescent="0.3">
      <c r="A163" s="3" t="str">
        <f t="shared" si="2"/>
        <v/>
      </c>
      <c r="M163" s="3" t="str">
        <f>IF(B163="","","PF"&amp;"_"&amp;IFERROR(VLOOKUP(B163,LOOKUPS!$K$2:$L$9,2,FALSE),"UNK")&amp;"_"&amp;IFERROR(VLOOKUP(C163,LOOKUPS!$N$2:$O$10,2,FALSE),"UNK")&amp;"_"&amp;UPPER(L163))</f>
        <v/>
      </c>
      <c r="N163" s="3" t="str">
        <f>IF(M163="","",COUNTIF($M$2:M163,M163))</f>
        <v/>
      </c>
    </row>
    <row r="164" spans="1:14" x14ac:dyDescent="0.3">
      <c r="A164" s="3" t="str">
        <f t="shared" si="2"/>
        <v/>
      </c>
      <c r="M164" s="3" t="str">
        <f>IF(B164="","","PF"&amp;"_"&amp;IFERROR(VLOOKUP(B164,LOOKUPS!$K$2:$L$9,2,FALSE),"UNK")&amp;"_"&amp;IFERROR(VLOOKUP(C164,LOOKUPS!$N$2:$O$10,2,FALSE),"UNK")&amp;"_"&amp;UPPER(L164))</f>
        <v/>
      </c>
      <c r="N164" s="3" t="str">
        <f>IF(M164="","",COUNTIF($M$2:M164,M164))</f>
        <v/>
      </c>
    </row>
    <row r="165" spans="1:14" x14ac:dyDescent="0.3">
      <c r="A165" s="3" t="str">
        <f t="shared" si="2"/>
        <v/>
      </c>
      <c r="M165" s="3" t="str">
        <f>IF(B165="","","PF"&amp;"_"&amp;IFERROR(VLOOKUP(B165,LOOKUPS!$K$2:$L$9,2,FALSE),"UNK")&amp;"_"&amp;IFERROR(VLOOKUP(C165,LOOKUPS!$N$2:$O$10,2,FALSE),"UNK")&amp;"_"&amp;UPPER(L165))</f>
        <v/>
      </c>
      <c r="N165" s="3" t="str">
        <f>IF(M165="","",COUNTIF($M$2:M165,M165))</f>
        <v/>
      </c>
    </row>
    <row r="166" spans="1:14" x14ac:dyDescent="0.3">
      <c r="A166" s="3" t="str">
        <f t="shared" si="2"/>
        <v/>
      </c>
      <c r="M166" s="3" t="str">
        <f>IF(B166="","","PF"&amp;"_"&amp;IFERROR(VLOOKUP(B166,LOOKUPS!$K$2:$L$9,2,FALSE),"UNK")&amp;"_"&amp;IFERROR(VLOOKUP(C166,LOOKUPS!$N$2:$O$10,2,FALSE),"UNK")&amp;"_"&amp;UPPER(L166))</f>
        <v/>
      </c>
      <c r="N166" s="3" t="str">
        <f>IF(M166="","",COUNTIF($M$2:M166,M166))</f>
        <v/>
      </c>
    </row>
    <row r="167" spans="1:14" x14ac:dyDescent="0.3">
      <c r="A167" s="3" t="str">
        <f t="shared" si="2"/>
        <v/>
      </c>
      <c r="M167" s="3" t="str">
        <f>IF(B167="","","PF"&amp;"_"&amp;IFERROR(VLOOKUP(B167,LOOKUPS!$K$2:$L$9,2,FALSE),"UNK")&amp;"_"&amp;IFERROR(VLOOKUP(C167,LOOKUPS!$N$2:$O$10,2,FALSE),"UNK")&amp;"_"&amp;UPPER(L167))</f>
        <v/>
      </c>
      <c r="N167" s="3" t="str">
        <f>IF(M167="","",COUNTIF($M$2:M167,M167))</f>
        <v/>
      </c>
    </row>
    <row r="168" spans="1:14" x14ac:dyDescent="0.3">
      <c r="A168" s="3" t="str">
        <f t="shared" si="2"/>
        <v/>
      </c>
      <c r="M168" s="3" t="str">
        <f>IF(B168="","","PF"&amp;"_"&amp;IFERROR(VLOOKUP(B168,LOOKUPS!$K$2:$L$9,2,FALSE),"UNK")&amp;"_"&amp;IFERROR(VLOOKUP(C168,LOOKUPS!$N$2:$O$10,2,FALSE),"UNK")&amp;"_"&amp;UPPER(L168))</f>
        <v/>
      </c>
      <c r="N168" s="3" t="str">
        <f>IF(M168="","",COUNTIF($M$2:M168,M168))</f>
        <v/>
      </c>
    </row>
    <row r="169" spans="1:14" x14ac:dyDescent="0.3">
      <c r="A169" s="3" t="str">
        <f t="shared" si="2"/>
        <v/>
      </c>
      <c r="M169" s="3" t="str">
        <f>IF(B169="","","PF"&amp;"_"&amp;IFERROR(VLOOKUP(B169,LOOKUPS!$K$2:$L$9,2,FALSE),"UNK")&amp;"_"&amp;IFERROR(VLOOKUP(C169,LOOKUPS!$N$2:$O$10,2,FALSE),"UNK")&amp;"_"&amp;UPPER(L169))</f>
        <v/>
      </c>
      <c r="N169" s="3" t="str">
        <f>IF(M169="","",COUNTIF($M$2:M169,M169))</f>
        <v/>
      </c>
    </row>
    <row r="170" spans="1:14" x14ac:dyDescent="0.3">
      <c r="A170" s="3" t="str">
        <f t="shared" si="2"/>
        <v/>
      </c>
      <c r="M170" s="3" t="str">
        <f>IF(B170="","","PF"&amp;"_"&amp;IFERROR(VLOOKUP(B170,LOOKUPS!$K$2:$L$9,2,FALSE),"UNK")&amp;"_"&amp;IFERROR(VLOOKUP(C170,LOOKUPS!$N$2:$O$10,2,FALSE),"UNK")&amp;"_"&amp;UPPER(L170))</f>
        <v/>
      </c>
      <c r="N170" s="3" t="str">
        <f>IF(M170="","",COUNTIF($M$2:M170,M170))</f>
        <v/>
      </c>
    </row>
    <row r="171" spans="1:14" x14ac:dyDescent="0.3">
      <c r="A171" s="3" t="str">
        <f t="shared" si="2"/>
        <v/>
      </c>
      <c r="M171" s="3" t="str">
        <f>IF(B171="","","PF"&amp;"_"&amp;IFERROR(VLOOKUP(B171,LOOKUPS!$K$2:$L$9,2,FALSE),"UNK")&amp;"_"&amp;IFERROR(VLOOKUP(C171,LOOKUPS!$N$2:$O$10,2,FALSE),"UNK")&amp;"_"&amp;UPPER(L171))</f>
        <v/>
      </c>
      <c r="N171" s="3" t="str">
        <f>IF(M171="","",COUNTIF($M$2:M171,M171))</f>
        <v/>
      </c>
    </row>
    <row r="172" spans="1:14" x14ac:dyDescent="0.3">
      <c r="A172" s="3" t="str">
        <f t="shared" si="2"/>
        <v/>
      </c>
      <c r="M172" s="3" t="str">
        <f>IF(B172="","","PF"&amp;"_"&amp;IFERROR(VLOOKUP(B172,LOOKUPS!$K$2:$L$9,2,FALSE),"UNK")&amp;"_"&amp;IFERROR(VLOOKUP(C172,LOOKUPS!$N$2:$O$10,2,FALSE),"UNK")&amp;"_"&amp;UPPER(L172))</f>
        <v/>
      </c>
      <c r="N172" s="3" t="str">
        <f>IF(M172="","",COUNTIF($M$2:M172,M172))</f>
        <v/>
      </c>
    </row>
    <row r="173" spans="1:14" x14ac:dyDescent="0.3">
      <c r="A173" s="3" t="str">
        <f t="shared" si="2"/>
        <v/>
      </c>
      <c r="M173" s="3" t="str">
        <f>IF(B173="","","PF"&amp;"_"&amp;IFERROR(VLOOKUP(B173,LOOKUPS!$K$2:$L$9,2,FALSE),"UNK")&amp;"_"&amp;IFERROR(VLOOKUP(C173,LOOKUPS!$N$2:$O$10,2,FALSE),"UNK")&amp;"_"&amp;UPPER(L173))</f>
        <v/>
      </c>
      <c r="N173" s="3" t="str">
        <f>IF(M173="","",COUNTIF($M$2:M173,M173))</f>
        <v/>
      </c>
    </row>
    <row r="174" spans="1:14" x14ac:dyDescent="0.3">
      <c r="A174" s="3" t="str">
        <f t="shared" si="2"/>
        <v/>
      </c>
      <c r="M174" s="3" t="str">
        <f>IF(B174="","","PF"&amp;"_"&amp;IFERROR(VLOOKUP(B174,LOOKUPS!$K$2:$L$9,2,FALSE),"UNK")&amp;"_"&amp;IFERROR(VLOOKUP(C174,LOOKUPS!$N$2:$O$10,2,FALSE),"UNK")&amp;"_"&amp;UPPER(L174))</f>
        <v/>
      </c>
      <c r="N174" s="3" t="str">
        <f>IF(M174="","",COUNTIF($M$2:M174,M174))</f>
        <v/>
      </c>
    </row>
    <row r="175" spans="1:14" x14ac:dyDescent="0.3">
      <c r="A175" s="3" t="str">
        <f t="shared" si="2"/>
        <v/>
      </c>
      <c r="M175" s="3" t="str">
        <f>IF(B175="","","PF"&amp;"_"&amp;IFERROR(VLOOKUP(B175,LOOKUPS!$K$2:$L$9,2,FALSE),"UNK")&amp;"_"&amp;IFERROR(VLOOKUP(C175,LOOKUPS!$N$2:$O$10,2,FALSE),"UNK")&amp;"_"&amp;UPPER(L175))</f>
        <v/>
      </c>
      <c r="N175" s="3" t="str">
        <f>IF(M175="","",COUNTIF($M$2:M175,M175))</f>
        <v/>
      </c>
    </row>
    <row r="176" spans="1:14" x14ac:dyDescent="0.3">
      <c r="A176" s="3" t="str">
        <f t="shared" si="2"/>
        <v/>
      </c>
      <c r="M176" s="3" t="str">
        <f>IF(B176="","","PF"&amp;"_"&amp;IFERROR(VLOOKUP(B176,LOOKUPS!$K$2:$L$9,2,FALSE),"UNK")&amp;"_"&amp;IFERROR(VLOOKUP(C176,LOOKUPS!$N$2:$O$10,2,FALSE),"UNK")&amp;"_"&amp;UPPER(L176))</f>
        <v/>
      </c>
      <c r="N176" s="3" t="str">
        <f>IF(M176="","",COUNTIF($M$2:M176,M176))</f>
        <v/>
      </c>
    </row>
    <row r="177" spans="1:14" x14ac:dyDescent="0.3">
      <c r="A177" s="3" t="str">
        <f t="shared" si="2"/>
        <v/>
      </c>
      <c r="M177" s="3" t="str">
        <f>IF(B177="","","PF"&amp;"_"&amp;IFERROR(VLOOKUP(B177,LOOKUPS!$K$2:$L$9,2,FALSE),"UNK")&amp;"_"&amp;IFERROR(VLOOKUP(C177,LOOKUPS!$N$2:$O$10,2,FALSE),"UNK")&amp;"_"&amp;UPPER(L177))</f>
        <v/>
      </c>
      <c r="N177" s="3" t="str">
        <f>IF(M177="","",COUNTIF($M$2:M177,M177))</f>
        <v/>
      </c>
    </row>
    <row r="178" spans="1:14" x14ac:dyDescent="0.3">
      <c r="A178" s="3" t="str">
        <f t="shared" si="2"/>
        <v/>
      </c>
      <c r="M178" s="3" t="str">
        <f>IF(B178="","","PF"&amp;"_"&amp;IFERROR(VLOOKUP(B178,LOOKUPS!$K$2:$L$9,2,FALSE),"UNK")&amp;"_"&amp;IFERROR(VLOOKUP(C178,LOOKUPS!$N$2:$O$10,2,FALSE),"UNK")&amp;"_"&amp;UPPER(L178))</f>
        <v/>
      </c>
      <c r="N178" s="3" t="str">
        <f>IF(M178="","",COUNTIF($M$2:M178,M178))</f>
        <v/>
      </c>
    </row>
    <row r="179" spans="1:14" x14ac:dyDescent="0.3">
      <c r="A179" s="3" t="str">
        <f t="shared" si="2"/>
        <v/>
      </c>
      <c r="M179" s="3" t="str">
        <f>IF(B179="","","PF"&amp;"_"&amp;IFERROR(VLOOKUP(B179,LOOKUPS!$K$2:$L$9,2,FALSE),"UNK")&amp;"_"&amp;IFERROR(VLOOKUP(C179,LOOKUPS!$N$2:$O$10,2,FALSE),"UNK")&amp;"_"&amp;UPPER(L179))</f>
        <v/>
      </c>
      <c r="N179" s="3" t="str">
        <f>IF(M179="","",COUNTIF($M$2:M179,M179))</f>
        <v/>
      </c>
    </row>
    <row r="180" spans="1:14" x14ac:dyDescent="0.3">
      <c r="A180" s="3" t="str">
        <f t="shared" si="2"/>
        <v/>
      </c>
      <c r="M180" s="3" t="str">
        <f>IF(B180="","","PF"&amp;"_"&amp;IFERROR(VLOOKUP(B180,LOOKUPS!$K$2:$L$9,2,FALSE),"UNK")&amp;"_"&amp;IFERROR(VLOOKUP(C180,LOOKUPS!$N$2:$O$10,2,FALSE),"UNK")&amp;"_"&amp;UPPER(L180))</f>
        <v/>
      </c>
      <c r="N180" s="3" t="str">
        <f>IF(M180="","",COUNTIF($M$2:M180,M180))</f>
        <v/>
      </c>
    </row>
    <row r="181" spans="1:14" x14ac:dyDescent="0.3">
      <c r="A181" s="3" t="str">
        <f t="shared" si="2"/>
        <v/>
      </c>
      <c r="M181" s="3" t="str">
        <f>IF(B181="","","PF"&amp;"_"&amp;IFERROR(VLOOKUP(B181,LOOKUPS!$K$2:$L$9,2,FALSE),"UNK")&amp;"_"&amp;IFERROR(VLOOKUP(C181,LOOKUPS!$N$2:$O$10,2,FALSE),"UNK")&amp;"_"&amp;UPPER(L181))</f>
        <v/>
      </c>
      <c r="N181" s="3" t="str">
        <f>IF(M181="","",COUNTIF($M$2:M181,M181))</f>
        <v/>
      </c>
    </row>
    <row r="182" spans="1:14" x14ac:dyDescent="0.3">
      <c r="A182" s="3" t="str">
        <f t="shared" si="2"/>
        <v/>
      </c>
      <c r="M182" s="3" t="str">
        <f>IF(B182="","","PF"&amp;"_"&amp;IFERROR(VLOOKUP(B182,LOOKUPS!$K$2:$L$9,2,FALSE),"UNK")&amp;"_"&amp;IFERROR(VLOOKUP(C182,LOOKUPS!$N$2:$O$10,2,FALSE),"UNK")&amp;"_"&amp;UPPER(L182))</f>
        <v/>
      </c>
      <c r="N182" s="3" t="str">
        <f>IF(M182="","",COUNTIF($M$2:M182,M182))</f>
        <v/>
      </c>
    </row>
    <row r="183" spans="1:14" x14ac:dyDescent="0.3">
      <c r="A183" s="3" t="str">
        <f t="shared" si="2"/>
        <v/>
      </c>
      <c r="M183" s="3" t="str">
        <f>IF(B183="","","PF"&amp;"_"&amp;IFERROR(VLOOKUP(B183,LOOKUPS!$K$2:$L$9,2,FALSE),"UNK")&amp;"_"&amp;IFERROR(VLOOKUP(C183,LOOKUPS!$N$2:$O$10,2,FALSE),"UNK")&amp;"_"&amp;UPPER(L183))</f>
        <v/>
      </c>
      <c r="N183" s="3" t="str">
        <f>IF(M183="","",COUNTIF($M$2:M183,M183))</f>
        <v/>
      </c>
    </row>
    <row r="184" spans="1:14" x14ac:dyDescent="0.3">
      <c r="A184" s="3" t="str">
        <f t="shared" si="2"/>
        <v/>
      </c>
      <c r="M184" s="3" t="str">
        <f>IF(B184="","","PF"&amp;"_"&amp;IFERROR(VLOOKUP(B184,LOOKUPS!$K$2:$L$9,2,FALSE),"UNK")&amp;"_"&amp;IFERROR(VLOOKUP(C184,LOOKUPS!$N$2:$O$10,2,FALSE),"UNK")&amp;"_"&amp;UPPER(L184))</f>
        <v/>
      </c>
      <c r="N184" s="3" t="str">
        <f>IF(M184="","",COUNTIF($M$2:M184,M184))</f>
        <v/>
      </c>
    </row>
    <row r="185" spans="1:14" x14ac:dyDescent="0.3">
      <c r="A185" s="3" t="str">
        <f t="shared" si="2"/>
        <v/>
      </c>
      <c r="M185" s="3" t="str">
        <f>IF(B185="","","PF"&amp;"_"&amp;IFERROR(VLOOKUP(B185,LOOKUPS!$K$2:$L$9,2,FALSE),"UNK")&amp;"_"&amp;IFERROR(VLOOKUP(C185,LOOKUPS!$N$2:$O$10,2,FALSE),"UNK")&amp;"_"&amp;UPPER(L185))</f>
        <v/>
      </c>
      <c r="N185" s="3" t="str">
        <f>IF(M185="","",COUNTIF($M$2:M185,M185))</f>
        <v/>
      </c>
    </row>
    <row r="186" spans="1:14" x14ac:dyDescent="0.3">
      <c r="A186" s="3" t="str">
        <f t="shared" si="2"/>
        <v/>
      </c>
      <c r="M186" s="3" t="str">
        <f>IF(B186="","","PF"&amp;"_"&amp;IFERROR(VLOOKUP(B186,LOOKUPS!$K$2:$L$9,2,FALSE),"UNK")&amp;"_"&amp;IFERROR(VLOOKUP(C186,LOOKUPS!$N$2:$O$10,2,FALSE),"UNK")&amp;"_"&amp;UPPER(L186))</f>
        <v/>
      </c>
      <c r="N186" s="3" t="str">
        <f>IF(M186="","",COUNTIF($M$2:M186,M186))</f>
        <v/>
      </c>
    </row>
    <row r="187" spans="1:14" x14ac:dyDescent="0.3">
      <c r="A187" s="3" t="str">
        <f t="shared" si="2"/>
        <v/>
      </c>
      <c r="M187" s="3" t="str">
        <f>IF(B187="","","PF"&amp;"_"&amp;IFERROR(VLOOKUP(B187,LOOKUPS!$K$2:$L$9,2,FALSE),"UNK")&amp;"_"&amp;IFERROR(VLOOKUP(C187,LOOKUPS!$N$2:$O$10,2,FALSE),"UNK")&amp;"_"&amp;UPPER(L187))</f>
        <v/>
      </c>
      <c r="N187" s="3" t="str">
        <f>IF(M187="","",COUNTIF($M$2:M187,M187))</f>
        <v/>
      </c>
    </row>
    <row r="188" spans="1:14" x14ac:dyDescent="0.3">
      <c r="A188" s="3" t="str">
        <f t="shared" si="2"/>
        <v/>
      </c>
      <c r="M188" s="3" t="str">
        <f>IF(B188="","","PF"&amp;"_"&amp;IFERROR(VLOOKUP(B188,LOOKUPS!$K$2:$L$9,2,FALSE),"UNK")&amp;"_"&amp;IFERROR(VLOOKUP(C188,LOOKUPS!$N$2:$O$10,2,FALSE),"UNK")&amp;"_"&amp;UPPER(L188))</f>
        <v/>
      </c>
      <c r="N188" s="3" t="str">
        <f>IF(M188="","",COUNTIF($M$2:M188,M188))</f>
        <v/>
      </c>
    </row>
    <row r="189" spans="1:14" x14ac:dyDescent="0.3">
      <c r="A189" s="3" t="str">
        <f t="shared" si="2"/>
        <v/>
      </c>
      <c r="M189" s="3" t="str">
        <f>IF(B189="","","PF"&amp;"_"&amp;IFERROR(VLOOKUP(B189,LOOKUPS!$K$2:$L$9,2,FALSE),"UNK")&amp;"_"&amp;IFERROR(VLOOKUP(C189,LOOKUPS!$N$2:$O$10,2,FALSE),"UNK")&amp;"_"&amp;UPPER(L189))</f>
        <v/>
      </c>
      <c r="N189" s="3" t="str">
        <f>IF(M189="","",COUNTIF($M$2:M189,M189))</f>
        <v/>
      </c>
    </row>
    <row r="190" spans="1:14" x14ac:dyDescent="0.3">
      <c r="A190" s="3" t="str">
        <f t="shared" si="2"/>
        <v/>
      </c>
      <c r="M190" s="3" t="str">
        <f>IF(B190="","","PF"&amp;"_"&amp;IFERROR(VLOOKUP(B190,LOOKUPS!$K$2:$L$9,2,FALSE),"UNK")&amp;"_"&amp;IFERROR(VLOOKUP(C190,LOOKUPS!$N$2:$O$10,2,FALSE),"UNK")&amp;"_"&amp;UPPER(L190))</f>
        <v/>
      </c>
      <c r="N190" s="3" t="str">
        <f>IF(M190="","",COUNTIF($M$2:M190,M190))</f>
        <v/>
      </c>
    </row>
    <row r="191" spans="1:14" x14ac:dyDescent="0.3">
      <c r="A191" s="3" t="str">
        <f t="shared" si="2"/>
        <v/>
      </c>
      <c r="M191" s="3" t="str">
        <f>IF(B191="","","PF"&amp;"_"&amp;IFERROR(VLOOKUP(B191,LOOKUPS!$K$2:$L$9,2,FALSE),"UNK")&amp;"_"&amp;IFERROR(VLOOKUP(C191,LOOKUPS!$N$2:$O$10,2,FALSE),"UNK")&amp;"_"&amp;UPPER(L191))</f>
        <v/>
      </c>
      <c r="N191" s="3" t="str">
        <f>IF(M191="","",COUNTIF($M$2:M191,M191))</f>
        <v/>
      </c>
    </row>
    <row r="192" spans="1:14" x14ac:dyDescent="0.3">
      <c r="A192" s="3" t="str">
        <f t="shared" si="2"/>
        <v/>
      </c>
      <c r="M192" s="3" t="str">
        <f>IF(B192="","","PF"&amp;"_"&amp;IFERROR(VLOOKUP(B192,LOOKUPS!$K$2:$L$9,2,FALSE),"UNK")&amp;"_"&amp;IFERROR(VLOOKUP(C192,LOOKUPS!$N$2:$O$10,2,FALSE),"UNK")&amp;"_"&amp;UPPER(L192))</f>
        <v/>
      </c>
      <c r="N192" s="3" t="str">
        <f>IF(M192="","",COUNTIF($M$2:M192,M192))</f>
        <v/>
      </c>
    </row>
    <row r="193" spans="1:14" x14ac:dyDescent="0.3">
      <c r="A193" s="3" t="str">
        <f t="shared" si="2"/>
        <v/>
      </c>
      <c r="M193" s="3" t="str">
        <f>IF(B193="","","PF"&amp;"_"&amp;IFERROR(VLOOKUP(B193,LOOKUPS!$K$2:$L$9,2,FALSE),"UNK")&amp;"_"&amp;IFERROR(VLOOKUP(C193,LOOKUPS!$N$2:$O$10,2,FALSE),"UNK")&amp;"_"&amp;UPPER(L193))</f>
        <v/>
      </c>
      <c r="N193" s="3" t="str">
        <f>IF(M193="","",COUNTIF($M$2:M193,M193))</f>
        <v/>
      </c>
    </row>
    <row r="194" spans="1:14" x14ac:dyDescent="0.3">
      <c r="A194" s="3" t="str">
        <f t="shared" si="2"/>
        <v/>
      </c>
      <c r="M194" s="3" t="str">
        <f>IF(B194="","","PF"&amp;"_"&amp;IFERROR(VLOOKUP(B194,LOOKUPS!$K$2:$L$9,2,FALSE),"UNK")&amp;"_"&amp;IFERROR(VLOOKUP(C194,LOOKUPS!$N$2:$O$10,2,FALSE),"UNK")&amp;"_"&amp;UPPER(L194))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IF(B195="","","PF"&amp;"_"&amp;IFERROR(VLOOKUP(B195,LOOKUPS!$K$2:$L$9,2,FALSE),"UNK")&amp;"_"&amp;IFERROR(VLOOKUP(C195,LOOKUPS!$N$2:$O$10,2,FALSE),"UNK")&amp;"_"&amp;UPPER(L195))</f>
        <v/>
      </c>
      <c r="N195" s="3" t="str">
        <f>IF(M195="","",COUNTIF($M$2:M195,M195))</f>
        <v/>
      </c>
    </row>
    <row r="196" spans="1:14" x14ac:dyDescent="0.3">
      <c r="A196" s="3" t="str">
        <f t="shared" si="3"/>
        <v/>
      </c>
      <c r="M196" s="3" t="str">
        <f>IF(B196="","","PF"&amp;"_"&amp;IFERROR(VLOOKUP(B196,LOOKUPS!$K$2:$L$9,2,FALSE),"UNK")&amp;"_"&amp;IFERROR(VLOOKUP(C196,LOOKUPS!$N$2:$O$10,2,FALSE),"UNK")&amp;"_"&amp;UPPER(L196))</f>
        <v/>
      </c>
      <c r="N196" s="3" t="str">
        <f>IF(M196="","",COUNTIF($M$2:M196,M196))</f>
        <v/>
      </c>
    </row>
    <row r="197" spans="1:14" x14ac:dyDescent="0.3">
      <c r="A197" s="3" t="str">
        <f t="shared" si="3"/>
        <v/>
      </c>
      <c r="M197" s="3" t="str">
        <f>IF(B197="","","PF"&amp;"_"&amp;IFERROR(VLOOKUP(B197,LOOKUPS!$K$2:$L$9,2,FALSE),"UNK")&amp;"_"&amp;IFERROR(VLOOKUP(C197,LOOKUPS!$N$2:$O$10,2,FALSE),"UNK")&amp;"_"&amp;UPPER(L197))</f>
        <v/>
      </c>
      <c r="N197" s="3" t="str">
        <f>IF(M197="","",COUNTIF($M$2:M197,M197))</f>
        <v/>
      </c>
    </row>
    <row r="198" spans="1:14" x14ac:dyDescent="0.3">
      <c r="A198" s="3" t="str">
        <f t="shared" si="3"/>
        <v/>
      </c>
      <c r="M198" s="3" t="str">
        <f>IF(B198="","","PF"&amp;"_"&amp;IFERROR(VLOOKUP(B198,LOOKUPS!$K$2:$L$9,2,FALSE),"UNK")&amp;"_"&amp;IFERROR(VLOOKUP(C198,LOOKUPS!$N$2:$O$10,2,FALSE),"UNK")&amp;"_"&amp;UPPER(L198))</f>
        <v/>
      </c>
      <c r="N198" s="3" t="str">
        <f>IF(M198="","",COUNTIF($M$2:M198,M198))</f>
        <v/>
      </c>
    </row>
    <row r="199" spans="1:14" x14ac:dyDescent="0.3">
      <c r="A199" s="3" t="str">
        <f t="shared" si="3"/>
        <v/>
      </c>
      <c r="M199" s="3" t="str">
        <f>IF(B199="","","PF"&amp;"_"&amp;IFERROR(VLOOKUP(B199,LOOKUPS!$K$2:$L$9,2,FALSE),"UNK")&amp;"_"&amp;IFERROR(VLOOKUP(C199,LOOKUPS!$N$2:$O$10,2,FALSE),"UNK")&amp;"_"&amp;UPPER(L199))</f>
        <v/>
      </c>
      <c r="N199" s="3" t="str">
        <f>IF(M199="","",COUNTIF($M$2:M199,M199))</f>
        <v/>
      </c>
    </row>
    <row r="200" spans="1:14" x14ac:dyDescent="0.3">
      <c r="A200" s="3" t="str">
        <f t="shared" si="3"/>
        <v/>
      </c>
      <c r="M200" s="3" t="str">
        <f>IF(B200="","","PF"&amp;"_"&amp;IFERROR(VLOOKUP(B200,LOOKUPS!$K$2:$L$9,2,FALSE),"UNK")&amp;"_"&amp;IFERROR(VLOOKUP(C200,LOOKUPS!$N$2:$O$10,2,FALSE),"UNK")&amp;"_"&amp;UPPER(L200))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 type="list" allowBlank="1" showDropDown="1" xr:uid="{00000000-0002-0000-0500-000000000000}">
          <x14:formula1>
            <xm:f>LOOKUPS!$A$2:$A$9</xm:f>
          </x14:formula1>
          <xm:sqref>B201:B1000</xm:sqref>
        </x14:dataValidation>
        <x14:dataValidation type="list" allowBlank="1" xr:uid="{F17F4E70-1DFD-49B8-B609-2BEFE05660BB}">
          <x14:formula1>
            <xm:f>LOOKUPS!$A$2:$A$9</xm:f>
          </x14:formula1>
          <xm:sqref>B2:B200</xm:sqref>
        </x14:dataValidation>
        <x14:dataValidation type="list" allowBlank="1" showDropDown="1" xr:uid="{00000000-0002-0000-0500-000001000000}">
          <x14:formula1>
            <xm:f>LOOKUPS!$C$2:$C$10</xm:f>
          </x14:formula1>
          <xm:sqref>C201:C1000</xm:sqref>
        </x14:dataValidation>
        <x14:dataValidation type="list" allowBlank="1" xr:uid="{6C06B5A9-8864-4EFC-90FD-E9C1773F40E3}">
          <x14:formula1>
            <xm:f>LOOKUPS!$C$2:$C$10</xm:f>
          </x14:formula1>
          <xm:sqref>C2:C200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142</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142</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142</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142</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142</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Tax efficient investments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142</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Tax efficient investments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142</v>
      </c>
      <c r="M8" s="3">
        <f>COUNTA(CLOZE_AB!$A:$A)-1</f>
        <v>168</v>
      </c>
      <c r="N8" s="3">
        <f>COUNTA(CLOZE_LIST!$A:$A)-1</f>
        <v>199</v>
      </c>
      <c r="O8" s="3">
        <f>COUNTA(PROFORMA!$A:$A)-1</f>
        <v>199</v>
      </c>
    </row>
    <row r="9" spans="1:15" x14ac:dyDescent="0.3">
      <c r="A9" s="3" t="str">
        <f>IF(ROW()-1&lt;=0,"",IF(ROW()-1&lt;=$L$2,IFERROR(INDEX(MCQ!$A:$K,ROW()-1+1,1),""),IF(ROW()-1&lt;=$L$2+$M$2,IFERROR(INDEX(CLOZE_AB!$A:$K,ROW()-1-$L$2+1,1),""),IF(ROW()-1&lt;=$L$2+$M$2+$N$2,IFERROR(INDEX(CLOZE_LIST!$A:$K,ROW()-1-$L$2-$M$2+1,1),""),IF(ROW()-1&lt;=$L$2+$M$2+$N$2+$O$2,IFERROR(INDEX(PROFORMA!$A:$K,ROW()-1-$L$2-$M$2-$N$2+1,1),""),"")))))</f>
        <v>MCQ_ITNIC_T_EIS_001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treatments</v>
      </c>
      <c r="D9" s="3" t="str">
        <f>IF(ROW()-1&lt;=0,"",IF(ROW()-1&lt;=$L$2,IFERROR(INDEX(MCQ!$A:$K,ROW()-1+1,4),""),IF(ROW()-1&lt;=$L$2+$M$2,IFERROR(INDEX(CLOZE_AB!$A:$K,ROW()-1-$L$2+1,4),""),IF(ROW()-1&lt;=$L$2+$M$2+$N$2,IFERROR(INDEX(CLOZE_LIST!$A:$K,ROW()-1-$L$2-$M$2+1,4),""),IF(ROW()-1&lt;=$L$2+$M$2+$N$2+$O$2,IFERROR(INDEX(PROFORMA!$A:$K,ROW()-1-$L$2-$M$2-$N$2+1,4),""),"")))))</f>
        <v>Tax efficient investments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142</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MCQ_ITNIC_P_PSC_001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planning</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142</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MCQ_ITNIC_T_PSC_001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treatments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142</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MCQ_ITNIC_REQ_PSC_001</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142</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142</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142</v>
      </c>
      <c r="M14" s="3">
        <f>COUNTA(CLOZE_AB!$A:$A)-1</f>
        <v>168</v>
      </c>
      <c r="N14" s="3">
        <f>COUNTA(CLOZE_LIST!$A:$A)-1</f>
        <v>199</v>
      </c>
      <c r="O14" s="3">
        <f>COUNTA(PROFORMA!$A:$A)-1</f>
        <v>199</v>
      </c>
    </row>
    <row r="15" spans="1:15" x14ac:dyDescent="0.3">
      <c r="A15" s="3" t="str">
        <f>IF(ROW()-1&lt;=0,"",IF(ROW()-1&lt;=$L$2,IFERROR(INDEX(MCQ!$A:$K,ROW()-1+1,1),""),IF(ROW()-1&lt;=$L$2+$M$2,IFERROR(INDEX(CLOZE_AB!$A:$K,ROW()-1-$L$2+1,1),""),IF(ROW()-1&lt;=$L$2+$M$2+$N$2,IFERROR(INDEX(CLOZE_LIST!$A:$K,ROW()-1-$L$2-$M$2+1,1),""),IF(ROW()-1&lt;=$L$2+$M$2+$N$2+$O$2,IFERROR(INDEX(PROFORMA!$A:$K,ROW()-1-$L$2-$M$2-$N$2+1,1),""),"")))))</f>
        <v>MCQ_ITNIC_T_SHS_001</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treatments</v>
      </c>
      <c r="D15" s="3" t="str">
        <f>IF(ROW()-1&lt;=0,"",IF(ROW()-1&lt;=$L$2,IFERROR(INDEX(MCQ!$A:$K,ROW()-1+1,4),""),IF(ROW()-1&lt;=$L$2+$M$2,IFERROR(INDEX(CLOZE_AB!$A:$K,ROW()-1-$L$2+1,4),""),IF(ROW()-1&lt;=$L$2+$M$2+$N$2,IFERROR(INDEX(CLOZE_LIST!$A:$K,ROW()-1-$L$2-$M$2+1,4),""),IF(ROW()-1&lt;=$L$2+$M$2+$N$2+$O$2,IFERROR(INDEX(PROFORMA!$A:$K,ROW()-1-$L$2-$M$2-$N$2+1,4),""),"")))))</f>
        <v>Employee share schemes</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142</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Employee share schemes</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142</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Employee share schemes</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142</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Employee share schemes</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142</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Employee share schemes</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142</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Employee share schemes</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142</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Employee share schemes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142</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Employee share schemes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142</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Employee share schemes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142</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Employee share schemes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142</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Employee share schemes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142</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Employee share schemes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142</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MCQ_ITNIC_P_EMI_001</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planning</v>
      </c>
      <c r="D27" s="3" t="str">
        <f>IF(ROW()-1&lt;=0,"",IF(ROW()-1&lt;=$L$2,IFERROR(INDEX(MCQ!$A:$K,ROW()-1+1,4),""),IF(ROW()-1&lt;=$L$2+$M$2,IFERROR(INDEX(CLOZE_AB!$A:$K,ROW()-1-$L$2+1,4),""),IF(ROW()-1&lt;=$L$2+$M$2+$N$2,IFERROR(INDEX(CLOZE_LIST!$A:$K,ROW()-1-$L$2-$M$2+1,4),""),IF(ROW()-1&lt;=$L$2+$M$2+$N$2+$O$2,IFERROR(INDEX(PROFORMA!$A:$K,ROW()-1-$L$2-$M$2-$N$2+1,4),""),"")))))</f>
        <v>Employee share schemes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142</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142</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142</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142</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142</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MCQ_CGT_DEF_RESDOM_001</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definitions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142</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MCQ_CGT_REQ_RESDOM_005</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142</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MCQ_CGT_REQ_RESDOM_006</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142</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MCQ_CGT_REQ_RESDOM_007</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142</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MCQ_CGT_P_SPLITYR_001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planning</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142</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MCQ_CGT_P_SPLITYR_002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planning</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142</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MCQ_CGT_P_SPLITYR_003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planning</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142</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MCQ_CGT_P_SPLITYR_004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planning</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142</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MCQ_CGT_REQ_SPLITYR_001</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142</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MCQ_CGT_REQ_SPLITYR_002</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142</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MCQ_CGT_P_SPLITYR_005</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planning</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142</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142</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142</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142</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142</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142</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142</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142</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142</v>
      </c>
      <c r="M50" s="3">
        <f>COUNTA(CLOZE_AB!$A:$A)-1</f>
        <v>168</v>
      </c>
      <c r="N50" s="3">
        <f>COUNTA(CLOZE_LIST!$A:$A)-1</f>
        <v>199</v>
      </c>
      <c r="O50" s="3">
        <f>COUNTA(PROFORMA!$A:$A)-1</f>
        <v>199</v>
      </c>
    </row>
    <row r="51" spans="1:15" x14ac:dyDescent="0.3">
      <c r="A51" s="3">
        <f>IF(ROW()-1&lt;=0,"",IF(ROW()-1&lt;=$L$2,IFERROR(INDEX(MCQ!$A:$K,ROW()-1+1,1),""),IF(ROW()-1&lt;=$L$2+$M$2,IFERROR(INDEX(CLOZE_AB!$A:$K,ROW()-1-$L$2+1,1),""),IF(ROW()-1&lt;=$L$2+$M$2+$N$2,IFERROR(INDEX(CLOZE_LIST!$A:$K,ROW()-1-$L$2-$M$2+1,1),""),IF(ROW()-1&lt;=$L$2+$M$2+$N$2+$O$2,IFERROR(INDEX(PROFORMA!$A:$K,ROW()-1-$L$2-$M$2-$N$2+1,1),""),"")))))</f>
        <v>0</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142</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142</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142</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142</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142</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142</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142</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142</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142</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142</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142</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142</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142</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142</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142</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142</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142</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142</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142</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142</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142</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142</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142</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142</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142</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142</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142</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142</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142</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142</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142</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142</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142</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142</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142</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142</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142</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142</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142</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142</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142</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142</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142</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142</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142</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142</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142</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142</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142</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142</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142</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142</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142</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142</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142</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142</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142</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142</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142</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142</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142</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142</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142</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142</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142</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142</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142</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142</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142</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142</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142</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142</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142</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142</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142</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142</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142</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142</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142</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142</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142</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142</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142</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142</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142</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142</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142</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142</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142</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142</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142</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142</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142</v>
      </c>
      <c r="M143" s="3">
        <f>COUNTA(CLOZE_AB!$A:$A)-1</f>
        <v>168</v>
      </c>
      <c r="N143" s="3">
        <f>COUNTA(CLOZE_LIST!$A:$A)-1</f>
        <v>199</v>
      </c>
      <c r="O143" s="3">
        <f>COUNTA(PROFORMA!$A:$A)-1</f>
        <v>199</v>
      </c>
    </row>
    <row r="144" spans="1:15" ht="28.8" x14ac:dyDescent="0.3">
      <c r="A144" s="3" t="str">
        <f>IF(ROW()-1&lt;=0,"",IF(ROW()-1&lt;=$L$2,IFERROR(INDEX(MCQ!$A:$K,ROW()-1+1,1),""),IF(ROW()-1&lt;=$L$2+$M$2,IFERROR(INDEX(CLOZE_AB!$A:$K,ROW()-1-$L$2+1,1),""),IF(ROW()-1&lt;=$L$2+$M$2+$N$2,IFERROR(INDEX(CLOZE_LIST!$A:$K,ROW()-1-$L$2-$M$2+1,1),""),IF(ROW()-1&lt;=$L$2+$M$2+$N$2+$O$2,IFERROR(INDEX(PROFORMA!$A:$K,ROW()-1-$L$2-$M$2-$N$2+1,1),""),"")))))</f>
        <v>AB_ITNIC_REQ_INVSCHEME_001</v>
      </c>
      <c r="B144" s="3" t="str">
        <f>IF(ROW()-1&lt;=0,"",IF(ROW()-1&lt;=$L$2,IFERROR(INDEX(MCQ!$A:$K,ROW()-1+1,2),""),IF(ROW()-1&lt;=$L$2+$M$2,IFERROR(INDEX(CLOZE_AB!$A:$K,ROW()-1-$L$2+1,2),""),IF(ROW()-1&lt;=$L$2+$M$2+$N$2,IFERROR(INDEX(CLOZE_LIST!$A:$K,ROW()-1-$L$2-$M$2+1,2),""),IF(ROW()-1&lt;=$L$2+$M$2+$N$2+$O$2,IFERROR(INDEX(PROFORMA!$A:$K,ROW()-1-$L$2-$M$2-$N$2+1,2),""),"")))))</f>
        <v>Income tax &amp; NIC</v>
      </c>
      <c r="C144" s="3" t="str">
        <f>IF(ROW()-1&lt;=0,"",IF(ROW()-1&lt;=$L$2,IFERROR(INDEX(MCQ!$A:$K,ROW()-1+1,3),""),IF(ROW()-1&lt;=$L$2+$M$2,IFERROR(INDEX(CLOZE_AB!$A:$K,ROW()-1-$L$2+1,3),""),IF(ROW()-1&lt;=$L$2+$M$2+$N$2,IFERROR(INDEX(CLOZE_LIST!$A:$K,ROW()-1-$L$2-$M$2+1,3),""),IF(ROW()-1&lt;=$L$2+$M$2+$N$2+$O$2,IFERROR(INDEX(PROFORMA!$A:$K,ROW()-1-$L$2-$M$2-$N$2+1,3),""),"")))))</f>
        <v>requirements</v>
      </c>
      <c r="D144" s="3" t="str">
        <f>IF(ROW()-1&lt;=0,"",IF(ROW()-1&lt;=$L$2,IFERROR(INDEX(MCQ!$A:$K,ROW()-1+1,4),""),IF(ROW()-1&lt;=$L$2+$M$2,IFERROR(INDEX(CLOZE_AB!$A:$K,ROW()-1-$L$2+1,4),""),IF(ROW()-1&lt;=$L$2+$M$2+$N$2,IFERROR(INDEX(CLOZE_LIST!$A:$K,ROW()-1-$L$2-$M$2+1,4),""),IF(ROW()-1&lt;=$L$2+$M$2+$N$2+$O$2,IFERROR(INDEX(PROFORMA!$A:$K,ROW()-1-$L$2-$M$2-$N$2+1,4),""),"")))))</f>
        <v>Tax efficient investments</v>
      </c>
      <c r="E144" s="3" t="str">
        <f>IF(ROW()-1&lt;=0,"",IF(ROW()-1&lt;=$L$2,IFERROR(INDEX(MCQ!$A:$K,ROW()-1+1,5),""),IF(ROW()-1&lt;=$L$2+$M$2,IFERROR(INDEX(CLOZE_AB!$A:$K,ROW()-1-$L$2+1,5),""),IF(ROW()-1&lt;=$L$2+$M$2+$N$2,IFERROR(INDEX(CLOZE_LIST!$A:$K,ROW()-1-$L$2-$M$2+1,5),""),IF(ROW()-1&lt;=$L$2+$M$2+$N$2+$O$2,IFERROR(INDEX(PROFORMA!$A:$K,ROW()-1-$L$2-$M$2-$N$2+1,5),""),"")))))</f>
        <v>cloze_ab</v>
      </c>
      <c r="F144" s="3">
        <f>IF(ROW()-1&lt;=0,"",IF(ROW()-1&lt;=$L$2,IFERROR(INDEX(MCQ!$A:$K,ROW()-1+1,6),""),IF(ROW()-1&lt;=$L$2+$M$2,IFERROR(INDEX(CLOZE_AB!$A:$K,ROW()-1-$L$2+1,6),""),IF(ROW()-1&lt;=$L$2+$M$2+$N$2,IFERROR(INDEX(CLOZE_LIST!$A:$K,ROW()-1-$L$2-$M$2+1,6),""),IF(ROW()-1&lt;=$L$2+$M$2+$N$2+$O$2,IFERROR(INDEX(PROFORMA!$A:$K,ROW()-1-$L$2-$M$2-$N$2+1,6),""),"")))))</f>
        <v>3</v>
      </c>
      <c r="G144" s="3">
        <f>IF(ROW()-1&lt;=0,"",IF(ROW()-1&lt;=$L$2,IFERROR(INDEX(MCQ!$A:$K,ROW()-1+1,7),""),IF(ROW()-1&lt;=$L$2+$M$2,IFERROR(INDEX(CLOZE_AB!$A:$K,ROW()-1-$L$2+1,7),""),IF(ROW()-1&lt;=$L$2+$M$2+$N$2,IFERROR(INDEX(CLOZE_LIST!$A:$K,ROW()-1-$L$2-$M$2+1,7),""),IF(ROW()-1&lt;=$L$2+$M$2+$N$2+$O$2,IFERROR(INDEX(PROFORMA!$A:$K,ROW()-1-$L$2-$M$2-$N$2+1,7),""),"")))))</f>
        <v>0</v>
      </c>
      <c r="H144" s="3" t="str">
        <f>IF(ROW()-1&lt;=0,"",IF(ROW()-1&lt;=$L$2,IFERROR(INDEX(MCQ!$A:$K,ROW()-1+1,8),""),IF(ROW()-1&lt;=$L$2+$M$2,IFERROR(INDEX(CLOZE_AB!$A:$K,ROW()-1-$L$2+1,8),""),IF(ROW()-1&lt;=$L$2+$M$2+$N$2,IFERROR(INDEX(CLOZE_LIST!$A:$K,ROW()-1-$L$2-$M$2+1,8),""),IF(ROW()-1&lt;=$L$2+$M$2+$N$2+$O$2,IFERROR(INDEX(PROFORMA!$A:$K,ROW()-1-$L$2-$M$2-$N$2+1,8),""),"")))))</f>
        <v>Y</v>
      </c>
      <c r="I144" s="3" t="str">
        <f>IF(ROW()-1&lt;=0,"",IF(ROW()-1&lt;=$L$2,IFERROR(INDEX(MCQ!$A:$K,ROW()-1+1,9),""),IF(ROW()-1&lt;=$L$2+$M$2,IFERROR(INDEX(CLOZE_AB!$A:$K,ROW()-1-$L$2+1,9),""),IF(ROW()-1&lt;=$L$2+$M$2+$N$2,IFERROR(INDEX(CLOZE_LIST!$A:$K,ROW()-1-$L$2-$M$2+1,9),""),IF(ROW()-1&lt;=$L$2+$M$2+$N$2+$O$2,IFERROR(INDEX(PROFORMA!$A:$K,ROW()-1-$L$2-$M$2-$N$2+1,9),""),"")))))</f>
        <v>eis|seis|vct</v>
      </c>
      <c r="J144" s="3" t="str">
        <f>IF(ROW()-1&lt;=0,"",IF(ROW()-1&lt;=$L$2,IFERROR(INDEX(MCQ!$A:$K,ROW()-1+1,10),""),IF(ROW()-1&lt;=$L$2+$M$2,IFERROR(INDEX(CLOZE_AB!$A:$K,ROW()-1-$L$2+1,10),""),IF(ROW()-1&lt;=$L$2+$M$2+$N$2,IFERROR(INDEX(CLOZE_LIST!$A:$K,ROW()-1-$L$2-$M$2+1,10),""),IF(ROW()-1&lt;=$L$2+$M$2+$N$2+$O$2,IFERROR(INDEX(PROFORMA!$A:$K,ROW()-1-$L$2-$M$2-$N$2+1,10),""),"")))))</f>
        <v>user_notes</v>
      </c>
      <c r="K144" s="3">
        <f>IF(ROW()-1&lt;=0,"",IF(ROW()-1&lt;=$L$2,IFERROR(INDEX(MCQ!$A:$K,ROW()-1+1,11),""),IF(ROW()-1&lt;=$L$2+$M$2,IFERROR(INDEX(CLOZE_AB!$A:$K,ROW()-1-$L$2+1,11),""),IF(ROW()-1&lt;=$L$2+$M$2+$N$2,IFERROR(INDEX(CLOZE_LIST!$A:$K,ROW()-1-$L$2-$M$2+1,11),""),IF(ROW()-1&lt;=$L$2+$M$2+$N$2+$O$2,IFERROR(INDEX(PROFORMA!$A:$K,ROW()-1-$L$2-$M$2-$N$2+1,11),""),"")))))</f>
        <v>1</v>
      </c>
      <c r="L144" s="3">
        <f>COUNTA(MCQ!$A:$A)-1</f>
        <v>142</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AB_ITNIC_REQ_INVSCHEME_002</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Tax efficient investments</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eis|conditions</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142</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AB_ITNIC_REQ_INVSCHEME_003</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Tax efficient investments</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eis|withdrawal</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142</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AB_ITNIC_REQ_INVSCHEME_004</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Tax efficient investments</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eis|cgt</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142</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AB_ITNIC_REQ_INVSCHEME_005</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Tax efficient investments</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seis|limits</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142</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AB_ITNIC_REQ_INVSCHEME_006</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Tax efficient investments</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seis|criteria</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142</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AB_ITNIC_REQ_INVSCHEME_007</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Tax efficient investments</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vct|relief</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142</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AB_ITNIC_REQ_INVSCHEME_008</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Tax efficient investments</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vct|cgt</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142</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AB_ITNIC_REQ_INVSCHEME_009</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Tax efficient investments</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ordering|reducers</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142</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AB_ITNIC_REQ_INVSCHEME_010</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Tax efficient investments</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timing|reinvestment</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142</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AB_ITNIC_REQ_INVSCHEME_011</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Tax efficient investments</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timing|seis</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142</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AB_ITNIC_REQ_INVSCHEME_012</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Tax efficient investments</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eis|claims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142</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AB_ITNIC_REQ_EMPSHARESCHEME_001</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Employee share schemes</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saye|limits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142</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AB_ITNIC_REQ_EMPSHARESCHEME_002</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saye|term</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142</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AB_ITNIC_REQ_EMPSHARESCHEME_003</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saye|tax</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142</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AB_ITNIC_REQ_EMPSHARESCHEME_004</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saye|completion</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142</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AB_ITNIC_REQ_EMPSHARESCHEME_005</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saye|disposal</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142</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AB_ITNIC_REQ_EMPSHARESCHEME_006</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csop|shares</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142</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AB_ITNIC_REQ_EMPSHARESCHEME_007</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csop|eligibility</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142</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AB_ITNIC_REQ_EMPSHARESCHEME_008</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csop|population</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142</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AB_ITNIC_REQ_EMPSHARESCHEME_009</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csop|window</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142</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AB_ITNIC_REQ_EMPSHARESCHEME_010</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csop|cap</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142</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AB_ITNIC_REQ_EMPSHARESCHEME_011</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csop|disposal</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142</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AB_ITNIC_REQ_EMPSHARESCHEME_012</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emi|purpose</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142</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AB_ITNIC_REQ_EMPSHARESCHEME_013</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emi|company</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142</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AB_ITNIC_REQ_EMPSHARESCHEME_014</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emi|company2</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142</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AB_ITNIC_REQ_EMPSHARESCHEME_015</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emi|employee</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142</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AB_ITNIC_REQ_EMPSHARESCHEME_016</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emi|ownership</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142</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AB_ITNIC_REQ_EMPSHARESCHEME_017</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emi|sharetype</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142</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AB_ITNIC_REQ_EMPSHARESCHEME_018</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emi|limits</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142</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AB_ITNIC_REQ_EMPSHARESCHEME_019</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emi|interactions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142</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AB_ITNIC_REQ_EMPSHARESCHEME_020</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emi|targets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142</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AB_ITNIC_REQ_EMPSHARESCHEME_021</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emi|discount</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142</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AB_ITNIC_REQ_EMPSHARESCHEME_022</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emi|nic|listed</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142</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AB_ITNIC_REQ_EMPSHARESCHEME_023</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emi|badr</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142</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AB_ITNIC_REQ_EMPSHARESCHEME_024</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sip|structure</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142</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AB_ITNIC_REQ_EMPSHARESCHEME_025</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sip|eligibility</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142</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AB_ITNIC_REQ_EMPSHARESCHEME_026</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sip|company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142</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AB_ITNIC_REQ_EMPSHARESCHEME_027</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sip|free</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142</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AB_ITNIC_REQ_EMPSHARESCHEME_028</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sip|partnership</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142</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AB_ITNIC_REQ_EMPSHARESCHEME_029</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sip|matching</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142</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AB_ITNIC_REQ_EMPSHARESCHEME_030</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sip|dividends</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142</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AB_ITNIC_REQ_EMPSHARESCHEME_031</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sip|exit5</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142</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AB_ITNIC_REQ_EMPSHARESCHEME_032</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sip|exit3</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142</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AB_ITNIC_REQ_EMPSHARESCHEME_033</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sip|exit35</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142</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AB_ITNIC_REQ_EMPSHARESCHEME_034</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compare|tax</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142</v>
      </c>
      <c r="M189" s="3">
        <f>COUNTA(CLOZE_AB!$A:$A)-1</f>
        <v>168</v>
      </c>
      <c r="N189" s="3">
        <f>COUNTA(CLOZE_LIST!$A:$A)-1</f>
        <v>199</v>
      </c>
      <c r="O189" s="3">
        <f>COUNTA(PROFORMA!$A:$A)-1</f>
        <v>199</v>
      </c>
    </row>
    <row r="190" spans="1:15" x14ac:dyDescent="0.3">
      <c r="A190" s="3" t="str">
        <f>IF(ROW()-1&lt;=0,"",IF(ROW()-1&lt;=$L$2,IFERROR(INDEX(MCQ!$A:$K,ROW()-1+1,1),""),IF(ROW()-1&lt;=$L$2+$M$2,IFERROR(INDEX(CLOZE_AB!$A:$K,ROW()-1-$L$2+1,1),""),IF(ROW()-1&lt;=$L$2+$M$2+$N$2,IFERROR(INDEX(CLOZE_LIST!$A:$K,ROW()-1-$L$2-$M$2+1,1),""),IF(ROW()-1&lt;=$L$2+$M$2+$N$2+$O$2,IFERROR(INDEX(PROFORMA!$A:$K,ROW()-1-$L$2-$M$2-$N$2+1,1),""),"")))))</f>
        <v/>
      </c>
      <c r="B190" s="3">
        <f>IF(ROW()-1&lt;=0,"",IF(ROW()-1&lt;=$L$2,IFERROR(INDEX(MCQ!$A:$K,ROW()-1+1,2),""),IF(ROW()-1&lt;=$L$2+$M$2,IFERROR(INDEX(CLOZE_AB!$A:$K,ROW()-1-$L$2+1,2),""),IF(ROW()-1&lt;=$L$2+$M$2+$N$2,IFERROR(INDEX(CLOZE_LIST!$A:$K,ROW()-1-$L$2-$M$2+1,2),""),IF(ROW()-1&lt;=$L$2+$M$2+$N$2+$O$2,IFERROR(INDEX(PROFORMA!$A:$K,ROW()-1-$L$2-$M$2-$N$2+1,2),""),"")))))</f>
        <v>0</v>
      </c>
      <c r="C190" s="3">
        <f>IF(ROW()-1&lt;=0,"",IF(ROW()-1&lt;=$L$2,IFERROR(INDEX(MCQ!$A:$K,ROW()-1+1,3),""),IF(ROW()-1&lt;=$L$2+$M$2,IFERROR(INDEX(CLOZE_AB!$A:$K,ROW()-1-$L$2+1,3),""),IF(ROW()-1&lt;=$L$2+$M$2+$N$2,IFERROR(INDEX(CLOZE_LIST!$A:$K,ROW()-1-$L$2-$M$2+1,3),""),IF(ROW()-1&lt;=$L$2+$M$2+$N$2+$O$2,IFERROR(INDEX(PROFORMA!$A:$K,ROW()-1-$L$2-$M$2-$N$2+1,3),""),"")))))</f>
        <v>0</v>
      </c>
      <c r="D190" s="3">
        <f>IF(ROW()-1&lt;=0,"",IF(ROW()-1&lt;=$L$2,IFERROR(INDEX(MCQ!$A:$K,ROW()-1+1,4),""),IF(ROW()-1&lt;=$L$2+$M$2,IFERROR(INDEX(CLOZE_AB!$A:$K,ROW()-1-$L$2+1,4),""),IF(ROW()-1&lt;=$L$2+$M$2+$N$2,IFERROR(INDEX(CLOZE_LIST!$A:$K,ROW()-1-$L$2-$M$2+1,4),""),IF(ROW()-1&lt;=$L$2+$M$2+$N$2+$O$2,IFERROR(INDEX(PROFORMA!$A:$K,ROW()-1-$L$2-$M$2-$N$2+1,4),""),"")))))</f>
        <v>0</v>
      </c>
      <c r="E190" s="3">
        <f>IF(ROW()-1&lt;=0,"",IF(ROW()-1&lt;=$L$2,IFERROR(INDEX(MCQ!$A:$K,ROW()-1+1,5),""),IF(ROW()-1&lt;=$L$2+$M$2,IFERROR(INDEX(CLOZE_AB!$A:$K,ROW()-1-$L$2+1,5),""),IF(ROW()-1&lt;=$L$2+$M$2+$N$2,IFERROR(INDEX(CLOZE_LIST!$A:$K,ROW()-1-$L$2-$M$2+1,5),""),IF(ROW()-1&lt;=$L$2+$M$2+$N$2+$O$2,IFERROR(INDEX(PROFORMA!$A:$K,ROW()-1-$L$2-$M$2-$N$2+1,5),""),"")))))</f>
        <v>0</v>
      </c>
      <c r="F190" s="3">
        <f>IF(ROW()-1&lt;=0,"",IF(ROW()-1&lt;=$L$2,IFERROR(INDEX(MCQ!$A:$K,ROW()-1+1,6),""),IF(ROW()-1&lt;=$L$2+$M$2,IFERROR(INDEX(CLOZE_AB!$A:$K,ROW()-1-$L$2+1,6),""),IF(ROW()-1&lt;=$L$2+$M$2+$N$2,IFERROR(INDEX(CLOZE_LIST!$A:$K,ROW()-1-$L$2-$M$2+1,6),""),IF(ROW()-1&lt;=$L$2+$M$2+$N$2+$O$2,IFERROR(INDEX(PROFORMA!$A:$K,ROW()-1-$L$2-$M$2-$N$2+1,6),""),"")))))</f>
        <v>0</v>
      </c>
      <c r="G190" s="3">
        <f>IF(ROW()-1&lt;=0,"",IF(ROW()-1&lt;=$L$2,IFERROR(INDEX(MCQ!$A:$K,ROW()-1+1,7),""),IF(ROW()-1&lt;=$L$2+$M$2,IFERROR(INDEX(CLOZE_AB!$A:$K,ROW()-1-$L$2+1,7),""),IF(ROW()-1&lt;=$L$2+$M$2+$N$2,IFERROR(INDEX(CLOZE_LIST!$A:$K,ROW()-1-$L$2-$M$2+1,7),""),IF(ROW()-1&lt;=$L$2+$M$2+$N$2+$O$2,IFERROR(INDEX(PROFORMA!$A:$K,ROW()-1-$L$2-$M$2-$N$2+1,7),""),"")))))</f>
        <v>0</v>
      </c>
      <c r="H190" s="3">
        <f>IF(ROW()-1&lt;=0,"",IF(ROW()-1&lt;=$L$2,IFERROR(INDEX(MCQ!$A:$K,ROW()-1+1,8),""),IF(ROW()-1&lt;=$L$2+$M$2,IFERROR(INDEX(CLOZE_AB!$A:$K,ROW()-1-$L$2+1,8),""),IF(ROW()-1&lt;=$L$2+$M$2+$N$2,IFERROR(INDEX(CLOZE_LIST!$A:$K,ROW()-1-$L$2-$M$2+1,8),""),IF(ROW()-1&lt;=$L$2+$M$2+$N$2+$O$2,IFERROR(INDEX(PROFORMA!$A:$K,ROW()-1-$L$2-$M$2-$N$2+1,8),""),"")))))</f>
        <v>0</v>
      </c>
      <c r="I190" s="3">
        <f>IF(ROW()-1&lt;=0,"",IF(ROW()-1&lt;=$L$2,IFERROR(INDEX(MCQ!$A:$K,ROW()-1+1,9),""),IF(ROW()-1&lt;=$L$2+$M$2,IFERROR(INDEX(CLOZE_AB!$A:$K,ROW()-1-$L$2+1,9),""),IF(ROW()-1&lt;=$L$2+$M$2+$N$2,IFERROR(INDEX(CLOZE_LIST!$A:$K,ROW()-1-$L$2-$M$2+1,9),""),IF(ROW()-1&lt;=$L$2+$M$2+$N$2+$O$2,IFERROR(INDEX(PROFORMA!$A:$K,ROW()-1-$L$2-$M$2-$N$2+1,9),""),"")))))</f>
        <v>0</v>
      </c>
      <c r="J190" s="3">
        <f>IF(ROW()-1&lt;=0,"",IF(ROW()-1&lt;=$L$2,IFERROR(INDEX(MCQ!$A:$K,ROW()-1+1,10),""),IF(ROW()-1&lt;=$L$2+$M$2,IFERROR(INDEX(CLOZE_AB!$A:$K,ROW()-1-$L$2+1,10),""),IF(ROW()-1&lt;=$L$2+$M$2+$N$2,IFERROR(INDEX(CLOZE_LIST!$A:$K,ROW()-1-$L$2-$M$2+1,10),""),IF(ROW()-1&lt;=$L$2+$M$2+$N$2+$O$2,IFERROR(INDEX(PROFORMA!$A:$K,ROW()-1-$L$2-$M$2-$N$2+1,10),""),"")))))</f>
        <v>0</v>
      </c>
      <c r="K190" s="3">
        <f>IF(ROW()-1&lt;=0,"",IF(ROW()-1&lt;=$L$2,IFERROR(INDEX(MCQ!$A:$K,ROW()-1+1,11),""),IF(ROW()-1&lt;=$L$2+$M$2,IFERROR(INDEX(CLOZE_AB!$A:$K,ROW()-1-$L$2+1,11),""),IF(ROW()-1&lt;=$L$2+$M$2+$N$2,IFERROR(INDEX(CLOZE_LIST!$A:$K,ROW()-1-$L$2-$M$2+1,11),""),IF(ROW()-1&lt;=$L$2+$M$2+$N$2+$O$2,IFERROR(INDEX(PROFORMA!$A:$K,ROW()-1-$L$2-$M$2-$N$2+1,11),""),"")))))</f>
        <v>0</v>
      </c>
      <c r="L190" s="3">
        <f>COUNTA(MCQ!$A:$A)-1</f>
        <v>142</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142</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142</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142</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142</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142</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142</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142</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142</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142</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142</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142</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142</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142</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142</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142</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142</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142</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142</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142</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142</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142</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142</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142</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142</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142</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142</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142</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142</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142</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142</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142</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142</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142</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142</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142</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142</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142</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142</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142</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142</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142</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142</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142</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142</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142</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142</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142</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142</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142</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142</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142</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142</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142</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142</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142</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142</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142</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142</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142</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142</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142</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142</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142</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142</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142</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142</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142</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142</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142</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142</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142</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142</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142</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142</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142</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142</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142</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142</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142</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142</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142</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142</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142</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142</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142</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142</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142</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142</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142</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142</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142</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142</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142</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142</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142</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142</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142</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142</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142</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142</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142</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142</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142</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142</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142</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142</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142</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142</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142</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142</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142</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142</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142</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142</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142</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142</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142</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142</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142</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142</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142</v>
      </c>
      <c r="M311" s="3">
        <f>COUNTA(CLOZE_AB!$A:$A)-1</f>
        <v>168</v>
      </c>
      <c r="N311" s="3">
        <f>COUNTA(CLOZE_LIST!$A:$A)-1</f>
        <v>199</v>
      </c>
      <c r="O311" s="3">
        <f>COUNTA(PROFORMA!$A:$A)-1</f>
        <v>199</v>
      </c>
    </row>
    <row r="312" spans="1:15" ht="28.8" x14ac:dyDescent="0.3">
      <c r="A312" s="3" t="str">
        <f>IF(ROW()-1&lt;=0,"",IF(ROW()-1&lt;=$L$2,IFERROR(INDEX(MCQ!$A:$K,ROW()-1+1,1),""),IF(ROW()-1&lt;=$L$2+$M$2,IFERROR(INDEX(CLOZE_AB!$A:$K,ROW()-1-$L$2+1,1),""),IF(ROW()-1&lt;=$L$2+$M$2+$N$2,IFERROR(INDEX(CLOZE_LIST!$A:$K,ROW()-1-$L$2-$M$2+1,1),""),IF(ROW()-1&lt;=$L$2+$M$2+$N$2+$O$2,IFERROR(INDEX(PROFORMA!$A:$K,ROW()-1-$L$2-$M$2-$N$2+1,1),""),"")))))</f>
        <v>LIST_ITNIC_REQ_EIS_001</v>
      </c>
      <c r="B312" s="3" t="str">
        <f>IF(ROW()-1&lt;=0,"",IF(ROW()-1&lt;=$L$2,IFERROR(INDEX(MCQ!$A:$K,ROW()-1+1,2),""),IF(ROW()-1&lt;=$L$2+$M$2,IFERROR(INDEX(CLOZE_AB!$A:$K,ROW()-1-$L$2+1,2),""),IF(ROW()-1&lt;=$L$2+$M$2+$N$2,IFERROR(INDEX(CLOZE_LIST!$A:$K,ROW()-1-$L$2-$M$2+1,2),""),IF(ROW()-1&lt;=$L$2+$M$2+$N$2+$O$2,IFERROR(INDEX(PROFORMA!$A:$K,ROW()-1-$L$2-$M$2-$N$2+1,2),""),"")))))</f>
        <v>Income tax &amp; NIC</v>
      </c>
      <c r="C312" s="3" t="str">
        <f>IF(ROW()-1&lt;=0,"",IF(ROW()-1&lt;=$L$2,IFERROR(INDEX(MCQ!$A:$K,ROW()-1+1,3),""),IF(ROW()-1&lt;=$L$2+$M$2,IFERROR(INDEX(CLOZE_AB!$A:$K,ROW()-1-$L$2+1,3),""),IF(ROW()-1&lt;=$L$2+$M$2+$N$2,IFERROR(INDEX(CLOZE_LIST!$A:$K,ROW()-1-$L$2-$M$2+1,3),""),IF(ROW()-1&lt;=$L$2+$M$2+$N$2+$O$2,IFERROR(INDEX(PROFORMA!$A:$K,ROW()-1-$L$2-$M$2-$N$2+1,3),""),"")))))</f>
        <v>requirements</v>
      </c>
      <c r="D312" s="3" t="str">
        <f>IF(ROW()-1&lt;=0,"",IF(ROW()-1&lt;=$L$2,IFERROR(INDEX(MCQ!$A:$K,ROW()-1+1,4),""),IF(ROW()-1&lt;=$L$2+$M$2,IFERROR(INDEX(CLOZE_AB!$A:$K,ROW()-1-$L$2+1,4),""),IF(ROW()-1&lt;=$L$2+$M$2+$N$2,IFERROR(INDEX(CLOZE_LIST!$A:$K,ROW()-1-$L$2-$M$2+1,4),""),IF(ROW()-1&lt;=$L$2+$M$2+$N$2+$O$2,IFERROR(INDEX(PROFORMA!$A:$K,ROW()-1-$L$2-$M$2-$N$2+1,4),""),"")))))</f>
        <v>EIS / SEIS / VCT reliefs</v>
      </c>
      <c r="E312" s="3" t="str">
        <f>IF(ROW()-1&lt;=0,"",IF(ROW()-1&lt;=$L$2,IFERROR(INDEX(MCQ!$A:$K,ROW()-1+1,5),""),IF(ROW()-1&lt;=$L$2+$M$2,IFERROR(INDEX(CLOZE_AB!$A:$K,ROW()-1-$L$2+1,5),""),IF(ROW()-1&lt;=$L$2+$M$2+$N$2,IFERROR(INDEX(CLOZE_LIST!$A:$K,ROW()-1-$L$2-$M$2+1,5),""),IF(ROW()-1&lt;=$L$2+$M$2+$N$2+$O$2,IFERROR(INDEX(PROFORMA!$A:$K,ROW()-1-$L$2-$M$2-$N$2+1,5),""),"")))))</f>
        <v>cloze_list</v>
      </c>
      <c r="F312" s="3">
        <f>IF(ROW()-1&lt;=0,"",IF(ROW()-1&lt;=$L$2,IFERROR(INDEX(MCQ!$A:$K,ROW()-1+1,6),""),IF(ROW()-1&lt;=$L$2+$M$2,IFERROR(INDEX(CLOZE_AB!$A:$K,ROW()-1-$L$2+1,6),""),IF(ROW()-1&lt;=$L$2+$M$2+$N$2,IFERROR(INDEX(CLOZE_LIST!$A:$K,ROW()-1-$L$2-$M$2+1,6),""),IF(ROW()-1&lt;=$L$2+$M$2+$N$2+$O$2,IFERROR(INDEX(PROFORMA!$A:$K,ROW()-1-$L$2-$M$2-$N$2+1,6),""),"")))))</f>
        <v>3</v>
      </c>
      <c r="G312" s="3" t="str">
        <f>IF(ROW()-1&lt;=0,"",IF(ROW()-1&lt;=$L$2,IFERROR(INDEX(MCQ!$A:$K,ROW()-1+1,7),""),IF(ROW()-1&lt;=$L$2+$M$2,IFERROR(INDEX(CLOZE_AB!$A:$K,ROW()-1-$L$2+1,7),""),IF(ROW()-1&lt;=$L$2+$M$2+$N$2,IFERROR(INDEX(CLOZE_LIST!$A:$K,ROW()-1-$L$2-$M$2+1,7),""),IF(ROW()-1&lt;=$L$2+$M$2+$N$2+$O$2,IFERROR(INDEX(PROFORMA!$A:$K,ROW()-1-$L$2-$M$2-$N$2+1,7),""),"")))))</f>
        <v>core</v>
      </c>
      <c r="H312" s="3" t="str">
        <f>IF(ROW()-1&lt;=0,"",IF(ROW()-1&lt;=$L$2,IFERROR(INDEX(MCQ!$A:$K,ROW()-1+1,8),""),IF(ROW()-1&lt;=$L$2+$M$2,IFERROR(INDEX(CLOZE_AB!$A:$K,ROW()-1-$L$2+1,8),""),IF(ROW()-1&lt;=$L$2+$M$2+$N$2,IFERROR(INDEX(CLOZE_LIST!$A:$K,ROW()-1-$L$2-$M$2+1,8),""),IF(ROW()-1&lt;=$L$2+$M$2+$N$2+$O$2,IFERROR(INDEX(PROFORMA!$A:$K,ROW()-1-$L$2-$M$2-$N$2+1,8),""),"")))))</f>
        <v>Y</v>
      </c>
      <c r="I312" s="3" t="str">
        <f>IF(ROW()-1&lt;=0,"",IF(ROW()-1&lt;=$L$2,IFERROR(INDEX(MCQ!$A:$K,ROW()-1+1,9),""),IF(ROW()-1&lt;=$L$2+$M$2,IFERROR(INDEX(CLOZE_AB!$A:$K,ROW()-1-$L$2+1,9),""),IF(ROW()-1&lt;=$L$2+$M$2+$N$2,IFERROR(INDEX(CLOZE_LIST!$A:$K,ROW()-1-$L$2-$M$2+1,9),""),IF(ROW()-1&lt;=$L$2+$M$2+$N$2+$O$2,IFERROR(INDEX(PROFORMA!$A:$K,ROW()-1-$L$2-$M$2-$N$2+1,9),""),"")))))</f>
        <v>eis;seis;vct</v>
      </c>
      <c r="J312" s="3" t="str">
        <f>IF(ROW()-1&lt;=0,"",IF(ROW()-1&lt;=$L$2,IFERROR(INDEX(MCQ!$A:$K,ROW()-1+1,10),""),IF(ROW()-1&lt;=$L$2+$M$2,IFERROR(INDEX(CLOZE_AB!$A:$K,ROW()-1-$L$2+1,10),""),IF(ROW()-1&lt;=$L$2+$M$2+$N$2,IFERROR(INDEX(CLOZE_LIST!$A:$K,ROW()-1-$L$2-$M$2+1,10),""),IF(ROW()-1&lt;=$L$2+$M$2+$N$2+$O$2,IFERROR(INDEX(PROFORMA!$A:$K,ROW()-1-$L$2-$M$2-$N$2+1,10),""),"")))))</f>
        <v>notes</v>
      </c>
      <c r="K312" s="3">
        <f>IF(ROW()-1&lt;=0,"",IF(ROW()-1&lt;=$L$2,IFERROR(INDEX(MCQ!$A:$K,ROW()-1+1,11),""),IF(ROW()-1&lt;=$L$2+$M$2,IFERROR(INDEX(CLOZE_AB!$A:$K,ROW()-1-$L$2+1,11),""),IF(ROW()-1&lt;=$L$2+$M$2+$N$2,IFERROR(INDEX(CLOZE_LIST!$A:$K,ROW()-1-$L$2-$M$2+1,11),""),IF(ROW()-1&lt;=$L$2+$M$2+$N$2+$O$2,IFERROR(INDEX(PROFORMA!$A:$K,ROW()-1-$L$2-$M$2-$N$2+1,11),""),"")))))</f>
        <v>1</v>
      </c>
      <c r="L312" s="3">
        <f>COUNTA(MCQ!$A:$A)-1</f>
        <v>142</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LIST_ITNIC_REQ_EIS_002</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142</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LIST_ITNIC_REQ_PSC_001</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Personal service companies and IR35</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ir35;small_entity;deemed_salary</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142</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LIST_ITNIC_REQ_PSC_002</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ir35;medium_large_entity;sds;ddp</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142</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LIST_ITNIC_REQ_SHS_001</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Employee share schemes</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share_options;terminology</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142</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LIST_ITNIC_REQ_SHS_002</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csop;emi;limits</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142</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LIST_ITNIC_REQ_SHS_003</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sip;hold_period;withdrawal</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142</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LIST_CGT_REQ_SPLITYR_001</v>
      </c>
      <c r="B319" s="3" t="str">
        <f>IF(ROW()-1&lt;=0,"",IF(ROW()-1&lt;=$L$2,IFERROR(INDEX(MCQ!$A:$K,ROW()-1+1,2),""),IF(ROW()-1&lt;=$L$2+$M$2,IFERROR(INDEX(CLOZE_AB!$A:$K,ROW()-1-$L$2+1,2),""),IF(ROW()-1&lt;=$L$2+$M$2+$N$2,IFERROR(INDEX(CLOZE_LIST!$A:$K,ROW()-1-$L$2-$M$2+1,2),""),IF(ROW()-1&lt;=$L$2+$M$2+$N$2+$O$2,IFERROR(INDEX(PROFORMA!$A:$K,ROW()-1-$L$2-$M$2-$N$2+1,2),""),"")))))</f>
        <v>Capital gains</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Split-year treatment</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split_year|overview</v>
      </c>
      <c r="J319" s="3" t="str">
        <f>IF(ROW()-1&lt;=0,"",IF(ROW()-1&lt;=$L$2,IFERROR(INDEX(MCQ!$A:$K,ROW()-1+1,10),""),IF(ROW()-1&lt;=$L$2+$M$2,IFERROR(INDEX(CLOZE_AB!$A:$K,ROW()-1-$L$2+1,10),""),IF(ROW()-1&lt;=$L$2+$M$2+$N$2,IFERROR(INDEX(CLOZE_LIST!$A:$K,ROW()-1-$L$2-$M$2+1,10),""),IF(ROW()-1&lt;=$L$2+$M$2+$N$2+$O$2,IFERROR(INDEX(PROFORMA!$A:$K,ROW()-1-$L$2-$M$2-$N$2+1,10),""),"")))))</f>
        <v>notes_user</v>
      </c>
      <c r="K319" s="3">
        <f>IF(ROW()-1&lt;=0,"",IF(ROW()-1&lt;=$L$2,IFERROR(INDEX(MCQ!$A:$K,ROW()-1+1,11),""),IF(ROW()-1&lt;=$L$2+$M$2,IFERROR(INDEX(CLOZE_AB!$A:$K,ROW()-1-$L$2+1,11),""),IF(ROW()-1&lt;=$L$2+$M$2+$N$2,IFERROR(INDEX(CLOZE_LIST!$A:$K,ROW()-1-$L$2-$M$2+1,11),""),IF(ROW()-1&lt;=$L$2+$M$2+$N$2+$O$2,IFERROR(INDEX(PROFORMA!$A:$K,ROW()-1-$L$2-$M$2-$N$2+1,11),""),"")))))</f>
        <v>1</v>
      </c>
      <c r="L319" s="3">
        <f>COUNTA(MCQ!$A:$A)-1</f>
        <v>142</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LIST_CGT_REQ_SPLITYR_002</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split_year|leaving</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142</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LIST_CGT_REQ_SPLITYR_003</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split_year|live_abroad</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142</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LIST_CGT_REQ_SPLITYR_004</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split_year|coming_home</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142</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LIST_CGT_REQ_SPLITYR_005</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split_year|coming_work</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142</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LIST_CGT_REQ_SPLITYR_006</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split_year|returning</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142</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LIST_CGT_REQ_RESDOM_001</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Residency, domicile and deemed domicile</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residency|auto_overseas</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142</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LIST_CGT_REQ_RESDOM_002</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142</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LIST_CGT_REQ_RESDOM_003</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residency|auto_uk</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142</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LIST_CGT_REQ_RESDOM_004</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residency|ties</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142</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LIST_CGT_REQ_RESDOM_005</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domicile|types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142</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LIST_CGT_REQ_RESDOM_006</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deemed_domicile|routes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142</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LIST_IHT_REQ_DEEMDOM_001</v>
      </c>
      <c r="B331" s="3" t="str">
        <f>IF(ROW()-1&lt;=0,"",IF(ROW()-1&lt;=$L$2,IFERROR(INDEX(MCQ!$A:$K,ROW()-1+1,2),""),IF(ROW()-1&lt;=$L$2+$M$2,IFERROR(INDEX(CLOZE_AB!$A:$K,ROW()-1-$L$2+1,2),""),IF(ROW()-1&lt;=$L$2+$M$2+$N$2,IFERROR(INDEX(CLOZE_LIST!$A:$K,ROW()-1-$L$2-$M$2+1,2),""),IF(ROW()-1&lt;=$L$2+$M$2+$N$2+$O$2,IFERROR(INDEX(PROFORMA!$A:$K,ROW()-1-$L$2-$M$2-$N$2+1,2),""),"")))))</f>
        <v>Inheritance tax</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Deemed domicile (IHT vs CGT/IT)</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iht|overview</v>
      </c>
      <c r="J331" s="3" t="str">
        <f>IF(ROW()-1&lt;=0,"",IF(ROW()-1&lt;=$L$2,IFERROR(INDEX(MCQ!$A:$K,ROW()-1+1,10),""),IF(ROW()-1&lt;=$L$2+$M$2,IFERROR(INDEX(CLOZE_AB!$A:$K,ROW()-1-$L$2+1,10),""),IF(ROW()-1&lt;=$L$2+$M$2+$N$2,IFERROR(INDEX(CLOZE_LIST!$A:$K,ROW()-1-$L$2-$M$2+1,10),""),IF(ROW()-1&lt;=$L$2+$M$2+$N$2+$O$2,IFERROR(INDEX(PROFORMA!$A:$K,ROW()-1-$L$2-$M$2-$N$2+1,10),""),"")))))</f>
        <v>image_notes</v>
      </c>
      <c r="K331" s="3">
        <f>IF(ROW()-1&lt;=0,"",IF(ROW()-1&lt;=$L$2,IFERROR(INDEX(MCQ!$A:$K,ROW()-1+1,11),""),IF(ROW()-1&lt;=$L$2+$M$2,IFERROR(INDEX(CLOZE_AB!$A:$K,ROW()-1-$L$2+1,11),""),IF(ROW()-1&lt;=$L$2+$M$2+$N$2,IFERROR(INDEX(CLOZE_LIST!$A:$K,ROW()-1-$L$2-$M$2+1,11),""),IF(ROW()-1&lt;=$L$2+$M$2+$N$2+$O$2,IFERROR(INDEX(PROFORMA!$A:$K,ROW()-1-$L$2-$M$2-$N$2+1,11),""),"")))))</f>
        <v>1</v>
      </c>
      <c r="L331" s="3">
        <f>COUNTA(MCQ!$A:$A)-1</f>
        <v>142</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LIST_IHT_REQ_DEEMDOM_002</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iht|three_year</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142</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LIST_IHT_REQ_DEEMDOM_003</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iht|fukdi</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142</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LIST_IHT_REQ_DEEMDOM_004</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iht|uk_resident_route</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142</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LIST_IHT_REQ_DEEMDOM_005</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iht|comparison_windows</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142</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LIST_IHT_REQ_DEEMDOM_006</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iht|trigger_time</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142</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LIST_IHT_CALC_DTR_001</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calculations</v>
      </c>
      <c r="D337" s="3" t="str">
        <f>IF(ROW()-1&lt;=0,"",IF(ROW()-1&lt;=$L$2,IFERROR(INDEX(MCQ!$A:$K,ROW()-1+1,4),""),IF(ROW()-1&lt;=$L$2+$M$2,IFERROR(INDEX(CLOZE_AB!$A:$K,ROW()-1-$L$2+1,4),""),IF(ROW()-1&lt;=$L$2+$M$2+$N$2,IFERROR(INDEX(CLOZE_LIST!$A:$K,ROW()-1-$L$2-$M$2+1,4),""),IF(ROW()-1&lt;=$L$2+$M$2+$N$2+$O$2,IFERROR(INDEX(PROFORMA!$A:$K,ROW()-1-$L$2-$M$2-$N$2+1,4),""),"")))))</f>
        <v>Double taxation relief</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iht:dtr</v>
      </c>
      <c r="J337" s="3" t="str">
        <f>IF(ROW()-1&lt;=0,"",IF(ROW()-1&lt;=$L$2,IFERROR(INDEX(MCQ!$A:$K,ROW()-1+1,10),""),IF(ROW()-1&lt;=$L$2+$M$2,IFERROR(INDEX(CLOZE_AB!$A:$K,ROW()-1-$L$2+1,10),""),IF(ROW()-1&lt;=$L$2+$M$2+$N$2,IFERROR(INDEX(CLOZE_LIST!$A:$K,ROW()-1-$L$2-$M$2+1,10),""),IF(ROW()-1&lt;=$L$2+$M$2+$N$2+$O$2,IFERROR(INDEX(PROFORMA!$A:$K,ROW()-1-$L$2-$M$2-$N$2+1,10),""),"")))))</f>
        <v>notes</v>
      </c>
      <c r="K337" s="3">
        <f>IF(ROW()-1&lt;=0,"",IF(ROW()-1&lt;=$L$2,IFERROR(INDEX(MCQ!$A:$K,ROW()-1+1,11),""),IF(ROW()-1&lt;=$L$2+$M$2,IFERROR(INDEX(CLOZE_AB!$A:$K,ROW()-1-$L$2+1,11),""),IF(ROW()-1&lt;=$L$2+$M$2+$N$2,IFERROR(INDEX(CLOZE_LIST!$A:$K,ROW()-1-$L$2-$M$2+1,11),""),IF(ROW()-1&lt;=$L$2+$M$2+$N$2+$O$2,IFERROR(INDEX(PROFORMA!$A:$K,ROW()-1-$L$2-$M$2-$N$2+1,11),""),"")))))</f>
        <v>1</v>
      </c>
      <c r="L337" s="3">
        <f>COUNTA(MCQ!$A:$A)-1</f>
        <v>142</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142</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142</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142</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142</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142</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142</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142</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142</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142</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142</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142</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142</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142</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142</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142</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142</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142</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142</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142</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142</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142</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142</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142</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142</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142</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142</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142</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142</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142</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142</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142</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142</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142</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142</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142</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142</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142</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142</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142</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142</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142</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142</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142</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142</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142</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142</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142</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142</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142</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142</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142</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142</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142</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142</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142</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142</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142</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142</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142</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142</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142</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142</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142</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142</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142</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142</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142</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142</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142</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142</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142</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142</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142</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142</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142</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142</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142</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142</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142</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142</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142</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142</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142</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142</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142</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142</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142</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142</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142</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142</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142</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142</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142</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142</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142</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142</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142</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142</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142</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142</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142</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142</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142</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142</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142</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142</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142</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142</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142</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142</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142</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142</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142</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142</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142</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142</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142</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142</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142</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142</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142</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142</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142</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142</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142</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142</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142</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142</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142</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142</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142</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142</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142</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142</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142</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142</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142</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142</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142</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142</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142</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142</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142</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142</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142</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142</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142</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142</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142</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142</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142</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142</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142</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142</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142</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142</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142</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142</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142</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142</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142</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142</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142</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142</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142</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142</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142</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142</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142</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142</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142</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142</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142</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PF_ETH_PF__001</v>
      </c>
      <c r="B511" s="3" t="str">
        <f>IF(ROW()-1&lt;=0,"",IF(ROW()-1&lt;=$L$2,IFERROR(INDEX(MCQ!$A:$K,ROW()-1+1,2),""),IF(ROW()-1&lt;=$L$2+$M$2,IFERROR(INDEX(CLOZE_AB!$A:$K,ROW()-1-$L$2+1,2),""),IF(ROW()-1&lt;=$L$2+$M$2+$N$2,IFERROR(INDEX(CLOZE_LIST!$A:$K,ROW()-1-$L$2-$M$2+1,2),""),IF(ROW()-1&lt;=$L$2+$M$2+$N$2+$O$2,IFERROR(INDEX(PROFORMA!$A:$K,ROW()-1-$L$2-$M$2-$N$2+1,2),""),"")))))</f>
        <v>Ethics</v>
      </c>
      <c r="C511" s="3" t="str">
        <f>IF(ROW()-1&lt;=0,"",IF(ROW()-1&lt;=$L$2,IFERROR(INDEX(MCQ!$A:$K,ROW()-1+1,3),""),IF(ROW()-1&lt;=$L$2+$M$2,IFERROR(INDEX(CLOZE_AB!$A:$K,ROW()-1-$L$2+1,3),""),IF(ROW()-1&lt;=$L$2+$M$2+$N$2,IFERROR(INDEX(CLOZE_LIST!$A:$K,ROW()-1-$L$2-$M$2+1,3),""),IF(ROW()-1&lt;=$L$2+$M$2+$N$2+$O$2,IFERROR(INDEX(PROFORMA!$A:$K,ROW()-1-$L$2-$M$2-$N$2+1,3),""),"")))))</f>
        <v>proformas</v>
      </c>
      <c r="D511" s="3" t="str">
        <f>IF(ROW()-1&lt;=0,"",IF(ROW()-1&lt;=$L$2,IFERROR(INDEX(MCQ!$A:$K,ROW()-1+1,4),""),IF(ROW()-1&lt;=$L$2+$M$2,IFERROR(INDEX(CLOZE_AB!$A:$K,ROW()-1-$L$2+1,4),""),IF(ROW()-1&lt;=$L$2+$M$2+$N$2,IFERROR(INDEX(CLOZE_LIST!$A:$K,ROW()-1-$L$2-$M$2+1,4),""),IF(ROW()-1&lt;=$L$2+$M$2+$N$2+$O$2,IFERROR(INDEX(PROFORMA!$A:$K,ROW()-1-$L$2-$M$2-$N$2+1,4),""),"")))))</f>
        <v>Safeguards</v>
      </c>
      <c r="E511" s="3" t="str">
        <f>IF(ROW()-1&lt;=0,"",IF(ROW()-1&lt;=$L$2,IFERROR(INDEX(MCQ!$A:$K,ROW()-1+1,5),""),IF(ROW()-1&lt;=$L$2+$M$2,IFERROR(INDEX(CLOZE_AB!$A:$K,ROW()-1-$L$2+1,5),""),IF(ROW()-1&lt;=$L$2+$M$2+$N$2,IFERROR(INDEX(CLOZE_LIST!$A:$K,ROW()-1-$L$2-$M$2+1,5),""),IF(ROW()-1&lt;=$L$2+$M$2+$N$2+$O$2,IFERROR(INDEX(PROFORMA!$A:$K,ROW()-1-$L$2-$M$2-$N$2+1,5),""),"")))))</f>
        <v>proforma_drag</v>
      </c>
      <c r="F511" s="3">
        <f>IF(ROW()-1&lt;=0,"",IF(ROW()-1&lt;=$L$2,IFERROR(INDEX(MCQ!$A:$K,ROW()-1+1,6),""),IF(ROW()-1&lt;=$L$2+$M$2,IFERROR(INDEX(CLOZE_AB!$A:$K,ROW()-1-$L$2+1,6),""),IF(ROW()-1&lt;=$L$2+$M$2+$N$2,IFERROR(INDEX(CLOZE_LIST!$A:$K,ROW()-1-$L$2-$M$2+1,6),""),IF(ROW()-1&lt;=$L$2+$M$2+$N$2+$O$2,IFERROR(INDEX(PROFORMA!$A:$K,ROW()-1-$L$2-$M$2-$N$2+1,6),""),"")))))</f>
        <v>3</v>
      </c>
      <c r="G511" s="3">
        <f>IF(ROW()-1&lt;=0,"",IF(ROW()-1&lt;=$L$2,IFERROR(INDEX(MCQ!$A:$K,ROW()-1+1,7),""),IF(ROW()-1&lt;=$L$2+$M$2,IFERROR(INDEX(CLOZE_AB!$A:$K,ROW()-1-$L$2+1,7),""),IF(ROW()-1&lt;=$L$2+$M$2+$N$2,IFERROR(INDEX(CLOZE_LIST!$A:$K,ROW()-1-$L$2-$M$2+1,7),""),IF(ROW()-1&lt;=$L$2+$M$2+$N$2+$O$2,IFERROR(INDEX(PROFORMA!$A:$K,ROW()-1-$L$2-$M$2-$N$2+1,7),""),"")))))</f>
        <v>0</v>
      </c>
      <c r="H511" s="3" t="str">
        <f>IF(ROW()-1&lt;=0,"",IF(ROW()-1&lt;=$L$2,IFERROR(INDEX(MCQ!$A:$K,ROW()-1+1,8),""),IF(ROW()-1&lt;=$L$2+$M$2,IFERROR(INDEX(CLOZE_AB!$A:$K,ROW()-1-$L$2+1,8),""),IF(ROW()-1&lt;=$L$2+$M$2+$N$2,IFERROR(INDEX(CLOZE_LIST!$A:$K,ROW()-1-$L$2-$M$2+1,8),""),IF(ROW()-1&lt;=$L$2+$M$2+$N$2+$O$2,IFERROR(INDEX(PROFORMA!$A:$K,ROW()-1-$L$2-$M$2-$N$2+1,8),""),"")))))</f>
        <v>Y</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142</v>
      </c>
      <c r="M511" s="3">
        <f>COUNTA(CLOZE_AB!$A:$A)-1</f>
        <v>168</v>
      </c>
      <c r="N511" s="3">
        <f>COUNTA(CLOZE_LIST!$A:$A)-1</f>
        <v>199</v>
      </c>
      <c r="O511" s="3">
        <f>COUNTA(PROFORMA!$A:$A)-1</f>
        <v>199</v>
      </c>
    </row>
    <row r="512" spans="1:15" ht="28.8" x14ac:dyDescent="0.3">
      <c r="A512" s="3" t="str">
        <f>IF(ROW()-1&lt;=0,"",IF(ROW()-1&lt;=$L$2,IFERROR(INDEX(MCQ!$A:$K,ROW()-1+1,1),""),IF(ROW()-1&lt;=$L$2+$M$2,IFERROR(INDEX(CLOZE_AB!$A:$K,ROW()-1-$L$2+1,1),""),IF(ROW()-1&lt;=$L$2+$M$2+$N$2,IFERROR(INDEX(CLOZE_LIST!$A:$K,ROW()-1-$L$2-$M$2+1,1),""),IF(ROW()-1&lt;=$L$2+$M$2+$N$2+$O$2,IFERROR(INDEX(PROFORMA!$A:$K,ROW()-1-$L$2-$M$2-$N$2+1,1),""),"")))))</f>
        <v>PF_ITNIC_PF_IR35_001</v>
      </c>
      <c r="B512" s="3" t="str">
        <f>IF(ROW()-1&lt;=0,"",IF(ROW()-1&lt;=$L$2,IFERROR(INDEX(MCQ!$A:$K,ROW()-1+1,2),""),IF(ROW()-1&lt;=$L$2+$M$2,IFERROR(INDEX(CLOZE_AB!$A:$K,ROW()-1-$L$2+1,2),""),IF(ROW()-1&lt;=$L$2+$M$2+$N$2,IFERROR(INDEX(CLOZE_LIST!$A:$K,ROW()-1-$L$2-$M$2+1,2),""),IF(ROW()-1&lt;=$L$2+$M$2+$N$2+$O$2,IFERROR(INDEX(PROFORMA!$A:$K,ROW()-1-$L$2-$M$2-$N$2+1,2),""),"")))))</f>
        <v>Income tax &amp; NIC</v>
      </c>
      <c r="C512" s="3" t="str">
        <f>IF(ROW()-1&lt;=0,"",IF(ROW()-1&lt;=$L$2,IFERROR(INDEX(MCQ!$A:$K,ROW()-1+1,3),""),IF(ROW()-1&lt;=$L$2+$M$2,IFERROR(INDEX(CLOZE_AB!$A:$K,ROW()-1-$L$2+1,3),""),IF(ROW()-1&lt;=$L$2+$M$2+$N$2,IFERROR(INDEX(CLOZE_LIST!$A:$K,ROW()-1-$L$2-$M$2+1,3),""),IF(ROW()-1&lt;=$L$2+$M$2+$N$2+$O$2,IFERROR(INDEX(PROFORMA!$A:$K,ROW()-1-$L$2-$M$2-$N$2+1,3),""),"")))))</f>
        <v>proformas</v>
      </c>
      <c r="D512" s="3" t="str">
        <f>IF(ROW()-1&lt;=0,"",IF(ROW()-1&lt;=$L$2,IFERROR(INDEX(MCQ!$A:$K,ROW()-1+1,4),""),IF(ROW()-1&lt;=$L$2+$M$2,IFERROR(INDEX(CLOZE_AB!$A:$K,ROW()-1-$L$2+1,4),""),IF(ROW()-1&lt;=$L$2+$M$2+$N$2,IFERROR(INDEX(CLOZE_LIST!$A:$K,ROW()-1-$L$2-$M$2+1,4),""),IF(ROW()-1&lt;=$L$2+$M$2+$N$2+$O$2,IFERROR(INDEX(PROFORMA!$A:$K,ROW()-1-$L$2-$M$2-$N$2+1,4),""),"")))))</f>
        <v>IR35 deemed payment calculation</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t="str">
        <f>IF(ROW()-1&lt;=0,"",IF(ROW()-1&lt;=$L$2,IFERROR(INDEX(MCQ!$A:$K,ROW()-1+1,7),""),IF(ROW()-1&lt;=$L$2+$M$2,IFERROR(INDEX(CLOZE_AB!$A:$K,ROW()-1-$L$2+1,7),""),IF(ROW()-1&lt;=$L$2+$M$2+$N$2,IFERROR(INDEX(CLOZE_LIST!$A:$K,ROW()-1-$L$2-$M$2+1,7),""),IF(ROW()-1&lt;=$L$2+$M$2+$N$2+$O$2,IFERROR(INDEX(PROFORMA!$A:$K,ROW()-1-$L$2-$M$2-$N$2+1,7),""),"")))))</f>
        <v>core</v>
      </c>
      <c r="H512" s="3" t="str">
        <f>IF(ROW()-1&lt;=0,"",IF(ROW()-1&lt;=$L$2,IFERROR(INDEX(MCQ!$A:$K,ROW()-1+1,8),""),IF(ROW()-1&lt;=$L$2+$M$2,IFERROR(INDEX(CLOZE_AB!$A:$K,ROW()-1-$L$2+1,8),""),IF(ROW()-1&lt;=$L$2+$M$2+$N$2,IFERROR(INDEX(CLOZE_LIST!$A:$K,ROW()-1-$L$2-$M$2+1,8),""),IF(ROW()-1&lt;=$L$2+$M$2+$N$2+$O$2,IFERROR(INDEX(PROFORMA!$A:$K,ROW()-1-$L$2-$M$2-$N$2+1,8),""),"")))))</f>
        <v>Y</v>
      </c>
      <c r="I512" s="3" t="str">
        <f>IF(ROW()-1&lt;=0,"",IF(ROW()-1&lt;=$L$2,IFERROR(INDEX(MCQ!$A:$K,ROW()-1+1,9),""),IF(ROW()-1&lt;=$L$2+$M$2,IFERROR(INDEX(CLOZE_AB!$A:$K,ROW()-1-$L$2+1,9),""),IF(ROW()-1&lt;=$L$2+$M$2+$N$2,IFERROR(INDEX(CLOZE_LIST!$A:$K,ROW()-1-$L$2-$M$2+1,9),""),IF(ROW()-1&lt;=$L$2+$M$2+$N$2+$O$2,IFERROR(INDEX(PROFORMA!$A:$K,ROW()-1-$L$2-$M$2-$N$2+1,9),""),"")))))</f>
        <v>ir35;deemed_payment;nic</v>
      </c>
      <c r="J512" s="3" t="str">
        <f>IF(ROW()-1&lt;=0,"",IF(ROW()-1&lt;=$L$2,IFERROR(INDEX(MCQ!$A:$K,ROW()-1+1,10),""),IF(ROW()-1&lt;=$L$2+$M$2,IFERROR(INDEX(CLOZE_AB!$A:$K,ROW()-1-$L$2+1,10),""),IF(ROW()-1&lt;=$L$2+$M$2+$N$2,IFERROR(INDEX(CLOZE_LIST!$A:$K,ROW()-1-$L$2-$M$2+1,10),""),IF(ROW()-1&lt;=$L$2+$M$2+$N$2+$O$2,IFERROR(INDEX(PROFORMA!$A:$K,ROW()-1-$L$2-$M$2-$N$2+1,10),""),"")))))</f>
        <v>proforma</v>
      </c>
      <c r="K512" s="3">
        <f>IF(ROW()-1&lt;=0,"",IF(ROW()-1&lt;=$L$2,IFERROR(INDEX(MCQ!$A:$K,ROW()-1+1,11),""),IF(ROW()-1&lt;=$L$2+$M$2,IFERROR(INDEX(CLOZE_AB!$A:$K,ROW()-1-$L$2+1,11),""),IF(ROW()-1&lt;=$L$2+$M$2+$N$2,IFERROR(INDEX(CLOZE_LIST!$A:$K,ROW()-1-$L$2-$M$2+1,11),""),IF(ROW()-1&lt;=$L$2+$M$2+$N$2+$O$2,IFERROR(INDEX(PROFORMA!$A:$K,ROW()-1-$L$2-$M$2-$N$2+1,11),""),"")))))</f>
        <v>1</v>
      </c>
      <c r="L512" s="3">
        <f>COUNTA(MCQ!$A:$A)-1</f>
        <v>142</v>
      </c>
      <c r="M512" s="3">
        <f>COUNTA(CLOZE_AB!$A:$A)-1</f>
        <v>168</v>
      </c>
      <c r="N512" s="3">
        <f>COUNTA(CLOZE_LIST!$A:$A)-1</f>
        <v>199</v>
      </c>
      <c r="O512" s="3">
        <f>COUNTA(PROFORMA!$A:$A)-1</f>
        <v>199</v>
      </c>
    </row>
    <row r="513" spans="1:15" x14ac:dyDescent="0.3">
      <c r="A513" s="3" t="str">
        <f>IF(ROW()-1&lt;=0,"",IF(ROW()-1&lt;=$L$2,IFERROR(INDEX(MCQ!$A:$K,ROW()-1+1,1),""),IF(ROW()-1&lt;=$L$2+$M$2,IFERROR(INDEX(CLOZE_AB!$A:$K,ROW()-1-$L$2+1,1),""),IF(ROW()-1&lt;=$L$2+$M$2+$N$2,IFERROR(INDEX(CLOZE_LIST!$A:$K,ROW()-1-$L$2-$M$2+1,1),""),IF(ROW()-1&lt;=$L$2+$M$2+$N$2+$O$2,IFERROR(INDEX(PROFORMA!$A:$K,ROW()-1-$L$2-$M$2-$N$2+1,1),""),"")))))</f>
        <v>PF_ITNIC_PF_EIS_001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Tax efficient investments</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eis;seis;vct</v>
      </c>
      <c r="J513" s="3" t="str">
        <f>IF(ROW()-1&lt;=0,"",IF(ROW()-1&lt;=$L$2,IFERROR(INDEX(MCQ!$A:$K,ROW()-1+1,10),""),IF(ROW()-1&lt;=$L$2+$M$2,IFERROR(INDEX(CLOZE_AB!$A:$K,ROW()-1-$L$2+1,10),""),IF(ROW()-1&lt;=$L$2+$M$2+$N$2,IFERROR(INDEX(CLOZE_LIST!$A:$K,ROW()-1-$L$2-$M$2+1,10),""),IF(ROW()-1&lt;=$L$2+$M$2+$N$2+$O$2,IFERROR(INDEX(PROFORMA!$A:$K,ROW()-1-$L$2-$M$2-$N$2+1,10),""),"")))))</f>
        <v>notes</v>
      </c>
      <c r="K513" s="3">
        <f>IF(ROW()-1&lt;=0,"",IF(ROW()-1&lt;=$L$2,IFERROR(INDEX(MCQ!$A:$K,ROW()-1+1,11),""),IF(ROW()-1&lt;=$L$2+$M$2,IFERROR(INDEX(CLOZE_AB!$A:$K,ROW()-1-$L$2+1,11),""),IF(ROW()-1&lt;=$L$2+$M$2+$N$2,IFERROR(INDEX(CLOZE_LIST!$A:$K,ROW()-1-$L$2-$M$2+1,11),""),IF(ROW()-1&lt;=$L$2+$M$2+$N$2+$O$2,IFERROR(INDEX(PROFORMA!$A:$K,ROW()-1-$L$2-$M$2-$N$2+1,11),""),"")))))</f>
        <v>1</v>
      </c>
      <c r="L513" s="3">
        <f>COUNTA(MCQ!$A:$A)-1</f>
        <v>142</v>
      </c>
      <c r="M513" s="3">
        <f>COUNTA(CLOZE_AB!$A:$A)-1</f>
        <v>168</v>
      </c>
      <c r="N513" s="3">
        <f>COUNTA(CLOZE_LIST!$A:$A)-1</f>
        <v>199</v>
      </c>
      <c r="O513" s="3">
        <f>COUNTA(PROFORMA!$A:$A)-1</f>
        <v>199</v>
      </c>
    </row>
    <row r="514" spans="1:15" ht="28.8" x14ac:dyDescent="0.3">
      <c r="A514" s="3" t="str">
        <f>IF(ROW()-1&lt;=0,"",IF(ROW()-1&lt;=$L$2,IFERROR(INDEX(MCQ!$A:$K,ROW()-1+1,1),""),IF(ROW()-1&lt;=$L$2+$M$2,IFERROR(INDEX(CLOZE_AB!$A:$K,ROW()-1-$L$2+1,1),""),IF(ROW()-1&lt;=$L$2+$M$2+$N$2,IFERROR(INDEX(CLOZE_LIST!$A:$K,ROW()-1-$L$2-$M$2+1,1),""),IF(ROW()-1&lt;=$L$2+$M$2+$N$2+$O$2,IFERROR(INDEX(PROFORMA!$A:$K,ROW()-1-$L$2-$M$2-$N$2+1,1),""),"")))))</f>
        <v>PF_ITNIC_PF_PSC_001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proformas</v>
      </c>
      <c r="D514" s="3" t="str">
        <f>IF(ROW()-1&lt;=0,"",IF(ROW()-1&lt;=$L$2,IFERROR(INDEX(MCQ!$A:$K,ROW()-1+1,4),""),IF(ROW()-1&lt;=$L$2+$M$2,IFERROR(INDEX(CLOZE_AB!$A:$K,ROW()-1-$L$2+1,4),""),IF(ROW()-1&lt;=$L$2+$M$2+$N$2,IFERROR(INDEX(CLOZE_LIST!$A:$K,ROW()-1-$L$2-$M$2+1,4),""),IF(ROW()-1&lt;=$L$2+$M$2+$N$2+$O$2,IFERROR(INDEX(PROFORMA!$A:$K,ROW()-1-$L$2-$M$2-$N$2+1,4),""),"")))))</f>
        <v>Personal service companies and IR35</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psc;ir35;sds;ddp</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142</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PF_ITNIC_PF_PSC_002</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proformas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142</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PF_ITNIC_PF_ITCOMP_001</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proformas</v>
      </c>
      <c r="D516" s="3" t="str">
        <f>IF(ROW()-1&lt;=0,"",IF(ROW()-1&lt;=$L$2,IFERROR(INDEX(MCQ!$A:$K,ROW()-1+1,4),""),IF(ROW()-1&lt;=$L$2+$M$2,IFERROR(INDEX(CLOZE_AB!$A:$K,ROW()-1-$L$2+1,4),""),IF(ROW()-1&lt;=$L$2+$M$2+$N$2,IFERROR(INDEX(CLOZE_LIST!$A:$K,ROW()-1-$L$2-$M$2+1,4),""),IF(ROW()-1&lt;=$L$2+$M$2+$N$2+$O$2,IFERROR(INDEX(PROFORMA!$A:$K,ROW()-1-$L$2-$M$2-$N$2+1,4),""),"")))))</f>
        <v>Income tax payable computation (individual)</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it-computation</v>
      </c>
      <c r="J516" s="3" t="str">
        <f>IF(ROW()-1&lt;=0,"",IF(ROW()-1&lt;=$L$2,IFERROR(INDEX(MCQ!$A:$K,ROW()-1+1,10),""),IF(ROW()-1&lt;=$L$2+$M$2,IFERROR(INDEX(CLOZE_AB!$A:$K,ROW()-1-$L$2+1,10),""),IF(ROW()-1&lt;=$L$2+$M$2+$N$2,IFERROR(INDEX(CLOZE_LIST!$A:$K,ROW()-1-$L$2-$M$2+1,10),""),IF(ROW()-1&lt;=$L$2+$M$2+$N$2+$O$2,IFERROR(INDEX(PROFORMA!$A:$K,ROW()-1-$L$2-$M$2-$N$2+1,10),""),"")))))</f>
        <v>image-proforma</v>
      </c>
      <c r="K516" s="3">
        <f>IF(ROW()-1&lt;=0,"",IF(ROW()-1&lt;=$L$2,IFERROR(INDEX(MCQ!$A:$K,ROW()-1+1,11),""),IF(ROW()-1&lt;=$L$2+$M$2,IFERROR(INDEX(CLOZE_AB!$A:$K,ROW()-1-$L$2+1,11),""),IF(ROW()-1&lt;=$L$2+$M$2+$N$2,IFERROR(INDEX(CLOZE_LIST!$A:$K,ROW()-1-$L$2-$M$2+1,11),""),IF(ROW()-1&lt;=$L$2+$M$2+$N$2+$O$2,IFERROR(INDEX(PROFORMA!$A:$K,ROW()-1-$L$2-$M$2-$N$2+1,11),""),"")))))</f>
        <v>1</v>
      </c>
      <c r="L516" s="3">
        <f>COUNTA(MCQ!$A:$A)-1</f>
        <v>142</v>
      </c>
      <c r="M516" s="3">
        <f>COUNTA(CLOZE_AB!$A:$A)-1</f>
        <v>168</v>
      </c>
      <c r="N516" s="3">
        <f>COUNTA(CLOZE_LIST!$A:$A)-1</f>
        <v>199</v>
      </c>
      <c r="O516" s="3">
        <f>COUNTA(PROFORMA!$A:$A)-1</f>
        <v>199</v>
      </c>
    </row>
    <row r="517" spans="1:15" x14ac:dyDescent="0.3">
      <c r="A517" s="3" t="str">
        <f>IF(ROW()-1&lt;=0,"",IF(ROW()-1&lt;=$L$2,IFERROR(INDEX(MCQ!$A:$K,ROW()-1+1,1),""),IF(ROW()-1&lt;=$L$2+$M$2,IFERROR(INDEX(CLOZE_AB!$A:$K,ROW()-1-$L$2+1,1),""),IF(ROW()-1&lt;=$L$2+$M$2+$N$2,IFERROR(INDEX(CLOZE_LIST!$A:$K,ROW()-1-$L$2-$M$2+1,1),""),IF(ROW()-1&lt;=$L$2+$M$2+$N$2+$O$2,IFERROR(INDEX(PROFORMA!$A:$K,ROW()-1-$L$2-$M$2-$N$2+1,1),""),"")))))</f>
        <v/>
      </c>
      <c r="B517" s="3">
        <f>IF(ROW()-1&lt;=0,"",IF(ROW()-1&lt;=$L$2,IFERROR(INDEX(MCQ!$A:$K,ROW()-1+1,2),""),IF(ROW()-1&lt;=$L$2+$M$2,IFERROR(INDEX(CLOZE_AB!$A:$K,ROW()-1-$L$2+1,2),""),IF(ROW()-1&lt;=$L$2+$M$2+$N$2,IFERROR(INDEX(CLOZE_LIST!$A:$K,ROW()-1-$L$2-$M$2+1,2),""),IF(ROW()-1&lt;=$L$2+$M$2+$N$2+$O$2,IFERROR(INDEX(PROFORMA!$A:$K,ROW()-1-$L$2-$M$2-$N$2+1,2),""),"")))))</f>
        <v>0</v>
      </c>
      <c r="C517" s="3">
        <f>IF(ROW()-1&lt;=0,"",IF(ROW()-1&lt;=$L$2,IFERROR(INDEX(MCQ!$A:$K,ROW()-1+1,3),""),IF(ROW()-1&lt;=$L$2+$M$2,IFERROR(INDEX(CLOZE_AB!$A:$K,ROW()-1-$L$2+1,3),""),IF(ROW()-1&lt;=$L$2+$M$2+$N$2,IFERROR(INDEX(CLOZE_LIST!$A:$K,ROW()-1-$L$2-$M$2+1,3),""),IF(ROW()-1&lt;=$L$2+$M$2+$N$2+$O$2,IFERROR(INDEX(PROFORMA!$A:$K,ROW()-1-$L$2-$M$2-$N$2+1,3),""),"")))))</f>
        <v>0</v>
      </c>
      <c r="D517" s="3">
        <f>IF(ROW()-1&lt;=0,"",IF(ROW()-1&lt;=$L$2,IFERROR(INDEX(MCQ!$A:$K,ROW()-1+1,4),""),IF(ROW()-1&lt;=$L$2+$M$2,IFERROR(INDEX(CLOZE_AB!$A:$K,ROW()-1-$L$2+1,4),""),IF(ROW()-1&lt;=$L$2+$M$2+$N$2,IFERROR(INDEX(CLOZE_LIST!$A:$K,ROW()-1-$L$2-$M$2+1,4),""),IF(ROW()-1&lt;=$L$2+$M$2+$N$2+$O$2,IFERROR(INDEX(PROFORMA!$A:$K,ROW()-1-$L$2-$M$2-$N$2+1,4),""),"")))))</f>
        <v>0</v>
      </c>
      <c r="E517" s="3">
        <f>IF(ROW()-1&lt;=0,"",IF(ROW()-1&lt;=$L$2,IFERROR(INDEX(MCQ!$A:$K,ROW()-1+1,5),""),IF(ROW()-1&lt;=$L$2+$M$2,IFERROR(INDEX(CLOZE_AB!$A:$K,ROW()-1-$L$2+1,5),""),IF(ROW()-1&lt;=$L$2+$M$2+$N$2,IFERROR(INDEX(CLOZE_LIST!$A:$K,ROW()-1-$L$2-$M$2+1,5),""),IF(ROW()-1&lt;=$L$2+$M$2+$N$2+$O$2,IFERROR(INDEX(PROFORMA!$A:$K,ROW()-1-$L$2-$M$2-$N$2+1,5),""),"")))))</f>
        <v>0</v>
      </c>
      <c r="F517" s="3">
        <f>IF(ROW()-1&lt;=0,"",IF(ROW()-1&lt;=$L$2,IFERROR(INDEX(MCQ!$A:$K,ROW()-1+1,6),""),IF(ROW()-1&lt;=$L$2+$M$2,IFERROR(INDEX(CLOZE_AB!$A:$K,ROW()-1-$L$2+1,6),""),IF(ROW()-1&lt;=$L$2+$M$2+$N$2,IFERROR(INDEX(CLOZE_LIST!$A:$K,ROW()-1-$L$2-$M$2+1,6),""),IF(ROW()-1&lt;=$L$2+$M$2+$N$2+$O$2,IFERROR(INDEX(PROFORMA!$A:$K,ROW()-1-$L$2-$M$2-$N$2+1,6),""),"")))))</f>
        <v>0</v>
      </c>
      <c r="G517" s="3">
        <f>IF(ROW()-1&lt;=0,"",IF(ROW()-1&lt;=$L$2,IFERROR(INDEX(MCQ!$A:$K,ROW()-1+1,7),""),IF(ROW()-1&lt;=$L$2+$M$2,IFERROR(INDEX(CLOZE_AB!$A:$K,ROW()-1-$L$2+1,7),""),IF(ROW()-1&lt;=$L$2+$M$2+$N$2,IFERROR(INDEX(CLOZE_LIST!$A:$K,ROW()-1-$L$2-$M$2+1,7),""),IF(ROW()-1&lt;=$L$2+$M$2+$N$2+$O$2,IFERROR(INDEX(PROFORMA!$A:$K,ROW()-1-$L$2-$M$2-$N$2+1,7),""),"")))))</f>
        <v>0</v>
      </c>
      <c r="H517" s="3">
        <f>IF(ROW()-1&lt;=0,"",IF(ROW()-1&lt;=$L$2,IFERROR(INDEX(MCQ!$A:$K,ROW()-1+1,8),""),IF(ROW()-1&lt;=$L$2+$M$2,IFERROR(INDEX(CLOZE_AB!$A:$K,ROW()-1-$L$2+1,8),""),IF(ROW()-1&lt;=$L$2+$M$2+$N$2,IFERROR(INDEX(CLOZE_LIST!$A:$K,ROW()-1-$L$2-$M$2+1,8),""),IF(ROW()-1&lt;=$L$2+$M$2+$N$2+$O$2,IFERROR(INDEX(PROFORMA!$A:$K,ROW()-1-$L$2-$M$2-$N$2+1,8),""),"")))))</f>
        <v>0</v>
      </c>
      <c r="I517" s="3">
        <f>IF(ROW()-1&lt;=0,"",IF(ROW()-1&lt;=$L$2,IFERROR(INDEX(MCQ!$A:$K,ROW()-1+1,9),""),IF(ROW()-1&lt;=$L$2+$M$2,IFERROR(INDEX(CLOZE_AB!$A:$K,ROW()-1-$L$2+1,9),""),IF(ROW()-1&lt;=$L$2+$M$2+$N$2,IFERROR(INDEX(CLOZE_LIST!$A:$K,ROW()-1-$L$2-$M$2+1,9),""),IF(ROW()-1&lt;=$L$2+$M$2+$N$2+$O$2,IFERROR(INDEX(PROFORMA!$A:$K,ROW()-1-$L$2-$M$2-$N$2+1,9),""),"")))))</f>
        <v>0</v>
      </c>
      <c r="J517" s="3">
        <f>IF(ROW()-1&lt;=0,"",IF(ROW()-1&lt;=$L$2,IFERROR(INDEX(MCQ!$A:$K,ROW()-1+1,10),""),IF(ROW()-1&lt;=$L$2+$M$2,IFERROR(INDEX(CLOZE_AB!$A:$K,ROW()-1-$L$2+1,10),""),IF(ROW()-1&lt;=$L$2+$M$2+$N$2,IFERROR(INDEX(CLOZE_LIST!$A:$K,ROW()-1-$L$2-$M$2+1,10),""),IF(ROW()-1&lt;=$L$2+$M$2+$N$2+$O$2,IFERROR(INDEX(PROFORMA!$A:$K,ROW()-1-$L$2-$M$2-$N$2+1,10),""),"")))))</f>
        <v>0</v>
      </c>
      <c r="K517" s="3">
        <f>IF(ROW()-1&lt;=0,"",IF(ROW()-1&lt;=$L$2,IFERROR(INDEX(MCQ!$A:$K,ROW()-1+1,11),""),IF(ROW()-1&lt;=$L$2+$M$2,IFERROR(INDEX(CLOZE_AB!$A:$K,ROW()-1-$L$2+1,11),""),IF(ROW()-1&lt;=$L$2+$M$2+$N$2,IFERROR(INDEX(CLOZE_LIST!$A:$K,ROW()-1-$L$2-$M$2+1,11),""),IF(ROW()-1&lt;=$L$2+$M$2+$N$2+$O$2,IFERROR(INDEX(PROFORMA!$A:$K,ROW()-1-$L$2-$M$2-$N$2+1,11),""),"")))))</f>
        <v>0</v>
      </c>
      <c r="L517" s="3">
        <f>COUNTA(MCQ!$A:$A)-1</f>
        <v>142</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142</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142</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142</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142</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142</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142</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142</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142</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142</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142</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142</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142</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142</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142</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142</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142</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142</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142</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142</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142</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142</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142</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142</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142</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142</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142</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142</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142</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142</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142</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142</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142</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142</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142</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142</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142</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142</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142</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142</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142</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142</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142</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142</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142</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142</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142</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142</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142</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142</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142</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142</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142</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142</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142</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142</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142</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142</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142</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142</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142</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142</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142</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142</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142</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142</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142</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142</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142</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142</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142</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142</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142</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142</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142</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142</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142</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142</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142</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142</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142</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142</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142</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142</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142</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142</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142</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142</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142</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142</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142</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142</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142</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142</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142</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142</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142</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142</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142</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142</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142</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142</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142</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142</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142</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142</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142</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142</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142</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142</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142</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142</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142</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142</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142</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142</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142</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142</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142</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142</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142</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142</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142</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142</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142</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142</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142</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142</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142</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142</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142</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142</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142</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142</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142</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142</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142</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142</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142</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142</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142</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142</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142</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142</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142</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142</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142</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142</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142</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142</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142</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142</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142</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142</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142</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142</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142</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142</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142</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142</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142</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142</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142</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142</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142</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142</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142</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142</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142</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142</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142</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142</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142</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142</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142</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142</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142</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142</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142</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142</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142</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142</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142</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142</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142</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142</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142</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142</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142</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142</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142</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142</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142</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t="str">
        <f>IF(ROW()-1&lt;=0,"",IF(ROW()-1&lt;=$L$2,IFERROR(INDEX(MCQ!$A:$K,ROW()-1+1,2),""),IF(ROW()-1&lt;=$L$2+$M$2,IFERROR(INDEX(CLOZE_AB!$A:$K,ROW()-1-$L$2+1,2),""),IF(ROW()-1&lt;=$L$2+$M$2+$N$2,IFERROR(INDEX(CLOZE_LIST!$A:$K,ROW()-1-$L$2-$M$2+1,2),""),IF(ROW()-1&lt;=$L$2+$M$2+$N$2+$O$2,IFERROR(INDEX(PROFORMA!$A:$K,ROW()-1-$L$2-$M$2-$N$2+1,2),""),"")))))</f>
        <v/>
      </c>
      <c r="C710" s="3" t="str">
        <f>IF(ROW()-1&lt;=0,"",IF(ROW()-1&lt;=$L$2,IFERROR(INDEX(MCQ!$A:$K,ROW()-1+1,3),""),IF(ROW()-1&lt;=$L$2+$M$2,IFERROR(INDEX(CLOZE_AB!$A:$K,ROW()-1-$L$2+1,3),""),IF(ROW()-1&lt;=$L$2+$M$2+$N$2,IFERROR(INDEX(CLOZE_LIST!$A:$K,ROW()-1-$L$2-$M$2+1,3),""),IF(ROW()-1&lt;=$L$2+$M$2+$N$2+$O$2,IFERROR(INDEX(PROFORMA!$A:$K,ROW()-1-$L$2-$M$2-$N$2+1,3),""),"")))))</f>
        <v/>
      </c>
      <c r="D710" s="3" t="str">
        <f>IF(ROW()-1&lt;=0,"",IF(ROW()-1&lt;=$L$2,IFERROR(INDEX(MCQ!$A:$K,ROW()-1+1,4),""),IF(ROW()-1&lt;=$L$2+$M$2,IFERROR(INDEX(CLOZE_AB!$A:$K,ROW()-1-$L$2+1,4),""),IF(ROW()-1&lt;=$L$2+$M$2+$N$2,IFERROR(INDEX(CLOZE_LIST!$A:$K,ROW()-1-$L$2-$M$2+1,4),""),IF(ROW()-1&lt;=$L$2+$M$2+$N$2+$O$2,IFERROR(INDEX(PROFORMA!$A:$K,ROW()-1-$L$2-$M$2-$N$2+1,4),""),"")))))</f>
        <v/>
      </c>
      <c r="E710" s="3" t="str">
        <f>IF(ROW()-1&lt;=0,"",IF(ROW()-1&lt;=$L$2,IFERROR(INDEX(MCQ!$A:$K,ROW()-1+1,5),""),IF(ROW()-1&lt;=$L$2+$M$2,IFERROR(INDEX(CLOZE_AB!$A:$K,ROW()-1-$L$2+1,5),""),IF(ROW()-1&lt;=$L$2+$M$2+$N$2,IFERROR(INDEX(CLOZE_LIST!$A:$K,ROW()-1-$L$2-$M$2+1,5),""),IF(ROW()-1&lt;=$L$2+$M$2+$N$2+$O$2,IFERROR(INDEX(PROFORMA!$A:$K,ROW()-1-$L$2-$M$2-$N$2+1,5),""),"")))))</f>
        <v/>
      </c>
      <c r="F710" s="3" t="str">
        <f>IF(ROW()-1&lt;=0,"",IF(ROW()-1&lt;=$L$2,IFERROR(INDEX(MCQ!$A:$K,ROW()-1+1,6),""),IF(ROW()-1&lt;=$L$2+$M$2,IFERROR(INDEX(CLOZE_AB!$A:$K,ROW()-1-$L$2+1,6),""),IF(ROW()-1&lt;=$L$2+$M$2+$N$2,IFERROR(INDEX(CLOZE_LIST!$A:$K,ROW()-1-$L$2-$M$2+1,6),""),IF(ROW()-1&lt;=$L$2+$M$2+$N$2+$O$2,IFERROR(INDEX(PROFORMA!$A:$K,ROW()-1-$L$2-$M$2-$N$2+1,6),""),"")))))</f>
        <v/>
      </c>
      <c r="G710" s="3" t="str">
        <f>IF(ROW()-1&lt;=0,"",IF(ROW()-1&lt;=$L$2,IFERROR(INDEX(MCQ!$A:$K,ROW()-1+1,7),""),IF(ROW()-1&lt;=$L$2+$M$2,IFERROR(INDEX(CLOZE_AB!$A:$K,ROW()-1-$L$2+1,7),""),IF(ROW()-1&lt;=$L$2+$M$2+$N$2,IFERROR(INDEX(CLOZE_LIST!$A:$K,ROW()-1-$L$2-$M$2+1,7),""),IF(ROW()-1&lt;=$L$2+$M$2+$N$2+$O$2,IFERROR(INDEX(PROFORMA!$A:$K,ROW()-1-$L$2-$M$2-$N$2+1,7),""),"")))))</f>
        <v/>
      </c>
      <c r="H710" s="3" t="str">
        <f>IF(ROW()-1&lt;=0,"",IF(ROW()-1&lt;=$L$2,IFERROR(INDEX(MCQ!$A:$K,ROW()-1+1,8),""),IF(ROW()-1&lt;=$L$2+$M$2,IFERROR(INDEX(CLOZE_AB!$A:$K,ROW()-1-$L$2+1,8),""),IF(ROW()-1&lt;=$L$2+$M$2+$N$2,IFERROR(INDEX(CLOZE_LIST!$A:$K,ROW()-1-$L$2-$M$2+1,8),""),IF(ROW()-1&lt;=$L$2+$M$2+$N$2+$O$2,IFERROR(INDEX(PROFORMA!$A:$K,ROW()-1-$L$2-$M$2-$N$2+1,8),""),"")))))</f>
        <v/>
      </c>
      <c r="I710" s="3" t="str">
        <f>IF(ROW()-1&lt;=0,"",IF(ROW()-1&lt;=$L$2,IFERROR(INDEX(MCQ!$A:$K,ROW()-1+1,9),""),IF(ROW()-1&lt;=$L$2+$M$2,IFERROR(INDEX(CLOZE_AB!$A:$K,ROW()-1-$L$2+1,9),""),IF(ROW()-1&lt;=$L$2+$M$2+$N$2,IFERROR(INDEX(CLOZE_LIST!$A:$K,ROW()-1-$L$2-$M$2+1,9),""),IF(ROW()-1&lt;=$L$2+$M$2+$N$2+$O$2,IFERROR(INDEX(PROFORMA!$A:$K,ROW()-1-$L$2-$M$2-$N$2+1,9),""),"")))))</f>
        <v/>
      </c>
      <c r="J710" s="3" t="str">
        <f>IF(ROW()-1&lt;=0,"",IF(ROW()-1&lt;=$L$2,IFERROR(INDEX(MCQ!$A:$K,ROW()-1+1,10),""),IF(ROW()-1&lt;=$L$2+$M$2,IFERROR(INDEX(CLOZE_AB!$A:$K,ROW()-1-$L$2+1,10),""),IF(ROW()-1&lt;=$L$2+$M$2+$N$2,IFERROR(INDEX(CLOZE_LIST!$A:$K,ROW()-1-$L$2-$M$2+1,10),""),IF(ROW()-1&lt;=$L$2+$M$2+$N$2+$O$2,IFERROR(INDEX(PROFORMA!$A:$K,ROW()-1-$L$2-$M$2-$N$2+1,10),""),"")))))</f>
        <v/>
      </c>
      <c r="K710" s="3" t="str">
        <f>IF(ROW()-1&lt;=0,"",IF(ROW()-1&lt;=$L$2,IFERROR(INDEX(MCQ!$A:$K,ROW()-1+1,11),""),IF(ROW()-1&lt;=$L$2+$M$2,IFERROR(INDEX(CLOZE_AB!$A:$K,ROW()-1-$L$2+1,11),""),IF(ROW()-1&lt;=$L$2+$M$2+$N$2,IFERROR(INDEX(CLOZE_LIST!$A:$K,ROW()-1-$L$2-$M$2+1,11),""),IF(ROW()-1&lt;=$L$2+$M$2+$N$2+$O$2,IFERROR(INDEX(PROFORMA!$A:$K,ROW()-1-$L$2-$M$2-$N$2+1,11),""),"")))))</f>
        <v/>
      </c>
      <c r="L710" s="3">
        <f>COUNTA(MCQ!$A:$A)-1</f>
        <v>142</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142</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142</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142</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142</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142</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142</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142</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142</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142</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142</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142</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142</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142</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142</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142</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142</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142</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142</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142</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142</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142</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142</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142</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142</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142</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142</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142</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142</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142</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142</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142</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142</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142</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142</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142</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142</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142</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142</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142</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142</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142</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142</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142</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142</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142</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142</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142</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142</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142</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142</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142</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142</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142</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142</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142</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142</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142</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142</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142</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142</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142</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142</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142</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142</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142</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142</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142</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142</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142</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142</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142</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142</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142</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142</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142</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142</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142</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142</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142</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142</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142</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142</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142</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142</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142</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142</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142</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142</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142</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142</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142</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142</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142</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142</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142</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142</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142</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142</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142</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142</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142</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142</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142</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142</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142</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142</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142</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142</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142</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142</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142</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142</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142</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142</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142</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142</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142</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142</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142</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142</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142</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142</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142</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142</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142</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142</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142</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142</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142</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142</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142</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142</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142</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142</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142</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142</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142</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142</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142</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142</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142</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142</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142</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142</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142</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142</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142</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142</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142</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142</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142</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142</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142</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142</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142</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142</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142</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142</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142</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142</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142</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142</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142</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142</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142</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142</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142</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142</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142</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142</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142</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142</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142</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142</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142</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142</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142</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142</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142</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142</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142</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142</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142</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142</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142</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142</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142</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142</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142</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142</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142</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142</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142</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142</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142</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142</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142</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142</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142</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142</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142</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142</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142</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142</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142</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142</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142</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142</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142</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142</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142</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142</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142</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142</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142</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142</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142</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142</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142</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142</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142</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142</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142</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142</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142</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142</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142</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142</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142</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142</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142</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142</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142</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142</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142</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142</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142</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142</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142</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142</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142</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142</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142</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142</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142</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142</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142</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142</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142</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142</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142</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142</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142</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142</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142</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142</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142</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142</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142</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142</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142</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142</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142</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142</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142</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142</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142</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142</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142</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142</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142</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142</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142</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142</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142</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142</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142</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142</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142</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142</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142</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142</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142</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142</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142</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142</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142</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142</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142</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142</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142</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142</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142</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142</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142</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142</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142</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142</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142</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142</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142</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142</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142</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142</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142</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142</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142</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142</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142</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142</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142</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142</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142</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142</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142</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142</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142</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142</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142</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142</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142</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142</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142</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142</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142</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142</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142</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142</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142</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142</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142</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142</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142</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142</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142</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142</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142</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142</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142</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142</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142</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142</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142</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142</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142</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142</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142</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142</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142</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142</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142</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142</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142</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142</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142</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142</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142</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142</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142</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142</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142</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142</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142</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142</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142</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142</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142</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142</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142</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142</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142</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142</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142</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142</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142</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142</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142</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142</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142</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142</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142</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142</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142</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142</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142</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142</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142</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142</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142</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142</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142</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142</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142</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142</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142</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142</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142</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142</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142</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142</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142</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142</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142</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142</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142</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142</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142</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142</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142</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142</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142</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142</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142</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142</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142</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142</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142</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142</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142</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142</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142</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142</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142</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142</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142</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142</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142</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142</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142</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142</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142</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142</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142</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142</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142</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142</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142</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142</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142</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142</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142</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142</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142</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142</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142</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142</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142</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142</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142</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142</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142</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142</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142</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142</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142</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142</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142</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142</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142</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142</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142</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142</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142</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142</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142</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142</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142</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142</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142</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142</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142</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142</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142</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142</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142</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142</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142</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142</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142</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142</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142</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142</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142</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142</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142</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142</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142</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142</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142</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142</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142</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142</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142</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142</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142</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142</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142</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142</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142</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142</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142</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142</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142</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142</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142</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142</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142</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142</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142</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142</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142</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142</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142</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142</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142</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142</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142</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142</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142</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142</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142</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142</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142</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142</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142</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142</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142</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142</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142</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142</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142</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142</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142</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142</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142</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142</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142</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142</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142</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142</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142</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142</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142</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142</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142</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142</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142</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142</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142</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142</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142</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142</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142</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142</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142</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142</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142</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142</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142</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142</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142</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142</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142</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142</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142</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142</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142</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142</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142</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142</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142</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142</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142</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142</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142</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142</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142</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142</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142</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142</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142</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142</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142</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142</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142</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142</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142</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142</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142</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142</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142</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142</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142</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142</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142</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142</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142</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142</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142</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142</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142</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142</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142</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142</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142</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142</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142</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142</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142</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142</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142</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142</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142</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142</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142</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142</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142</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142</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142</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142</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142</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142</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142</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142</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142</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142</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142</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142</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142</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142</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142</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142</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142</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142</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142</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142</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142</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142</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142</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142</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142</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142</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142</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142</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142</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142</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142</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142</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142</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142</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142</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142</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142</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142</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142</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142</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142</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142</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142</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142</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142</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142</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142</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142</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142</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142</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142</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142</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142</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142</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142</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142</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142</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142</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142</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142</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142</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142</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142</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142</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142</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142</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142</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142</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142</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142</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142</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142</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142</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142</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142</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142</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142</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142</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142</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142</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142</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142</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142</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142</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142</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142</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142</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142</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142</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142</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142</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142</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142</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142</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142</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142</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142</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142</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142</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142</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142</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142</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142</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142</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142</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142</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142</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142</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142</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142</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142</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142</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142</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142</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142</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142</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142</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142</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142</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142</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142</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142</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142</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142</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142</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142</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142</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142</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142</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142</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142</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142</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142</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142</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142</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142</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142</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142</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142</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142</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142</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142</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142</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142</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142</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142</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142</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142</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142</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142</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142</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142</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142</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142</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142</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142</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142</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142</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142</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142</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142</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142</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142</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142</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142</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142</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142</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142</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142</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142</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142</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142</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142</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142</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142</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142</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142</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142</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142</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142</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142</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142</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142</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142</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142</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142</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142</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142</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142</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142</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142</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142</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142</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142</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142</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142</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142</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142</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142</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142</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142</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142</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142</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142</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142</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142</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142</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142</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142</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142</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142</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142</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142</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142</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142</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142</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142</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142</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142</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142</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142</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142</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142</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142</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142</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142</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142</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142</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142</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142</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142</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142</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142</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142</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142</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142</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142</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142</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142</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142</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142</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142</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142</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142</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142</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142</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142</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142</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142</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142</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142</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142</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142</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142</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142</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142</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142</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142</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142</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142</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142</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142</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142</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142</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142</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142</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142</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142</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142</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142</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142</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142</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142</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142</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142</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142</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142</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142</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142</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142</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142</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142</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142</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142</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142</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142</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142</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142</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142</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142</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142</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142</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142</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142</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142</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142</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142</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142</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142</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142</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142</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142</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142</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142</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142</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142</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142</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142</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142</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142</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142</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142</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142</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142</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142</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142</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142</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142</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142</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142</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142</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142</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142</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142</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142</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142</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142</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142</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142</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142</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142</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142</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142</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142</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142</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142</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142</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142</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142</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142</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142</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142</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142</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142</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142</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142</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142</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142</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142</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142</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142</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142</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142</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142</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142</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142</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142</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142</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142</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142</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142</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142</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142</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142</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142</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142</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142</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142</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142</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142</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142</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142</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142</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142</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142</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142</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142</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142</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142</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142</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142</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142</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142</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142</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142</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142</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142</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142</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142</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142</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142</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142</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142</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142</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142</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142</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142</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142</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142</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142</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142</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142</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142</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142</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142</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142</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142</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142</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142</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142</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142</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142</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142</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142</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142</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142</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142</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142</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142</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142</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142</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142</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142</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142</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142</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142</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142</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142</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142</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142</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142</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142</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142</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142</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142</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142</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142</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142</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142</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142</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142</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142</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142</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142</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142</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142</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142</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142</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142</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142</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142</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142</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142</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142</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142</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142</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142</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142</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142</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142</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142</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142</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142</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142</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142</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142</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142</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142</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142</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142</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142</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142</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142</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142</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142</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142</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142</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142</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142</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142</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142</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142</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142</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142</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142</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142</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142</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142</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142</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142</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142</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142</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142</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142</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142</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142</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142</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142</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142</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142</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142</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142</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142</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142</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142</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142</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142</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142</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142</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142</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142</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142</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142</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142</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142</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142</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142</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142</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142</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142</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142</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142</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142</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142</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142</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142</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142</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142</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142</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142</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142</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142</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142</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142</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142</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142</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142</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142</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142</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142</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142</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142</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142</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142</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142</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142</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142</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142</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142</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142</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142</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142</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142</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142</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142</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142</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142</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142</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142</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142</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142</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142</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142</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142</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142</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142</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142</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142</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142</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142</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142</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142</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142</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142</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142</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142</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142</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142</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142</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142</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142</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142</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142</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142</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142</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142</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142</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142</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142</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142</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142</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142</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142</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142</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142</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142</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142</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142</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142</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142</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142</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142</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142</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142</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142</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142</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142</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142</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142</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142</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142</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142</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142</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142</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142</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142</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142</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142</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142</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142</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142</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142</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142</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142</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142</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142</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142</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142</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142</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142</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142</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142</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142</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142</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142</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142</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142</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142</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142</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142</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142</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142</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142</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142</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142</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142</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142</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142</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142</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142</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142</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142</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142</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142</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142</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142</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142</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142</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142</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142</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142</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142</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142</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142</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142</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142</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142</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142</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142</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142</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142</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142</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142</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142</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9"/>
  <sheetViews>
    <sheetView workbookViewId="0">
      <selection activeCell="C17" sqref="C17"/>
    </sheetView>
  </sheetViews>
  <sheetFormatPr defaultRowHeight="14.4" x14ac:dyDescent="0.3"/>
  <sheetData>
    <row r="1" spans="1:33"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88</v>
      </c>
      <c r="R1" t="s">
        <v>78</v>
      </c>
      <c r="S1" t="s">
        <v>79</v>
      </c>
      <c r="T1" t="s">
        <v>89</v>
      </c>
      <c r="U1" t="s">
        <v>80</v>
      </c>
      <c r="V1" t="s">
        <v>81</v>
      </c>
      <c r="W1" t="s">
        <v>90</v>
      </c>
      <c r="X1" t="s">
        <v>82</v>
      </c>
      <c r="Y1" t="s">
        <v>83</v>
      </c>
      <c r="Z1" t="s">
        <v>91</v>
      </c>
      <c r="AA1" t="s">
        <v>84</v>
      </c>
      <c r="AB1" t="s">
        <v>85</v>
      </c>
      <c r="AC1" t="s">
        <v>92</v>
      </c>
      <c r="AD1" t="s">
        <v>86</v>
      </c>
      <c r="AE1" t="s">
        <v>87</v>
      </c>
      <c r="AF1" t="s">
        <v>93</v>
      </c>
      <c r="AG1" t="s">
        <v>73</v>
      </c>
    </row>
    <row r="2" spans="1:33" x14ac:dyDescent="0.3">
      <c r="B2" t="s">
        <v>34</v>
      </c>
      <c r="C2" t="s">
        <v>22</v>
      </c>
      <c r="D2" t="s">
        <v>610</v>
      </c>
      <c r="E2" t="s">
        <v>31</v>
      </c>
      <c r="F2">
        <v>3</v>
      </c>
      <c r="G2" t="s">
        <v>16</v>
      </c>
      <c r="H2" t="s">
        <v>17</v>
      </c>
      <c r="I2" t="s">
        <v>645</v>
      </c>
      <c r="J2" t="s">
        <v>592</v>
      </c>
      <c r="K2">
        <v>1</v>
      </c>
      <c r="L2" t="s">
        <v>593</v>
      </c>
      <c r="O2" t="s">
        <v>646</v>
      </c>
      <c r="P2">
        <v>2</v>
      </c>
      <c r="Q2" s="4" t="s">
        <v>647</v>
      </c>
      <c r="R2" s="4" t="s">
        <v>347</v>
      </c>
      <c r="S2" t="s">
        <v>24</v>
      </c>
      <c r="T2" t="s">
        <v>648</v>
      </c>
      <c r="U2" s="5" t="s">
        <v>346</v>
      </c>
      <c r="V2" t="s">
        <v>24</v>
      </c>
      <c r="X2" s="4"/>
      <c r="AA2" s="5"/>
      <c r="AF2" t="s">
        <v>17</v>
      </c>
      <c r="AG2" t="s">
        <v>649</v>
      </c>
    </row>
    <row r="3" spans="1:33" x14ac:dyDescent="0.3">
      <c r="B3" t="s">
        <v>34</v>
      </c>
      <c r="C3" t="s">
        <v>22</v>
      </c>
      <c r="D3" t="s">
        <v>610</v>
      </c>
      <c r="E3" t="s">
        <v>31</v>
      </c>
      <c r="F3">
        <v>3</v>
      </c>
      <c r="G3" t="s">
        <v>16</v>
      </c>
      <c r="H3" t="s">
        <v>17</v>
      </c>
      <c r="I3" t="s">
        <v>595</v>
      </c>
      <c r="J3" t="s">
        <v>592</v>
      </c>
      <c r="K3">
        <v>1</v>
      </c>
      <c r="L3" t="s">
        <v>593</v>
      </c>
      <c r="O3" t="s">
        <v>650</v>
      </c>
      <c r="P3">
        <v>2</v>
      </c>
      <c r="Q3" s="5" t="s">
        <v>478</v>
      </c>
      <c r="R3">
        <v>3</v>
      </c>
      <c r="S3" t="s">
        <v>24</v>
      </c>
      <c r="T3" t="s">
        <v>651</v>
      </c>
      <c r="U3" t="s">
        <v>596</v>
      </c>
      <c r="V3" t="s">
        <v>24</v>
      </c>
      <c r="AF3" t="s">
        <v>17</v>
      </c>
      <c r="AG3" t="s">
        <v>652</v>
      </c>
    </row>
    <row r="4" spans="1:33" x14ac:dyDescent="0.3">
      <c r="B4" t="s">
        <v>34</v>
      </c>
      <c r="C4" t="s">
        <v>22</v>
      </c>
      <c r="D4" t="s">
        <v>610</v>
      </c>
      <c r="E4" t="s">
        <v>31</v>
      </c>
      <c r="F4">
        <v>3</v>
      </c>
      <c r="G4" t="s">
        <v>16</v>
      </c>
      <c r="H4" t="s">
        <v>17</v>
      </c>
      <c r="I4" t="s">
        <v>598</v>
      </c>
      <c r="J4" t="s">
        <v>592</v>
      </c>
      <c r="K4">
        <v>1</v>
      </c>
      <c r="L4" t="s">
        <v>593</v>
      </c>
      <c r="O4" t="s">
        <v>653</v>
      </c>
      <c r="P4">
        <v>4</v>
      </c>
      <c r="Q4" s="5" t="s">
        <v>654</v>
      </c>
      <c r="R4" t="s">
        <v>383</v>
      </c>
      <c r="S4" t="s">
        <v>24</v>
      </c>
      <c r="T4" t="s">
        <v>496</v>
      </c>
      <c r="U4" t="s">
        <v>497</v>
      </c>
      <c r="V4" t="s">
        <v>24</v>
      </c>
      <c r="W4" t="s">
        <v>655</v>
      </c>
      <c r="X4">
        <v>1</v>
      </c>
      <c r="Y4" t="s">
        <v>24</v>
      </c>
      <c r="Z4" t="s">
        <v>478</v>
      </c>
      <c r="AA4">
        <v>2</v>
      </c>
      <c r="AB4" t="s">
        <v>24</v>
      </c>
      <c r="AF4" t="s">
        <v>17</v>
      </c>
      <c r="AG4" t="s">
        <v>656</v>
      </c>
    </row>
    <row r="5" spans="1:33" x14ac:dyDescent="0.3">
      <c r="B5" t="s">
        <v>34</v>
      </c>
      <c r="C5" t="s">
        <v>22</v>
      </c>
      <c r="D5" t="s">
        <v>610</v>
      </c>
      <c r="E5" t="s">
        <v>31</v>
      </c>
      <c r="F5">
        <v>3</v>
      </c>
      <c r="G5" t="s">
        <v>16</v>
      </c>
      <c r="H5" t="s">
        <v>17</v>
      </c>
      <c r="I5" t="s">
        <v>657</v>
      </c>
      <c r="J5" t="s">
        <v>592</v>
      </c>
      <c r="K5">
        <v>1</v>
      </c>
      <c r="L5" t="s">
        <v>593</v>
      </c>
      <c r="O5" t="s">
        <v>658</v>
      </c>
      <c r="P5">
        <v>4</v>
      </c>
      <c r="Q5" t="s">
        <v>659</v>
      </c>
      <c r="R5">
        <v>15</v>
      </c>
      <c r="S5" t="s">
        <v>24</v>
      </c>
      <c r="T5" t="s">
        <v>660</v>
      </c>
      <c r="U5">
        <v>20</v>
      </c>
      <c r="V5" t="s">
        <v>24</v>
      </c>
      <c r="W5" t="s">
        <v>655</v>
      </c>
      <c r="X5">
        <v>1</v>
      </c>
      <c r="Y5" t="s">
        <v>24</v>
      </c>
      <c r="Z5" t="s">
        <v>478</v>
      </c>
      <c r="AA5">
        <v>4</v>
      </c>
      <c r="AB5" t="s">
        <v>24</v>
      </c>
      <c r="AF5" t="s">
        <v>17</v>
      </c>
      <c r="AG5" t="s">
        <v>661</v>
      </c>
    </row>
    <row r="6" spans="1:33" x14ac:dyDescent="0.3">
      <c r="B6" t="s">
        <v>34</v>
      </c>
      <c r="C6" t="s">
        <v>22</v>
      </c>
      <c r="D6" t="s">
        <v>610</v>
      </c>
      <c r="E6" t="s">
        <v>31</v>
      </c>
      <c r="F6">
        <v>3</v>
      </c>
      <c r="G6" t="s">
        <v>16</v>
      </c>
      <c r="H6" t="s">
        <v>17</v>
      </c>
      <c r="I6" t="s">
        <v>662</v>
      </c>
      <c r="J6" t="s">
        <v>592</v>
      </c>
      <c r="K6">
        <v>1</v>
      </c>
      <c r="L6" t="s">
        <v>593</v>
      </c>
      <c r="O6" t="s">
        <v>663</v>
      </c>
      <c r="P6">
        <v>5</v>
      </c>
      <c r="Q6" s="5" t="s">
        <v>664</v>
      </c>
      <c r="R6" s="4">
        <v>3</v>
      </c>
      <c r="S6" t="s">
        <v>24</v>
      </c>
      <c r="T6" t="s">
        <v>665</v>
      </c>
      <c r="U6">
        <v>15</v>
      </c>
      <c r="V6" t="s">
        <v>24</v>
      </c>
      <c r="W6" t="s">
        <v>660</v>
      </c>
      <c r="X6">
        <v>20</v>
      </c>
      <c r="Y6" t="s">
        <v>24</v>
      </c>
      <c r="Z6" t="s">
        <v>655</v>
      </c>
      <c r="AA6">
        <v>1</v>
      </c>
      <c r="AB6" t="s">
        <v>24</v>
      </c>
      <c r="AC6" t="s">
        <v>666</v>
      </c>
      <c r="AD6">
        <v>4</v>
      </c>
      <c r="AE6" t="s">
        <v>24</v>
      </c>
      <c r="AF6" t="s">
        <v>17</v>
      </c>
      <c r="AG6" t="s">
        <v>667</v>
      </c>
    </row>
    <row r="7" spans="1:33" x14ac:dyDescent="0.3">
      <c r="B7" t="s">
        <v>34</v>
      </c>
      <c r="C7" t="s">
        <v>22</v>
      </c>
      <c r="D7" t="s">
        <v>610</v>
      </c>
      <c r="E7" t="s">
        <v>31</v>
      </c>
      <c r="F7">
        <v>3</v>
      </c>
      <c r="G7" t="s">
        <v>16</v>
      </c>
      <c r="H7" t="s">
        <v>17</v>
      </c>
      <c r="I7" t="s">
        <v>608</v>
      </c>
      <c r="J7" t="s">
        <v>592</v>
      </c>
      <c r="K7">
        <v>1</v>
      </c>
      <c r="L7" t="s">
        <v>593</v>
      </c>
      <c r="O7" t="s">
        <v>668</v>
      </c>
      <c r="P7">
        <v>2</v>
      </c>
      <c r="Q7" t="s">
        <v>669</v>
      </c>
      <c r="R7" t="s">
        <v>597</v>
      </c>
      <c r="S7" t="s">
        <v>24</v>
      </c>
      <c r="T7" t="s">
        <v>670</v>
      </c>
      <c r="U7" t="s">
        <v>609</v>
      </c>
      <c r="V7" t="s">
        <v>24</v>
      </c>
      <c r="AF7" t="s">
        <v>17</v>
      </c>
      <c r="AG7" t="s">
        <v>671</v>
      </c>
    </row>
    <row r="8" spans="1:33" x14ac:dyDescent="0.3">
      <c r="Q8" s="5"/>
      <c r="R8" s="5"/>
    </row>
    <row r="11" spans="1:33" x14ac:dyDescent="0.3">
      <c r="R11" s="4"/>
    </row>
    <row r="13" spans="1:33" x14ac:dyDescent="0.3">
      <c r="R13" s="8"/>
    </row>
    <row r="16" spans="1:33" x14ac:dyDescent="0.3">
      <c r="C16" t="s">
        <v>817</v>
      </c>
      <c r="R16" s="5"/>
    </row>
    <row r="17" spans="17:18" x14ac:dyDescent="0.3">
      <c r="R17" s="5"/>
    </row>
    <row r="19" spans="17:18" x14ac:dyDescent="0.3">
      <c r="R19" s="4"/>
    </row>
    <row r="28" spans="17:18" x14ac:dyDescent="0.3">
      <c r="Q28" s="4"/>
    </row>
    <row r="29" spans="17:18" x14ac:dyDescent="0.3">
      <c r="Q29" s="5"/>
      <c r="R29" s="4"/>
    </row>
  </sheetData>
  <pageMargins left="0.7" right="0.7" top="0.75" bottom="0.75" header="0.3" footer="0.3"/>
  <pageSetup paperSize="9" orientation="portrait" horizontalDpi="1200" verticalDpi="1200" r:id="rId1"/>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2026-02-24T09:16:10Z</dcterms:modified>
</cp:coreProperties>
</file>